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DMIN\Desktop\Excel\"/>
    </mc:Choice>
  </mc:AlternateContent>
  <xr:revisionPtr revIDLastSave="0" documentId="13_ncr:1_{90F5F6DE-6575-41B0-BCFB-F7F584B0C881}" xr6:coauthVersionLast="47" xr6:coauthVersionMax="47" xr10:uidLastSave="{00000000-0000-0000-0000-000000000000}"/>
  <bookViews>
    <workbookView xWindow="-120" yWindow="-120" windowWidth="20730" windowHeight="11160" activeTab="3" xr2:uid="{77D0DC97-8716-4C4A-85CA-C25246933C0B}"/>
  </bookViews>
  <sheets>
    <sheet name="car_dataset" sheetId="1" r:id="rId1"/>
    <sheet name="Original_dataset" sheetId="6" state="hidden" r:id="rId2"/>
    <sheet name="Analysis" sheetId="5" r:id="rId3"/>
    <sheet name="Dashboard" sheetId="4" r:id="rId4"/>
  </sheets>
  <definedNames>
    <definedName name="_xlnm._FilterDatabase" localSheetId="0" hidden="1">car_dataset!$O$2:$O$1266</definedName>
    <definedName name="_xlnm._FilterDatabase" localSheetId="1" hidden="1">Original_dataset!$O$2:$O$1268</definedName>
    <definedName name="_xlcn.WorksheetConnection_IndianCarDatasetupdated.xlsxCarData1" hidden="1">CarData[]</definedName>
    <definedName name="_xlcn.WorksheetConnection_IndianCarDatasetupdatedCopy.xlsxCarData31" hidden="1">CarData3[]</definedName>
    <definedName name="Slicer_Body_Type">#N/A</definedName>
    <definedName name="Slicer_Fuel_Type">#N/A</definedName>
    <definedName name="Slicer_Make1">#N/A</definedName>
    <definedName name="Slicer_Transmission">#N/A</definedName>
  </definedNames>
  <calcPr calcId="191029"/>
  <pivotCaches>
    <pivotCache cacheId="0" r:id="rId5"/>
    <pivotCache cacheId="1" r:id="rId6"/>
    <pivotCache cacheId="40" r:id="rId7"/>
    <pivotCache cacheId="43" r:id="rId8"/>
    <pivotCache cacheId="46" r:id="rId9"/>
    <pivotCache cacheId="49" r:id="rId10"/>
    <pivotCache cacheId="52" r:id="rId11"/>
  </pivotCaches>
  <fileRecoveryPr repairLoad="1"/>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rData" name="CarData" connection="WorksheetConnection_Indian Car Dataset updated.xlsx!CarData"/>
          <x15:modelTable id="CarData3" name="CarData3" connection="WorksheetConnection_Indian Car Dataset updated - Copy.xlsx!CarData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5" l="1"/>
  <c r="U4" i="5"/>
  <c r="U3" i="5"/>
  <c r="M896" i="6" a="1"/>
  <c r="M896" i="6" s="1"/>
  <c r="M712" i="6" a="1"/>
  <c r="M712" i="6" s="1"/>
  <c r="M711" i="6" a="1"/>
  <c r="M711" i="6" s="1"/>
  <c r="M895" i="6" a="1"/>
  <c r="M895" i="6" s="1"/>
  <c r="M710" i="6" a="1"/>
  <c r="M710" i="6" s="1"/>
  <c r="M894" i="6" a="1"/>
  <c r="M894" i="6" s="1"/>
  <c r="M893" i="6" a="1"/>
  <c r="M893" i="6" s="1"/>
  <c r="M709" i="6" a="1"/>
  <c r="M709" i="6" s="1"/>
  <c r="M909" i="6" a="1"/>
  <c r="M909" i="6" s="1"/>
  <c r="M1060" i="6" a="1"/>
  <c r="M1060" i="6" s="1"/>
  <c r="M892" i="6" a="1"/>
  <c r="M892" i="6" s="1"/>
  <c r="M891" i="6" a="1"/>
  <c r="M891" i="6" s="1"/>
  <c r="M1059" i="6" a="1"/>
  <c r="M1059" i="6" s="1"/>
  <c r="M1058" i="6" a="1"/>
  <c r="M1058" i="6" s="1"/>
  <c r="M1057" i="6" a="1"/>
  <c r="M1057" i="6" s="1"/>
  <c r="M243" i="6" a="1"/>
  <c r="M243" i="6" s="1"/>
  <c r="M1056" i="6" a="1"/>
  <c r="M1056" i="6" s="1"/>
  <c r="M1260" i="6" a="1"/>
  <c r="M1260" i="6" s="1"/>
  <c r="M242" i="6" a="1"/>
  <c r="M242" i="6" s="1"/>
  <c r="M797" i="6" a="1"/>
  <c r="M797" i="6" s="1"/>
  <c r="M523" i="6" a="1"/>
  <c r="M523" i="6" s="1"/>
  <c r="M241" i="6" a="1"/>
  <c r="M241" i="6" s="1"/>
  <c r="M465" i="6" a="1"/>
  <c r="M465" i="6" s="1"/>
  <c r="M464" i="6" a="1"/>
  <c r="M464" i="6" s="1"/>
  <c r="M463" i="6" a="1"/>
  <c r="M463" i="6" s="1"/>
  <c r="M462" i="6" a="1"/>
  <c r="M462" i="6" s="1"/>
  <c r="M786" i="6" a="1"/>
  <c r="M786" i="6" s="1"/>
  <c r="M708" i="6" a="1"/>
  <c r="M708" i="6" s="1"/>
  <c r="M707" i="6" a="1"/>
  <c r="M707" i="6" s="1"/>
  <c r="M785" i="6" a="1"/>
  <c r="M785" i="6" s="1"/>
  <c r="M784" i="6" a="1"/>
  <c r="M784" i="6" s="1"/>
  <c r="M1095" i="6" a="1"/>
  <c r="M1095" i="6" s="1"/>
  <c r="M783" i="6" a="1"/>
  <c r="M783" i="6" s="1"/>
  <c r="M706" i="6" a="1"/>
  <c r="M706" i="6" s="1"/>
  <c r="M1094" i="6" a="1"/>
  <c r="M1094" i="6" s="1"/>
  <c r="M1093" i="6" a="1"/>
  <c r="M1093" i="6" s="1"/>
  <c r="M705" i="6" a="1"/>
  <c r="M705" i="6" s="1"/>
  <c r="M1092" i="6" a="1"/>
  <c r="M1092" i="6" s="1"/>
  <c r="M704" i="6" a="1"/>
  <c r="M704" i="6" s="1"/>
  <c r="M703" i="6" a="1"/>
  <c r="M703" i="6" s="1"/>
  <c r="M1091" i="6" a="1"/>
  <c r="M1091" i="6" s="1"/>
  <c r="M1055" i="6" a="1"/>
  <c r="M1055" i="6" s="1"/>
  <c r="M1090" i="6" a="1"/>
  <c r="M1090" i="6" s="1"/>
  <c r="M1089" i="6" a="1"/>
  <c r="M1089" i="6" s="1"/>
  <c r="M1054" i="6" a="1"/>
  <c r="M1054" i="6" s="1"/>
  <c r="M1232" i="6" a="1"/>
  <c r="M1232" i="6" s="1"/>
  <c r="M1231" i="6" a="1"/>
  <c r="M1231" i="6" s="1"/>
  <c r="M1230" i="6" a="1"/>
  <c r="M1230" i="6" s="1"/>
  <c r="M1229" i="6" a="1"/>
  <c r="M1229" i="6" s="1"/>
  <c r="M1228" i="6" a="1"/>
  <c r="M1228" i="6" s="1"/>
  <c r="M522" i="6" a="1"/>
  <c r="M522" i="6" s="1"/>
  <c r="M1227" i="6" a="1"/>
  <c r="M1227" i="6" s="1"/>
  <c r="M1226" i="6" a="1"/>
  <c r="M1226" i="6" s="1"/>
  <c r="M1225" i="6" a="1"/>
  <c r="M1225" i="6" s="1"/>
  <c r="M521" i="6" a="1"/>
  <c r="M521" i="6" s="1"/>
  <c r="M520" i="6" a="1"/>
  <c r="M520" i="6" s="1"/>
  <c r="M519" i="6" a="1"/>
  <c r="M519" i="6" s="1"/>
  <c r="M796" i="6" a="1"/>
  <c r="M796" i="6" s="1"/>
  <c r="M518" i="6" a="1"/>
  <c r="M518" i="6" s="1"/>
  <c r="M517" i="6" a="1"/>
  <c r="M517" i="6" s="1"/>
  <c r="M581" i="6" a="1"/>
  <c r="M581" i="6" s="1"/>
  <c r="M580" i="6" a="1"/>
  <c r="M580" i="6" s="1"/>
  <c r="M579" i="6" a="1"/>
  <c r="M579" i="6" s="1"/>
  <c r="M1177" i="6" a="1"/>
  <c r="M1177" i="6" s="1"/>
  <c r="M1176" i="6" a="1"/>
  <c r="M1176" i="6" s="1"/>
  <c r="M1012" i="6" a="1"/>
  <c r="M1012" i="6" s="1"/>
  <c r="M1175" i="6" a="1"/>
  <c r="M1175" i="6" s="1"/>
  <c r="M1053" i="6" a="1"/>
  <c r="M1053" i="6" s="1"/>
  <c r="M1224" i="6" a="1"/>
  <c r="M1224" i="6" s="1"/>
  <c r="M1223" i="6" a="1"/>
  <c r="M1223" i="6" s="1"/>
  <c r="M1222" i="6" a="1"/>
  <c r="M1222" i="6" s="1"/>
  <c r="M1221" i="6" a="1"/>
  <c r="M1221" i="6" s="1"/>
  <c r="M1220" i="6" a="1"/>
  <c r="M1220" i="6" s="1"/>
  <c r="M1219" i="6" a="1"/>
  <c r="M1219" i="6" s="1"/>
  <c r="M1218" i="6" a="1"/>
  <c r="M1218" i="6" s="1"/>
  <c r="M1217" i="6" a="1"/>
  <c r="M1217" i="6" s="1"/>
  <c r="M432" i="6" a="1"/>
  <c r="M432" i="6" s="1"/>
  <c r="M846" i="6" a="1"/>
  <c r="M846" i="6" s="1"/>
  <c r="M516" i="6" a="1"/>
  <c r="M516" i="6" s="1"/>
  <c r="M845" i="6" a="1"/>
  <c r="M845" i="6" s="1"/>
  <c r="M515" i="6" a="1"/>
  <c r="M515" i="6" s="1"/>
  <c r="M514" i="6" a="1"/>
  <c r="M514" i="6" s="1"/>
  <c r="M240" i="6" a="1"/>
  <c r="M240" i="6" s="1"/>
  <c r="M513" i="6" a="1"/>
  <c r="M513" i="6" s="1"/>
  <c r="M325" i="6" a="1"/>
  <c r="M325" i="6" s="1"/>
  <c r="M795" i="6" a="1"/>
  <c r="M795" i="6" s="1"/>
  <c r="M150" i="6" a="1"/>
  <c r="M150" i="6" s="1"/>
  <c r="M412" i="6" a="1"/>
  <c r="M412" i="6" s="1"/>
  <c r="M411" i="6" a="1"/>
  <c r="M411" i="6" s="1"/>
  <c r="M410" i="6" a="1"/>
  <c r="M410" i="6" s="1"/>
  <c r="M173" i="6" a="1"/>
  <c r="M173" i="6" s="1"/>
  <c r="M324" i="6" a="1"/>
  <c r="M324" i="6" s="1"/>
  <c r="M380" i="6" a="1"/>
  <c r="M380" i="6" s="1"/>
  <c r="M379" i="6" a="1"/>
  <c r="M379" i="6" s="1"/>
  <c r="M863" i="6" a="1"/>
  <c r="M863" i="6" s="1"/>
  <c r="M512" i="6" a="1"/>
  <c r="M512" i="6" s="1"/>
  <c r="M862" i="6" a="1"/>
  <c r="M862" i="6" s="1"/>
  <c r="M511" i="6" a="1"/>
  <c r="M511" i="6" s="1"/>
  <c r="M861" i="6" a="1"/>
  <c r="M861" i="6" s="1"/>
  <c r="M860" i="6" a="1"/>
  <c r="M860" i="6" s="1"/>
  <c r="M510" i="6" a="1"/>
  <c r="M510" i="6" s="1"/>
  <c r="M509" i="6" a="1"/>
  <c r="M509" i="6" s="1"/>
  <c r="M859" i="6" a="1"/>
  <c r="M859" i="6" s="1"/>
  <c r="M508" i="6" a="1"/>
  <c r="M508" i="6" s="1"/>
  <c r="M507" i="6" a="1"/>
  <c r="M507" i="6" s="1"/>
  <c r="M858" i="6" a="1"/>
  <c r="M858" i="6" s="1"/>
  <c r="M857" i="6" a="1"/>
  <c r="M857" i="6" s="1"/>
  <c r="M574" i="6" a="1"/>
  <c r="M574" i="6" s="1"/>
  <c r="M844" i="6" a="1"/>
  <c r="M844" i="6" s="1"/>
  <c r="M506" i="6" a="1"/>
  <c r="M506" i="6" s="1"/>
  <c r="M702" i="6" a="1"/>
  <c r="M702" i="6" s="1"/>
  <c r="M239" i="6" a="1"/>
  <c r="M239" i="6" s="1"/>
  <c r="M409" i="6" a="1"/>
  <c r="M409" i="6" s="1"/>
  <c r="M238" i="6" a="1"/>
  <c r="M238" i="6" s="1"/>
  <c r="M736" i="6" a="1"/>
  <c r="M736" i="6" s="1"/>
  <c r="M735" i="6" a="1"/>
  <c r="M735" i="6" s="1"/>
  <c r="M237" i="6" a="1"/>
  <c r="M237" i="6" s="1"/>
  <c r="M734" i="6" a="1"/>
  <c r="M734" i="6" s="1"/>
  <c r="M236" i="6" a="1"/>
  <c r="M236" i="6" s="1"/>
  <c r="M733" i="6" a="1"/>
  <c r="M733" i="6" s="1"/>
  <c r="M722" i="6" a="1"/>
  <c r="M722" i="6" s="1"/>
  <c r="M721" i="6" a="1"/>
  <c r="M721" i="6" s="1"/>
  <c r="M720" i="6" a="1"/>
  <c r="M720" i="6" s="1"/>
  <c r="M719" i="6" a="1"/>
  <c r="M719" i="6" s="1"/>
  <c r="M525" i="6" a="1"/>
  <c r="M525" i="6" s="1"/>
  <c r="M701" i="6" a="1"/>
  <c r="M701" i="6" s="1"/>
  <c r="M700" i="6" a="1"/>
  <c r="M700" i="6" s="1"/>
  <c r="M718" i="6" a="1"/>
  <c r="M718" i="6" s="1"/>
  <c r="M699" i="6" a="1"/>
  <c r="M699" i="6" s="1"/>
  <c r="M524" i="6" a="1"/>
  <c r="M524" i="6" s="1"/>
  <c r="M890" i="6" a="1"/>
  <c r="M890" i="6" s="1"/>
  <c r="M717" i="6" a="1"/>
  <c r="M717" i="6" s="1"/>
  <c r="M1170" i="6" a="1"/>
  <c r="M1170" i="6" s="1"/>
  <c r="M1011" i="6" a="1"/>
  <c r="M1011" i="6" s="1"/>
  <c r="M190" i="6" a="1"/>
  <c r="M190" i="6" s="1"/>
  <c r="M235" i="6" a="1"/>
  <c r="M235" i="6" s="1"/>
  <c r="M408" i="6" a="1"/>
  <c r="M408" i="6" s="1"/>
  <c r="M407" i="6" a="1"/>
  <c r="M407" i="6" s="1"/>
  <c r="M323" i="6" a="1"/>
  <c r="M323" i="6" s="1"/>
  <c r="M505" i="6" a="1"/>
  <c r="M505" i="6" s="1"/>
  <c r="M406" i="6" a="1"/>
  <c r="M406" i="6" s="1"/>
  <c r="M154" i="6" a="1"/>
  <c r="M154" i="6" s="1"/>
  <c r="M504" i="6" a="1"/>
  <c r="M504" i="6" s="1"/>
  <c r="M322" i="6" a="1"/>
  <c r="M322" i="6" s="1"/>
  <c r="M321" i="6" a="1"/>
  <c r="M321" i="6" s="1"/>
  <c r="M503" i="6" a="1"/>
  <c r="M503" i="6" s="1"/>
  <c r="M643" i="6" a="1"/>
  <c r="M643" i="6" s="1"/>
  <c r="M378" i="6" a="1"/>
  <c r="M378" i="6" s="1"/>
  <c r="M642" i="6" a="1"/>
  <c r="M642" i="6" s="1"/>
  <c r="M856" i="6" a="1"/>
  <c r="M856" i="6" s="1"/>
  <c r="M855" i="6" a="1"/>
  <c r="M855" i="6" s="1"/>
  <c r="M502" i="6" a="1"/>
  <c r="M502" i="6" s="1"/>
  <c r="M431" i="6" a="1"/>
  <c r="M431" i="6" s="1"/>
  <c r="M430" i="6" a="1"/>
  <c r="M430" i="6" s="1"/>
  <c r="M578" i="6" a="1"/>
  <c r="M578" i="6" s="1"/>
  <c r="M501" i="6" a="1"/>
  <c r="M501" i="6" s="1"/>
  <c r="M544" i="6" a="1"/>
  <c r="M544" i="6" s="1"/>
  <c r="M543" i="6" a="1"/>
  <c r="M543" i="6" s="1"/>
  <c r="M542" i="6" a="1"/>
  <c r="M542" i="6" s="1"/>
  <c r="M577" i="6" a="1"/>
  <c r="M577" i="6" s="1"/>
  <c r="M541" i="6" a="1"/>
  <c r="M541" i="6" s="1"/>
  <c r="M698" i="6" a="1"/>
  <c r="M698" i="6" s="1"/>
  <c r="M697" i="6" a="1"/>
  <c r="M697" i="6" s="1"/>
  <c r="M908" i="6" a="1"/>
  <c r="M908" i="6" s="1"/>
  <c r="M1052" i="6" a="1"/>
  <c r="M1052" i="6" s="1"/>
  <c r="M907" i="6" a="1"/>
  <c r="M907" i="6" s="1"/>
  <c r="M906" i="6" a="1"/>
  <c r="M906" i="6" s="1"/>
  <c r="M1051" i="6" a="1"/>
  <c r="M1051" i="6" s="1"/>
  <c r="M696" i="6" a="1"/>
  <c r="M696" i="6" s="1"/>
  <c r="M695" i="6" a="1"/>
  <c r="M695" i="6" s="1"/>
  <c r="M694" i="6" a="1"/>
  <c r="M694" i="6" s="1"/>
  <c r="M693" i="6" a="1"/>
  <c r="M693" i="6" s="1"/>
  <c r="M692" i="6" a="1"/>
  <c r="M692" i="6" s="1"/>
  <c r="M691" i="6" a="1"/>
  <c r="M691" i="6" s="1"/>
  <c r="M690" i="6" a="1"/>
  <c r="M690" i="6" s="1"/>
  <c r="M689" i="6" a="1"/>
  <c r="M689" i="6" s="1"/>
  <c r="M633" i="6" a="1"/>
  <c r="M633" i="6" s="1"/>
  <c r="M635" i="6" a="1"/>
  <c r="M635" i="6" s="1"/>
  <c r="M632" i="6" a="1"/>
  <c r="M632" i="6" s="1"/>
  <c r="M688" i="6" a="1"/>
  <c r="M688" i="6" s="1"/>
  <c r="M932" i="6" a="1"/>
  <c r="M932" i="6" s="1"/>
  <c r="M634" i="6" a="1"/>
  <c r="M634" i="6" s="1"/>
  <c r="M631" i="6" a="1"/>
  <c r="M631" i="6" s="1"/>
  <c r="M931" i="6" a="1"/>
  <c r="M931" i="6" s="1"/>
  <c r="M930" i="6" a="1"/>
  <c r="M930" i="6" s="1"/>
  <c r="M929" i="6" a="1"/>
  <c r="M929" i="6" s="1"/>
  <c r="M1088" i="6" a="1"/>
  <c r="M1088" i="6" s="1"/>
  <c r="M234" i="6" a="1"/>
  <c r="M234" i="6" s="1"/>
  <c r="M233" i="6" a="1"/>
  <c r="M233" i="6" s="1"/>
  <c r="M189" i="6" a="1"/>
  <c r="M189" i="6" s="1"/>
  <c r="M320" i="6" a="1"/>
  <c r="M320" i="6" s="1"/>
  <c r="M344" i="6" a="1"/>
  <c r="M344" i="6" s="1"/>
  <c r="M188" i="6" a="1"/>
  <c r="M188" i="6" s="1"/>
  <c r="M187" i="6" a="1"/>
  <c r="M187" i="6" s="1"/>
  <c r="M319" i="6" a="1"/>
  <c r="M319" i="6" s="1"/>
  <c r="M343" i="6" a="1"/>
  <c r="M343" i="6" s="1"/>
  <c r="M429" i="6" a="1"/>
  <c r="M429" i="6" s="1"/>
  <c r="M405" i="6" a="1"/>
  <c r="M405" i="6" s="1"/>
  <c r="M342" i="6" a="1"/>
  <c r="M342" i="6" s="1"/>
  <c r="M404" i="6" a="1"/>
  <c r="M404" i="6" s="1"/>
  <c r="M318" i="6" a="1"/>
  <c r="M318" i="6" s="1"/>
  <c r="M403" i="6" a="1"/>
  <c r="M403" i="6" s="1"/>
  <c r="M402" i="6" a="1"/>
  <c r="M402" i="6" s="1"/>
  <c r="M401" i="6" a="1"/>
  <c r="M401" i="6" s="1"/>
  <c r="M687" i="6" a="1"/>
  <c r="M687" i="6" s="1"/>
  <c r="M686" i="6" a="1"/>
  <c r="M686" i="6" s="1"/>
  <c r="M377" i="6" a="1"/>
  <c r="M377" i="6" s="1"/>
  <c r="M376" i="6" a="1"/>
  <c r="M376" i="6" s="1"/>
  <c r="M630" i="6" a="1"/>
  <c r="M630" i="6" s="1"/>
  <c r="M629" i="6" a="1"/>
  <c r="M629" i="6" s="1"/>
  <c r="M500" i="6" a="1"/>
  <c r="M500" i="6" s="1"/>
  <c r="M317" i="6" a="1"/>
  <c r="M317" i="6" s="1"/>
  <c r="M837" i="6" a="1"/>
  <c r="M837" i="6" s="1"/>
  <c r="M843" i="6" a="1"/>
  <c r="M843" i="6" s="1"/>
  <c r="M842" i="6" a="1"/>
  <c r="M842" i="6" s="1"/>
  <c r="M841" i="6" a="1"/>
  <c r="M841" i="6" s="1"/>
  <c r="M959" i="6" a="1"/>
  <c r="M959" i="6" s="1"/>
  <c r="M836" i="6" a="1"/>
  <c r="M836" i="6" s="1"/>
  <c r="M835" i="6" a="1"/>
  <c r="M835" i="6" s="1"/>
  <c r="M958" i="6" a="1"/>
  <c r="M958" i="6" s="1"/>
  <c r="M834" i="6" a="1"/>
  <c r="M834" i="6" s="1"/>
  <c r="M957" i="6" a="1"/>
  <c r="M957" i="6" s="1"/>
  <c r="M833" i="6" a="1"/>
  <c r="M833" i="6" s="1"/>
  <c r="M832" i="6" a="1"/>
  <c r="M832" i="6" s="1"/>
  <c r="M956" i="6" a="1"/>
  <c r="M956" i="6" s="1"/>
  <c r="M831" i="6" a="1"/>
  <c r="M831" i="6" s="1"/>
  <c r="M955" i="6" a="1"/>
  <c r="M955" i="6" s="1"/>
  <c r="M954" i="6" a="1"/>
  <c r="M954" i="6" s="1"/>
  <c r="M830" i="6" a="1"/>
  <c r="M830" i="6" s="1"/>
  <c r="M603" i="6" a="1"/>
  <c r="M603" i="6" s="1"/>
  <c r="M1010" i="6" a="1"/>
  <c r="M1010" i="6" s="1"/>
  <c r="M1009" i="6" a="1"/>
  <c r="M1009" i="6" s="1"/>
  <c r="M1008" i="6" a="1"/>
  <c r="M1008" i="6" s="1"/>
  <c r="M602" i="6" a="1"/>
  <c r="M602" i="6" s="1"/>
  <c r="M601" i="6" a="1"/>
  <c r="M601" i="6" s="1"/>
  <c r="M1050" i="6" a="1"/>
  <c r="M1050" i="6" s="1"/>
  <c r="M600" i="6" a="1"/>
  <c r="M600" i="6" s="1"/>
  <c r="M1007" i="6" a="1"/>
  <c r="M1007" i="6" s="1"/>
  <c r="M1006" i="6" a="1"/>
  <c r="M1006" i="6" s="1"/>
  <c r="M599" i="6" a="1"/>
  <c r="M599" i="6" s="1"/>
  <c r="M782" i="6" a="1"/>
  <c r="M782" i="6" s="1"/>
  <c r="M829" i="6" a="1"/>
  <c r="M829" i="6" s="1"/>
  <c r="M1005" i="6" a="1"/>
  <c r="M1005" i="6" s="1"/>
  <c r="M1150" i="6" a="1"/>
  <c r="M1150" i="6" s="1"/>
  <c r="M1149" i="6" a="1"/>
  <c r="M1149" i="6" s="1"/>
  <c r="M828" i="6" a="1"/>
  <c r="M828" i="6" s="1"/>
  <c r="M1148" i="6" a="1"/>
  <c r="M1148" i="6" s="1"/>
  <c r="M1147" i="6" a="1"/>
  <c r="M1147" i="6" s="1"/>
  <c r="M827" i="6" a="1"/>
  <c r="M827" i="6" s="1"/>
  <c r="M826" i="6" a="1"/>
  <c r="M826" i="6" s="1"/>
  <c r="M825" i="6" a="1"/>
  <c r="M825" i="6" s="1"/>
  <c r="M1146" i="6" a="1"/>
  <c r="M1146" i="6" s="1"/>
  <c r="M824" i="6" a="1"/>
  <c r="M824" i="6" s="1"/>
  <c r="M789" i="6" a="1"/>
  <c r="M789" i="6" s="1"/>
  <c r="M1145" i="6" a="1"/>
  <c r="M1145" i="6" s="1"/>
  <c r="M1144" i="6" a="1"/>
  <c r="M1144" i="6" s="1"/>
  <c r="M823" i="6" a="1"/>
  <c r="M823" i="6" s="1"/>
  <c r="M1152" i="6" a="1"/>
  <c r="M1152" i="6" s="1"/>
  <c r="M866" i="6" a="1"/>
  <c r="M866" i="6" s="1"/>
  <c r="M865" i="6" a="1"/>
  <c r="M865" i="6" s="1"/>
  <c r="M864" i="6" a="1"/>
  <c r="M864" i="6" s="1"/>
  <c r="M1151" i="6" a="1"/>
  <c r="M1151" i="6" s="1"/>
  <c r="M1087" i="6" a="1"/>
  <c r="M1087" i="6" s="1"/>
  <c r="M1157" i="6" a="1"/>
  <c r="M1157" i="6" s="1"/>
  <c r="M1086" i="6" a="1"/>
  <c r="M1086" i="6" s="1"/>
  <c r="M41" i="6" a="1"/>
  <c r="M41" i="6" s="1"/>
  <c r="M40" i="6" a="1"/>
  <c r="M40" i="6" s="1"/>
  <c r="M1156" i="6" a="1"/>
  <c r="M1156" i="6" s="1"/>
  <c r="M122" i="6" a="1"/>
  <c r="M122" i="6" s="1"/>
  <c r="M1258" i="6" a="1"/>
  <c r="M1258" i="6" s="1"/>
  <c r="M1257" i="6" a="1"/>
  <c r="M1257" i="6" s="1"/>
  <c r="M55" i="6" a="1"/>
  <c r="M55" i="6" s="1"/>
  <c r="M112" i="6" a="1"/>
  <c r="M112" i="6" s="1"/>
  <c r="M54" i="6" a="1"/>
  <c r="M54" i="6" s="1"/>
  <c r="M60" i="6" a="1"/>
  <c r="M60" i="6" s="1"/>
  <c r="M316" i="6" a="1"/>
  <c r="M316" i="6" s="1"/>
  <c r="M111" i="6" a="1"/>
  <c r="M111" i="6" s="1"/>
  <c r="M149" i="6" a="1"/>
  <c r="M149" i="6" s="1"/>
  <c r="M1085" i="6" a="1"/>
  <c r="M1085" i="6" s="1"/>
  <c r="M1084" i="6" a="1"/>
  <c r="M1084" i="6" s="1"/>
  <c r="M1083" i="6" a="1"/>
  <c r="M1083" i="6" s="1"/>
  <c r="M1004" i="6" a="1"/>
  <c r="M1004" i="6" s="1"/>
  <c r="M781" i="6" a="1"/>
  <c r="M781" i="6" s="1"/>
  <c r="M780" i="6" a="1"/>
  <c r="M780" i="6" s="1"/>
  <c r="M779" i="6" a="1"/>
  <c r="M779" i="6" s="1"/>
  <c r="M778" i="6" a="1"/>
  <c r="M778" i="6" s="1"/>
  <c r="M1003" i="6" a="1"/>
  <c r="M1003" i="6" s="1"/>
  <c r="M1002" i="6" a="1"/>
  <c r="M1002" i="6" s="1"/>
  <c r="M1001" i="6" a="1"/>
  <c r="M1001" i="6" s="1"/>
  <c r="M848" i="6" a="1"/>
  <c r="M848" i="6" s="1"/>
  <c r="M847" i="6" a="1"/>
  <c r="M847" i="6" s="1"/>
  <c r="M18" i="6" a="1"/>
  <c r="M18" i="6" s="1"/>
  <c r="M9" i="6" a="1"/>
  <c r="M9" i="6" s="1"/>
  <c r="M148" i="6" a="1"/>
  <c r="M148" i="6" s="1"/>
  <c r="M88" i="6" a="1"/>
  <c r="M88" i="6" s="1"/>
  <c r="M90" i="6" a="1"/>
  <c r="M90" i="6" s="1"/>
  <c r="M89" i="6" a="1"/>
  <c r="M89" i="6" s="1"/>
  <c r="M1174" i="6" a="1"/>
  <c r="M1174" i="6" s="1"/>
  <c r="M1049" i="6" a="1"/>
  <c r="M1049" i="6" s="1"/>
  <c r="M1048" i="6" a="1"/>
  <c r="M1048" i="6" s="1"/>
  <c r="M1047" i="6" a="1"/>
  <c r="M1047" i="6" s="1"/>
  <c r="M1046" i="6" a="1"/>
  <c r="M1046" i="6" s="1"/>
  <c r="M1045" i="6" a="1"/>
  <c r="M1045" i="6" s="1"/>
  <c r="M1044" i="6" a="1"/>
  <c r="M1044" i="6" s="1"/>
  <c r="M1043" i="6" a="1"/>
  <c r="M1043" i="6" s="1"/>
  <c r="M1216" i="6" a="1"/>
  <c r="M1216" i="6" s="1"/>
  <c r="M1215" i="6" a="1"/>
  <c r="M1215" i="6" s="1"/>
  <c r="M1214" i="6" a="1"/>
  <c r="M1214" i="6" s="1"/>
  <c r="M1213" i="6" a="1"/>
  <c r="M1213" i="6" s="1"/>
  <c r="M1212" i="6" a="1"/>
  <c r="M1212" i="6" s="1"/>
  <c r="M1246" i="6" a="1"/>
  <c r="M1246" i="6" s="1"/>
  <c r="M1245" i="6" a="1"/>
  <c r="M1245" i="6" s="1"/>
  <c r="M1244" i="6" a="1"/>
  <c r="M1244" i="6" s="1"/>
  <c r="M1243" i="6" a="1"/>
  <c r="M1243" i="6" s="1"/>
  <c r="M174" i="6" a="1"/>
  <c r="M174" i="6" s="1"/>
  <c r="M315" i="6" a="1"/>
  <c r="M315" i="6" s="1"/>
  <c r="M232" i="6" a="1"/>
  <c r="M232" i="6" s="1"/>
  <c r="M231" i="6" a="1"/>
  <c r="M231" i="6" s="1"/>
  <c r="M314" i="6" a="1"/>
  <c r="M314" i="6" s="1"/>
  <c r="M230" i="6" a="1"/>
  <c r="M230" i="6" s="1"/>
  <c r="M732" i="6" a="1"/>
  <c r="M732" i="6" s="1"/>
  <c r="M731" i="6" a="1"/>
  <c r="M731" i="6" s="1"/>
  <c r="M730" i="6" a="1"/>
  <c r="M730" i="6" s="1"/>
  <c r="M729" i="6" a="1"/>
  <c r="M729" i="6" s="1"/>
  <c r="M728" i="6" a="1"/>
  <c r="M728" i="6" s="1"/>
  <c r="M229" i="6" a="1"/>
  <c r="M229" i="6" s="1"/>
  <c r="M375" i="6" a="1"/>
  <c r="M375" i="6" s="1"/>
  <c r="M374" i="6" a="1"/>
  <c r="M374" i="6" s="1"/>
  <c r="M428" i="6" a="1"/>
  <c r="M428" i="6" s="1"/>
  <c r="M427" i="6" a="1"/>
  <c r="M427" i="6" s="1"/>
  <c r="M426" i="6" a="1"/>
  <c r="M426" i="6" s="1"/>
  <c r="M606" i="6" a="1"/>
  <c r="M606" i="6" s="1"/>
  <c r="M605" i="6" a="1"/>
  <c r="M605" i="6" s="1"/>
  <c r="M246" i="6" a="1"/>
  <c r="M246" i="6" s="1"/>
  <c r="M245" i="6" a="1"/>
  <c r="M245" i="6" s="1"/>
  <c r="M172" i="6" a="1"/>
  <c r="M172" i="6" s="1"/>
  <c r="M540" i="6" a="1"/>
  <c r="M540" i="6" s="1"/>
  <c r="M539" i="6" a="1"/>
  <c r="M539" i="6" s="1"/>
  <c r="M171" i="6" a="1"/>
  <c r="M171" i="6" s="1"/>
  <c r="M195" i="6" a="1"/>
  <c r="M195" i="6" s="1"/>
  <c r="M194" i="6" a="1"/>
  <c r="M194" i="6" s="1"/>
  <c r="M170" i="6" a="1"/>
  <c r="M170" i="6" s="1"/>
  <c r="M228" i="6" a="1"/>
  <c r="M228" i="6" s="1"/>
  <c r="M227" i="6" a="1"/>
  <c r="M227" i="6" s="1"/>
  <c r="M373" i="6" a="1"/>
  <c r="M373" i="6" s="1"/>
  <c r="M226" i="6" a="1"/>
  <c r="M226" i="6" s="1"/>
  <c r="M225" i="6" a="1"/>
  <c r="M225" i="6" s="1"/>
  <c r="M224" i="6" a="1"/>
  <c r="M224" i="6" s="1"/>
  <c r="M355" i="6" a="1"/>
  <c r="M355" i="6" s="1"/>
  <c r="M372" i="6" a="1"/>
  <c r="M372" i="6" s="1"/>
  <c r="M371" i="6" a="1"/>
  <c r="M371" i="6" s="1"/>
  <c r="M370" i="6" a="1"/>
  <c r="M370" i="6" s="1"/>
  <c r="M369" i="6" a="1"/>
  <c r="M369" i="6" s="1"/>
  <c r="M425" i="6" a="1"/>
  <c r="M425" i="6" s="1"/>
  <c r="M424" i="6" a="1"/>
  <c r="M424" i="6" s="1"/>
  <c r="M685" i="6" a="1"/>
  <c r="M685" i="6" s="1"/>
  <c r="M576" i="6" a="1"/>
  <c r="M576" i="6" s="1"/>
  <c r="M575" i="6" a="1"/>
  <c r="M575" i="6" s="1"/>
  <c r="M684" i="6" a="1"/>
  <c r="M684" i="6" s="1"/>
  <c r="M683" i="6" a="1"/>
  <c r="M683" i="6" s="1"/>
  <c r="M682" i="6" a="1"/>
  <c r="M682" i="6" s="1"/>
  <c r="M889" i="6" a="1"/>
  <c r="M889" i="6" s="1"/>
  <c r="M888" i="6" a="1"/>
  <c r="M888" i="6" s="1"/>
  <c r="M887" i="6" a="1"/>
  <c r="M887" i="6" s="1"/>
  <c r="M886" i="6" a="1"/>
  <c r="M886" i="6" s="1"/>
  <c r="M885" i="6" a="1"/>
  <c r="M885" i="6" s="1"/>
  <c r="M727" i="6" a="1"/>
  <c r="M727" i="6" s="1"/>
  <c r="M1268" i="6" a="1"/>
  <c r="M1268" i="6" s="1"/>
  <c r="M1154" i="6" a="1"/>
  <c r="M1154" i="6" s="1"/>
  <c r="M1153" i="6" a="1"/>
  <c r="M1153" i="6" s="1"/>
  <c r="M442" i="6" a="1"/>
  <c r="M442" i="6" s="1"/>
  <c r="M441" i="6" a="1"/>
  <c r="M441" i="6" s="1"/>
  <c r="M440" i="6" a="1"/>
  <c r="M440" i="6" s="1"/>
  <c r="M573" i="6" a="1"/>
  <c r="M573" i="6" s="1"/>
  <c r="M439" i="6" a="1"/>
  <c r="M439" i="6" s="1"/>
  <c r="M438" i="6" a="1"/>
  <c r="M438" i="6" s="1"/>
  <c r="M572" i="6" a="1"/>
  <c r="M572" i="6" s="1"/>
  <c r="M437" i="6" a="1"/>
  <c r="M437" i="6" s="1"/>
  <c r="M436" i="6" a="1"/>
  <c r="M436" i="6" s="1"/>
  <c r="M435" i="6" a="1"/>
  <c r="M435" i="6" s="1"/>
  <c r="M571" i="6" a="1"/>
  <c r="M571" i="6" s="1"/>
  <c r="M196" i="6" a="1"/>
  <c r="M196" i="6" s="1"/>
  <c r="M255" i="6" a="1"/>
  <c r="M255" i="6" s="1"/>
  <c r="M254" i="6" a="1"/>
  <c r="M254" i="6" s="1"/>
  <c r="M570" i="6" a="1"/>
  <c r="M570" i="6" s="1"/>
  <c r="M569" i="6" a="1"/>
  <c r="M569" i="6" s="1"/>
  <c r="M568" i="6" a="1"/>
  <c r="M568" i="6" s="1"/>
  <c r="M567" i="6" a="1"/>
  <c r="M567" i="6" s="1"/>
  <c r="M566" i="6" a="1"/>
  <c r="M566" i="6" s="1"/>
  <c r="M565" i="6" a="1"/>
  <c r="M565" i="6" s="1"/>
  <c r="M169" i="6" a="1"/>
  <c r="M169" i="6" s="1"/>
  <c r="M35" i="6" a="1"/>
  <c r="M35" i="6" s="1"/>
  <c r="M168" i="6" a="1"/>
  <c r="M168" i="6" s="1"/>
  <c r="M73" i="6" a="1"/>
  <c r="M73" i="6" s="1"/>
  <c r="M66" i="6" a="1"/>
  <c r="M66" i="6" s="1"/>
  <c r="M34" i="6" a="1"/>
  <c r="M34" i="6" s="1"/>
  <c r="M110" i="6" a="1"/>
  <c r="M110" i="6" s="1"/>
  <c r="M109" i="6" a="1"/>
  <c r="M109" i="6" s="1"/>
  <c r="M108" i="6" a="1"/>
  <c r="M108" i="6" s="1"/>
  <c r="M153" i="6" a="1"/>
  <c r="M153" i="6" s="1"/>
  <c r="M368" i="6" a="1"/>
  <c r="M368" i="6" s="1"/>
  <c r="M113" i="6" a="1"/>
  <c r="M113" i="6" s="1"/>
  <c r="M141" i="6" a="1"/>
  <c r="M141" i="6" s="1"/>
  <c r="M107" i="6" a="1"/>
  <c r="M107" i="6" s="1"/>
  <c r="M147" i="6" a="1"/>
  <c r="M147" i="6" s="1"/>
  <c r="M146" i="6" a="1"/>
  <c r="M146" i="6" s="1"/>
  <c r="M29" i="6" a="1"/>
  <c r="M29" i="6" s="1"/>
  <c r="M15" i="6" a="1"/>
  <c r="M15" i="6" s="1"/>
  <c r="M63" i="6" a="1"/>
  <c r="M63" i="6" s="1"/>
  <c r="M28" i="6" a="1"/>
  <c r="M28" i="6" s="1"/>
  <c r="M62" i="6" a="1"/>
  <c r="M62" i="6" s="1"/>
  <c r="M1267" i="6" a="1"/>
  <c r="M1267" i="6" s="1"/>
  <c r="M70" i="6" a="1"/>
  <c r="M70" i="6" s="1"/>
  <c r="M61" i="6" a="1"/>
  <c r="M61" i="6" s="1"/>
  <c r="M130" i="6" a="1"/>
  <c r="M130" i="6" s="1"/>
  <c r="M129" i="6" a="1"/>
  <c r="M129" i="6" s="1"/>
  <c r="M124" i="6" a="1"/>
  <c r="M124" i="6" s="1"/>
  <c r="M1143" i="6" a="1"/>
  <c r="M1143" i="6" s="1"/>
  <c r="M1142" i="6" a="1"/>
  <c r="M1142" i="6" s="1"/>
  <c r="M1141" i="6" a="1"/>
  <c r="M1141" i="6" s="1"/>
  <c r="M1140" i="6" a="1"/>
  <c r="M1140" i="6" s="1"/>
  <c r="M1139" i="6" a="1"/>
  <c r="M1139" i="6" s="1"/>
  <c r="M1138" i="6" a="1"/>
  <c r="M1138" i="6" s="1"/>
  <c r="M1137" i="6" a="1"/>
  <c r="M1137" i="6" s="1"/>
  <c r="M1259" i="6" a="1"/>
  <c r="M1259" i="6" s="1"/>
  <c r="M39" i="6" a="1"/>
  <c r="M39" i="6" s="1"/>
  <c r="M17" i="6" a="1"/>
  <c r="M17" i="6" s="1"/>
  <c r="M59" i="6" a="1"/>
  <c r="M59" i="6" s="1"/>
  <c r="M58" i="6" a="1"/>
  <c r="M58" i="6" s="1"/>
  <c r="M57" i="6" a="1"/>
  <c r="M57" i="6" s="1"/>
  <c r="M27" i="6" a="1"/>
  <c r="M27" i="6" s="1"/>
  <c r="M26" i="6" a="1"/>
  <c r="M26" i="6" s="1"/>
  <c r="M133" i="6" a="1"/>
  <c r="M133" i="6" s="1"/>
  <c r="M53" i="6" a="1"/>
  <c r="M53" i="6" s="1"/>
  <c r="M38" i="6" a="1"/>
  <c r="M38" i="6" s="1"/>
  <c r="M193" i="6" a="1"/>
  <c r="M193" i="6" s="1"/>
  <c r="M1000" i="6" a="1"/>
  <c r="M1000" i="6" s="1"/>
  <c r="M777" i="6" a="1"/>
  <c r="M777" i="6" s="1"/>
  <c r="M776" i="6" a="1"/>
  <c r="M776" i="6" s="1"/>
  <c r="M999" i="6" a="1"/>
  <c r="M999" i="6" s="1"/>
  <c r="M775" i="6" a="1"/>
  <c r="M775" i="6" s="1"/>
  <c r="M998" i="6" a="1"/>
  <c r="M998" i="6" s="1"/>
  <c r="M774" i="6" a="1"/>
  <c r="M774" i="6" s="1"/>
  <c r="M997" i="6" a="1"/>
  <c r="M997" i="6" s="1"/>
  <c r="M996" i="6" a="1"/>
  <c r="M996" i="6" s="1"/>
  <c r="M773" i="6" a="1"/>
  <c r="M773" i="6" s="1"/>
  <c r="M772" i="6" a="1"/>
  <c r="M772" i="6" s="1"/>
  <c r="M771" i="6" a="1"/>
  <c r="M771" i="6" s="1"/>
  <c r="M995" i="6" a="1"/>
  <c r="M995" i="6" s="1"/>
  <c r="M994" i="6" a="1"/>
  <c r="M994" i="6" s="1"/>
  <c r="M37" i="6" a="1"/>
  <c r="M37" i="6" s="1"/>
  <c r="M6" i="6" a="1"/>
  <c r="M6" i="6" s="1"/>
  <c r="M14" i="6" a="1"/>
  <c r="M14" i="6" s="1"/>
  <c r="M128" i="6" a="1"/>
  <c r="M128" i="6" s="1"/>
  <c r="M30" i="6" a="1"/>
  <c r="M30" i="6" s="1"/>
  <c r="M36" i="6" a="1"/>
  <c r="M36" i="6" s="1"/>
  <c r="M121" i="6" a="1"/>
  <c r="M121" i="6" s="1"/>
  <c r="M52" i="6" a="1"/>
  <c r="M52" i="6" s="1"/>
  <c r="M24" i="6" a="1"/>
  <c r="M24" i="6" s="1"/>
  <c r="M23" i="6" a="1"/>
  <c r="M23" i="6" s="1"/>
  <c r="M22" i="6" a="1"/>
  <c r="M22" i="6" s="1"/>
  <c r="M51" i="6" a="1"/>
  <c r="M51" i="6" s="1"/>
  <c r="M106" i="6" a="1"/>
  <c r="M106" i="6" s="1"/>
  <c r="M131" i="6" a="1"/>
  <c r="M131" i="6" s="1"/>
  <c r="M8" i="6" a="1"/>
  <c r="M8" i="6" s="1"/>
  <c r="M87" i="6" a="1"/>
  <c r="M87" i="6" s="1"/>
  <c r="M86" i="6" a="1"/>
  <c r="M86" i="6" s="1"/>
  <c r="M85" i="6" a="1"/>
  <c r="M85" i="6" s="1"/>
  <c r="M253" i="6" a="1"/>
  <c r="M253" i="6" s="1"/>
  <c r="M252" i="6" a="1"/>
  <c r="M252" i="6" s="1"/>
  <c r="M123" i="6" a="1"/>
  <c r="M123" i="6" s="1"/>
  <c r="M145" i="6" a="1"/>
  <c r="M145" i="6" s="1"/>
  <c r="M132" i="6" a="1"/>
  <c r="M132" i="6" s="1"/>
  <c r="M341" i="6" a="1"/>
  <c r="M341" i="6" s="1"/>
  <c r="M1155" i="6" a="1"/>
  <c r="M1155" i="6" s="1"/>
  <c r="M770" i="6" a="1"/>
  <c r="M770" i="6" s="1"/>
  <c r="M769" i="6" a="1"/>
  <c r="M769" i="6" s="1"/>
  <c r="M768" i="6" a="1"/>
  <c r="M768" i="6" s="1"/>
  <c r="M1042" i="6" a="1"/>
  <c r="M1042" i="6" s="1"/>
  <c r="M792" i="6" a="1"/>
  <c r="M792" i="6" s="1"/>
  <c r="M1041" i="6" a="1"/>
  <c r="M1041" i="6" s="1"/>
  <c r="M1040" i="6" a="1"/>
  <c r="M1040" i="6" s="1"/>
  <c r="M1039" i="6" a="1"/>
  <c r="M1039" i="6" s="1"/>
  <c r="M1038" i="6" a="1"/>
  <c r="M1038" i="6" s="1"/>
  <c r="M564" i="6" a="1"/>
  <c r="M564" i="6" s="1"/>
  <c r="M563" i="6" a="1"/>
  <c r="M563" i="6" s="1"/>
  <c r="M562" i="6" a="1"/>
  <c r="M562" i="6" s="1"/>
  <c r="M561" i="6" a="1"/>
  <c r="M561" i="6" s="1"/>
  <c r="M560" i="6" a="1"/>
  <c r="M560" i="6" s="1"/>
  <c r="M559" i="6" a="1"/>
  <c r="M559" i="6" s="1"/>
  <c r="M558" i="6" a="1"/>
  <c r="M558" i="6" s="1"/>
  <c r="M884" i="6" a="1"/>
  <c r="M884" i="6" s="1"/>
  <c r="M993" i="6" a="1"/>
  <c r="M993" i="6" s="1"/>
  <c r="M992" i="6" a="1"/>
  <c r="M992" i="6" s="1"/>
  <c r="M991" i="6" a="1"/>
  <c r="M991" i="6" s="1"/>
  <c r="M990" i="6" a="1"/>
  <c r="M990" i="6" s="1"/>
  <c r="M989" i="6" a="1"/>
  <c r="M989" i="6" s="1"/>
  <c r="M988" i="6" a="1"/>
  <c r="M988" i="6" s="1"/>
  <c r="M987" i="6" a="1"/>
  <c r="M987" i="6" s="1"/>
  <c r="M986" i="6" a="1"/>
  <c r="M986" i="6" s="1"/>
  <c r="M985" i="6" a="1"/>
  <c r="M985" i="6" s="1"/>
  <c r="M767" i="6" a="1"/>
  <c r="M767" i="6" s="1"/>
  <c r="M766" i="6" a="1"/>
  <c r="M766" i="6" s="1"/>
  <c r="M765" i="6" a="1"/>
  <c r="M765" i="6" s="1"/>
  <c r="M764" i="6" a="1"/>
  <c r="M764" i="6" s="1"/>
  <c r="M1136" i="6" a="1"/>
  <c r="M1136" i="6" s="1"/>
  <c r="M1135" i="6" a="1"/>
  <c r="M1135" i="6" s="1"/>
  <c r="M400" i="6" a="1"/>
  <c r="M400" i="6" s="1"/>
  <c r="M399" i="6" a="1"/>
  <c r="M399" i="6" s="1"/>
  <c r="M398" i="6" a="1"/>
  <c r="M398" i="6" s="1"/>
  <c r="M397" i="6" a="1"/>
  <c r="M397" i="6" s="1"/>
  <c r="M396" i="6" a="1"/>
  <c r="M396" i="6" s="1"/>
  <c r="M395" i="6" a="1"/>
  <c r="M395" i="6" s="1"/>
  <c r="M394" i="6" a="1"/>
  <c r="M394" i="6" s="1"/>
  <c r="M681" i="6" a="1"/>
  <c r="M681" i="6" s="1"/>
  <c r="M680" i="6" a="1"/>
  <c r="M680" i="6" s="1"/>
  <c r="M679" i="6" a="1"/>
  <c r="M679" i="6" s="1"/>
  <c r="M678" i="6" a="1"/>
  <c r="M678" i="6" s="1"/>
  <c r="M598" i="6" a="1"/>
  <c r="M598" i="6" s="1"/>
  <c r="M1037" i="6" a="1"/>
  <c r="M1037" i="6" s="1"/>
  <c r="M726" i="6" a="1"/>
  <c r="M726" i="6" s="1"/>
  <c r="M725" i="6" a="1"/>
  <c r="M725" i="6" s="1"/>
  <c r="M724" i="6" a="1"/>
  <c r="M724" i="6" s="1"/>
  <c r="M723" i="6" a="1"/>
  <c r="M723" i="6" s="1"/>
  <c r="M604" i="6" a="1"/>
  <c r="M604" i="6" s="1"/>
  <c r="M597" i="6" a="1"/>
  <c r="M597" i="6" s="1"/>
  <c r="M596" i="6" a="1"/>
  <c r="M596" i="6" s="1"/>
  <c r="M595" i="6" a="1"/>
  <c r="M595" i="6" s="1"/>
  <c r="M984" i="6" a="1"/>
  <c r="M984" i="6" s="1"/>
  <c r="M810" i="6" a="1"/>
  <c r="M810" i="6" s="1"/>
  <c r="M809" i="6" a="1"/>
  <c r="M809" i="6" s="1"/>
  <c r="M2" i="6" a="1"/>
  <c r="M2" i="6" s="1"/>
  <c r="M808" i="6" a="1"/>
  <c r="M808" i="6" s="1"/>
  <c r="M807" i="6" a="1"/>
  <c r="M807" i="6" s="1"/>
  <c r="M594" i="6" a="1"/>
  <c r="M594" i="6" s="1"/>
  <c r="M806" i="6" a="1"/>
  <c r="M806" i="6" s="1"/>
  <c r="M1096" i="6" a="1"/>
  <c r="M1096" i="6" s="1"/>
  <c r="M1115" i="6" a="1"/>
  <c r="M1115" i="6" s="1"/>
  <c r="M677" i="6" a="1"/>
  <c r="M677" i="6" s="1"/>
  <c r="M1114" i="6" a="1"/>
  <c r="M1114" i="6" s="1"/>
  <c r="M676" i="6" a="1"/>
  <c r="M676" i="6" s="1"/>
  <c r="M1113" i="6" a="1"/>
  <c r="M1113" i="6" s="1"/>
  <c r="M675" i="6" a="1"/>
  <c r="M675" i="6" s="1"/>
  <c r="M1112" i="6" a="1"/>
  <c r="M1112" i="6" s="1"/>
  <c r="M674" i="6" a="1"/>
  <c r="M674" i="6" s="1"/>
  <c r="M1111" i="6" a="1"/>
  <c r="M1111" i="6" s="1"/>
  <c r="M1110" i="6" a="1"/>
  <c r="M1110" i="6" s="1"/>
  <c r="M1109" i="6" a="1"/>
  <c r="M1109" i="6" s="1"/>
  <c r="M673" i="6" a="1"/>
  <c r="M673" i="6" s="1"/>
  <c r="M672" i="6" a="1"/>
  <c r="M672" i="6" s="1"/>
  <c r="M671" i="6" a="1"/>
  <c r="M671" i="6" s="1"/>
  <c r="M840" i="6" a="1"/>
  <c r="M840" i="6" s="1"/>
  <c r="M1108" i="6" a="1"/>
  <c r="M1108" i="6" s="1"/>
  <c r="M839" i="6" a="1"/>
  <c r="M839" i="6" s="1"/>
  <c r="M1107" i="6" a="1"/>
  <c r="M1107" i="6" s="1"/>
  <c r="M670" i="6" a="1"/>
  <c r="M670" i="6" s="1"/>
  <c r="M1106" i="6" a="1"/>
  <c r="M1106" i="6" s="1"/>
  <c r="M763" i="6" a="1"/>
  <c r="M763" i="6" s="1"/>
  <c r="M1173" i="6" a="1"/>
  <c r="M1173" i="6" s="1"/>
  <c r="M1172" i="6" a="1"/>
  <c r="M1172" i="6" s="1"/>
  <c r="M1171" i="6" a="1"/>
  <c r="M1171" i="6" s="1"/>
  <c r="M762" i="6" a="1"/>
  <c r="M762" i="6" s="1"/>
  <c r="M761" i="6" a="1"/>
  <c r="M761" i="6" s="1"/>
  <c r="M760" i="6" a="1"/>
  <c r="M760" i="6" s="1"/>
  <c r="M983" i="6" a="1"/>
  <c r="M983" i="6" s="1"/>
  <c r="M982" i="6" a="1"/>
  <c r="M982" i="6" s="1"/>
  <c r="M981" i="6" a="1"/>
  <c r="M981" i="6" s="1"/>
  <c r="M759" i="6" a="1"/>
  <c r="M759" i="6" s="1"/>
  <c r="M758" i="6" a="1"/>
  <c r="M758" i="6" s="1"/>
  <c r="M980" i="6" a="1"/>
  <c r="M980" i="6" s="1"/>
  <c r="M757" i="6" a="1"/>
  <c r="M757" i="6" s="1"/>
  <c r="M979" i="6" a="1"/>
  <c r="M979" i="6" s="1"/>
  <c r="M756" i="6" a="1"/>
  <c r="M756" i="6" s="1"/>
  <c r="M978" i="6" a="1"/>
  <c r="M978" i="6" s="1"/>
  <c r="M977" i="6" a="1"/>
  <c r="M977" i="6" s="1"/>
  <c r="M976" i="6" a="1"/>
  <c r="M976" i="6" s="1"/>
  <c r="M1036" i="6" a="1"/>
  <c r="M1036" i="6" s="1"/>
  <c r="M1035" i="6" a="1"/>
  <c r="M1035" i="6" s="1"/>
  <c r="M1034" i="6" a="1"/>
  <c r="M1034" i="6" s="1"/>
  <c r="M1033" i="6" a="1"/>
  <c r="M1033" i="6" s="1"/>
  <c r="M1032" i="6" a="1"/>
  <c r="M1032" i="6" s="1"/>
  <c r="M367" i="6" a="1"/>
  <c r="M367" i="6" s="1"/>
  <c r="M499" i="6" a="1"/>
  <c r="M499" i="6" s="1"/>
  <c r="M366" i="6" a="1"/>
  <c r="M366" i="6" s="1"/>
  <c r="M365" i="6" a="1"/>
  <c r="M365" i="6" s="1"/>
  <c r="M364" i="6" a="1"/>
  <c r="M364" i="6" s="1"/>
  <c r="M363" i="6" a="1"/>
  <c r="M363" i="6" s="1"/>
  <c r="M362" i="6" a="1"/>
  <c r="M362" i="6" s="1"/>
  <c r="M498" i="6" a="1"/>
  <c r="M498" i="6" s="1"/>
  <c r="M928" i="6" a="1"/>
  <c r="M928" i="6" s="1"/>
  <c r="M927" i="6" a="1"/>
  <c r="M927" i="6" s="1"/>
  <c r="M926" i="6" a="1"/>
  <c r="M926" i="6" s="1"/>
  <c r="M925" i="6" a="1"/>
  <c r="M925" i="6" s="1"/>
  <c r="M924" i="6" a="1"/>
  <c r="M924" i="6" s="1"/>
  <c r="M923" i="6" a="1"/>
  <c r="M923" i="6" s="1"/>
  <c r="M922" i="6" a="1"/>
  <c r="M922" i="6" s="1"/>
  <c r="M921" i="6" a="1"/>
  <c r="M921" i="6" s="1"/>
  <c r="M920" i="6" a="1"/>
  <c r="M920" i="6" s="1"/>
  <c r="M919" i="6" a="1"/>
  <c r="M919" i="6" s="1"/>
  <c r="M918" i="6" a="1"/>
  <c r="M918" i="6" s="1"/>
  <c r="M917" i="6" a="1"/>
  <c r="M917" i="6" s="1"/>
  <c r="M916" i="6" a="1"/>
  <c r="M916" i="6" s="1"/>
  <c r="M915" i="6" a="1"/>
  <c r="M915" i="6" s="1"/>
  <c r="M557" i="6" a="1"/>
  <c r="M557" i="6" s="1"/>
  <c r="M556" i="6" a="1"/>
  <c r="M556" i="6" s="1"/>
  <c r="M555" i="6" a="1"/>
  <c r="M555" i="6" s="1"/>
  <c r="M554" i="6" a="1"/>
  <c r="M554" i="6" s="1"/>
  <c r="M553" i="6" a="1"/>
  <c r="M553" i="6" s="1"/>
  <c r="M552" i="6" a="1"/>
  <c r="M552" i="6" s="1"/>
  <c r="M905" i="6" a="1"/>
  <c r="M905" i="6" s="1"/>
  <c r="M904" i="6" a="1"/>
  <c r="M904" i="6" s="1"/>
  <c r="M461" i="6" a="1"/>
  <c r="M461" i="6" s="1"/>
  <c r="M946" i="6" a="1"/>
  <c r="M946" i="6" s="1"/>
  <c r="M945" i="6" a="1"/>
  <c r="M945" i="6" s="1"/>
  <c r="M944" i="6" a="1"/>
  <c r="M944" i="6" s="1"/>
  <c r="M943" i="6" a="1"/>
  <c r="M943" i="6" s="1"/>
  <c r="M942" i="6" a="1"/>
  <c r="M942" i="6" s="1"/>
  <c r="M941" i="6" a="1"/>
  <c r="M941" i="6" s="1"/>
  <c r="M838" i="6" a="1"/>
  <c r="M838" i="6" s="1"/>
  <c r="M1031" i="6" a="1"/>
  <c r="M1031" i="6" s="1"/>
  <c r="M1030" i="6" a="1"/>
  <c r="M1030" i="6" s="1"/>
  <c r="M1029" i="6" a="1"/>
  <c r="M1029" i="6" s="1"/>
  <c r="M1028" i="6" a="1"/>
  <c r="M1028" i="6" s="1"/>
  <c r="M1027" i="6" a="1"/>
  <c r="M1027" i="6" s="1"/>
  <c r="M1026" i="6" a="1"/>
  <c r="M1026" i="6" s="1"/>
  <c r="M1025" i="6" a="1"/>
  <c r="M1025" i="6" s="1"/>
  <c r="M265" i="6" a="1"/>
  <c r="M265" i="6" s="1"/>
  <c r="M423" i="6" a="1"/>
  <c r="M423" i="6" s="1"/>
  <c r="M422" i="6" a="1"/>
  <c r="M422" i="6" s="1"/>
  <c r="M140" i="6" a="1"/>
  <c r="M140" i="6" s="1"/>
  <c r="M223" i="6" a="1"/>
  <c r="M223" i="6" s="1"/>
  <c r="M222" i="6" a="1"/>
  <c r="M222" i="6" s="1"/>
  <c r="M497" i="6" a="1"/>
  <c r="M497" i="6" s="1"/>
  <c r="M496" i="6" a="1"/>
  <c r="M496" i="6" s="1"/>
  <c r="M495" i="6" a="1"/>
  <c r="M495" i="6" s="1"/>
  <c r="M494" i="6" a="1"/>
  <c r="M494" i="6" s="1"/>
  <c r="M493" i="6" a="1"/>
  <c r="M493" i="6" s="1"/>
  <c r="M492" i="6" a="1"/>
  <c r="M492" i="6" s="1"/>
  <c r="M313" i="6" a="1"/>
  <c r="M313" i="6" s="1"/>
  <c r="M312" i="6" a="1"/>
  <c r="M312" i="6" s="1"/>
  <c r="M311" i="6" a="1"/>
  <c r="M311" i="6" s="1"/>
  <c r="M310" i="6" a="1"/>
  <c r="M310" i="6" s="1"/>
  <c r="M491" i="6" a="1"/>
  <c r="M491" i="6" s="1"/>
  <c r="M548" i="6" a="1"/>
  <c r="M548" i="6" s="1"/>
  <c r="M547" i="6" a="1"/>
  <c r="M547" i="6" s="1"/>
  <c r="M546" i="6" a="1"/>
  <c r="M546" i="6" s="1"/>
  <c r="M545" i="6" a="1"/>
  <c r="M545" i="6" s="1"/>
  <c r="M901" i="6" a="1"/>
  <c r="M901" i="6" s="1"/>
  <c r="M903" i="6" a="1"/>
  <c r="M903" i="6" s="1"/>
  <c r="M551" i="6" a="1"/>
  <c r="M551" i="6" s="1"/>
  <c r="M550" i="6" a="1"/>
  <c r="M550" i="6" s="1"/>
  <c r="M902" i="6" a="1"/>
  <c r="M902" i="6" s="1"/>
  <c r="M1024" i="6" a="1"/>
  <c r="M1024" i="6" s="1"/>
  <c r="M716" i="6" a="1"/>
  <c r="M716" i="6" s="1"/>
  <c r="M221" i="6" a="1"/>
  <c r="M221" i="6" s="1"/>
  <c r="M270" i="6" a="1"/>
  <c r="M270" i="6" s="1"/>
  <c r="M269" i="6" a="1"/>
  <c r="M269" i="6" s="1"/>
  <c r="M186" i="6" a="1"/>
  <c r="M186" i="6" s="1"/>
  <c r="M185" i="6" a="1"/>
  <c r="M185" i="6" s="1"/>
  <c r="M220" i="6" a="1"/>
  <c r="M220" i="6" s="1"/>
  <c r="M219" i="6" a="1"/>
  <c r="M219" i="6" s="1"/>
  <c r="M218" i="6" a="1"/>
  <c r="M218" i="6" s="1"/>
  <c r="M217" i="6" a="1"/>
  <c r="M217" i="6" s="1"/>
  <c r="M490" i="6" a="1"/>
  <c r="M490" i="6" s="1"/>
  <c r="M489" i="6" a="1"/>
  <c r="M489" i="6" s="1"/>
  <c r="M488" i="6" a="1"/>
  <c r="M488" i="6" s="1"/>
  <c r="M487" i="6" a="1"/>
  <c r="M487" i="6" s="1"/>
  <c r="M486" i="6" a="1"/>
  <c r="M486" i="6" s="1"/>
  <c r="M794" i="6" a="1"/>
  <c r="M794" i="6" s="1"/>
  <c r="M793" i="6" a="1"/>
  <c r="M793" i="6" s="1"/>
  <c r="M854" i="6" a="1"/>
  <c r="M854" i="6" s="1"/>
  <c r="M853" i="6" a="1"/>
  <c r="M853" i="6" s="1"/>
  <c r="M953" i="6" a="1"/>
  <c r="M953" i="6" s="1"/>
  <c r="M952" i="6" a="1"/>
  <c r="M952" i="6" s="1"/>
  <c r="M851" i="6" a="1"/>
  <c r="M851" i="6" s="1"/>
  <c r="M877" i="6" a="1"/>
  <c r="M877" i="6" s="1"/>
  <c r="M951" i="6" a="1"/>
  <c r="M951" i="6" s="1"/>
  <c r="M950" i="6" a="1"/>
  <c r="M950" i="6" s="1"/>
  <c r="M850" i="6" a="1"/>
  <c r="M850" i="6" s="1"/>
  <c r="M876" i="6" a="1"/>
  <c r="M876" i="6" s="1"/>
  <c r="M875" i="6" a="1"/>
  <c r="M875" i="6" s="1"/>
  <c r="M641" i="6" a="1"/>
  <c r="M641" i="6" s="1"/>
  <c r="M883" i="6" a="1"/>
  <c r="M883" i="6" s="1"/>
  <c r="M882" i="6" a="1"/>
  <c r="M882" i="6" s="1"/>
  <c r="M640" i="6" a="1"/>
  <c r="M640" i="6" s="1"/>
  <c r="M639" i="6" a="1"/>
  <c r="M639" i="6" s="1"/>
  <c r="M638" i="6" a="1"/>
  <c r="M638" i="6" s="1"/>
  <c r="M637" i="6" a="1"/>
  <c r="M637" i="6" s="1"/>
  <c r="M460" i="6" a="1"/>
  <c r="M460" i="6" s="1"/>
  <c r="M459" i="6" a="1"/>
  <c r="M459" i="6" s="1"/>
  <c r="M458" i="6" a="1"/>
  <c r="M458" i="6" s="1"/>
  <c r="M457" i="6" a="1"/>
  <c r="M457" i="6" s="1"/>
  <c r="M456" i="6" a="1"/>
  <c r="M456" i="6" s="1"/>
  <c r="M455" i="6" a="1"/>
  <c r="M455" i="6" s="1"/>
  <c r="M454" i="6" a="1"/>
  <c r="M454" i="6" s="1"/>
  <c r="M453" i="6" a="1"/>
  <c r="M453" i="6" s="1"/>
  <c r="M452" i="6" a="1"/>
  <c r="M452" i="6" s="1"/>
  <c r="M451" i="6" a="1"/>
  <c r="M451" i="6" s="1"/>
  <c r="M450" i="6" a="1"/>
  <c r="M450" i="6" s="1"/>
  <c r="M449" i="6" a="1"/>
  <c r="M449" i="6" s="1"/>
  <c r="M669" i="6" a="1"/>
  <c r="M669" i="6" s="1"/>
  <c r="M755" i="6" a="1"/>
  <c r="M755" i="6" s="1"/>
  <c r="M1082" i="6" a="1"/>
  <c r="M1082" i="6" s="1"/>
  <c r="M754" i="6" a="1"/>
  <c r="M754" i="6" s="1"/>
  <c r="M753" i="6" a="1"/>
  <c r="M753" i="6" s="1"/>
  <c r="M752" i="6" a="1"/>
  <c r="M752" i="6" s="1"/>
  <c r="M751" i="6" a="1"/>
  <c r="M751" i="6" s="1"/>
  <c r="M750" i="6" a="1"/>
  <c r="M750" i="6" s="1"/>
  <c r="M749" i="6" a="1"/>
  <c r="M749" i="6" s="1"/>
  <c r="M1081" i="6" a="1"/>
  <c r="M1081" i="6" s="1"/>
  <c r="M1080" i="6" a="1"/>
  <c r="M1080" i="6" s="1"/>
  <c r="M1079" i="6" a="1"/>
  <c r="M1079" i="6" s="1"/>
  <c r="M1078" i="6" a="1"/>
  <c r="M1078" i="6" s="1"/>
  <c r="M1077" i="6" a="1"/>
  <c r="M1077" i="6" s="1"/>
  <c r="M1023" i="6" a="1"/>
  <c r="M1023" i="6" s="1"/>
  <c r="M1022" i="6" a="1"/>
  <c r="M1022" i="6" s="1"/>
  <c r="M268" i="6" a="1"/>
  <c r="M268" i="6" s="1"/>
  <c r="M267" i="6" a="1"/>
  <c r="M267" i="6" s="1"/>
  <c r="M787" i="6" a="1"/>
  <c r="M787" i="6" s="1"/>
  <c r="M340" i="6" a="1"/>
  <c r="M340" i="6" s="1"/>
  <c r="M1105" i="6" a="1"/>
  <c r="M1105" i="6" s="1"/>
  <c r="M619" i="6" a="1"/>
  <c r="M619" i="6" s="1"/>
  <c r="M618" i="6" a="1"/>
  <c r="M618" i="6" s="1"/>
  <c r="M617" i="6" a="1"/>
  <c r="M617" i="6" s="1"/>
  <c r="M1234" i="6" a="1"/>
  <c r="M1234" i="6" s="1"/>
  <c r="M1233" i="6" a="1"/>
  <c r="M1233" i="6" s="1"/>
  <c r="M1021" i="6" a="1"/>
  <c r="M1021" i="6" s="1"/>
  <c r="M914" i="6" a="1"/>
  <c r="M914" i="6" s="1"/>
  <c r="M1020" i="6" a="1"/>
  <c r="M1020" i="6" s="1"/>
  <c r="M264" i="6" a="1"/>
  <c r="M264" i="6" s="1"/>
  <c r="M144" i="6" a="1"/>
  <c r="M144" i="6" s="1"/>
  <c r="M309" i="6" a="1"/>
  <c r="M309" i="6" s="1"/>
  <c r="M308" i="6" a="1"/>
  <c r="M308" i="6" s="1"/>
  <c r="M307" i="6" a="1"/>
  <c r="M307" i="6" s="1"/>
  <c r="M306" i="6" a="1"/>
  <c r="M306" i="6" s="1"/>
  <c r="M305" i="6" a="1"/>
  <c r="M305" i="6" s="1"/>
  <c r="M304" i="6" a="1"/>
  <c r="M304" i="6" s="1"/>
  <c r="M1134" i="6" a="1"/>
  <c r="M1134" i="6" s="1"/>
  <c r="M1133" i="6" a="1"/>
  <c r="M1133" i="6" s="1"/>
  <c r="M50" i="6" a="1"/>
  <c r="M50" i="6" s="1"/>
  <c r="M538" i="6" a="1"/>
  <c r="M538" i="6" s="1"/>
  <c r="M537" i="6" a="1"/>
  <c r="M537" i="6" s="1"/>
  <c r="M536" i="6" a="1"/>
  <c r="M536" i="6" s="1"/>
  <c r="M485" i="6" a="1"/>
  <c r="M485" i="6" s="1"/>
  <c r="M484" i="6" a="1"/>
  <c r="M484" i="6" s="1"/>
  <c r="M483" i="6" a="1"/>
  <c r="M483" i="6" s="1"/>
  <c r="M482" i="6" a="1"/>
  <c r="M482" i="6" s="1"/>
  <c r="M481" i="6" a="1"/>
  <c r="M481" i="6" s="1"/>
  <c r="M480" i="6" a="1"/>
  <c r="M480" i="6" s="1"/>
  <c r="M479" i="6" a="1"/>
  <c r="M479" i="6" s="1"/>
  <c r="M900" i="6" a="1"/>
  <c r="M900" i="6" s="1"/>
  <c r="M899" i="6" a="1"/>
  <c r="M899" i="6" s="1"/>
  <c r="M898" i="6" a="1"/>
  <c r="M898" i="6" s="1"/>
  <c r="M897" i="6" a="1"/>
  <c r="M897" i="6" s="1"/>
  <c r="M105" i="6" a="1"/>
  <c r="M105" i="6" s="1"/>
  <c r="M167" i="6" a="1"/>
  <c r="M167" i="6" s="1"/>
  <c r="M21" i="6" a="1"/>
  <c r="M21" i="6" s="1"/>
  <c r="M166" i="6" a="1"/>
  <c r="M166" i="6" s="1"/>
  <c r="M104" i="6" a="1"/>
  <c r="M104" i="6" s="1"/>
  <c r="M103" i="6" a="1"/>
  <c r="M103" i="6" s="1"/>
  <c r="M216" i="6" a="1"/>
  <c r="M216" i="6" s="1"/>
  <c r="M303" i="6" a="1"/>
  <c r="M303" i="6" s="1"/>
  <c r="M84" i="6" a="1"/>
  <c r="M84" i="6" s="1"/>
  <c r="M83" i="6" a="1"/>
  <c r="M83" i="6" s="1"/>
  <c r="M82" i="6" a="1"/>
  <c r="M82" i="6" s="1"/>
  <c r="M81" i="6" a="1"/>
  <c r="M81" i="6" s="1"/>
  <c r="M263" i="6" a="1"/>
  <c r="M263" i="6" s="1"/>
  <c r="M262" i="6" a="1"/>
  <c r="M262" i="6" s="1"/>
  <c r="M215" i="6" a="1"/>
  <c r="M215" i="6" s="1"/>
  <c r="M1118" i="6" a="1"/>
  <c r="M1118" i="6" s="1"/>
  <c r="M1117" i="6" a="1"/>
  <c r="M1117" i="6" s="1"/>
  <c r="M1116" i="6" a="1"/>
  <c r="M1116" i="6" s="1"/>
  <c r="M636" i="6" a="1"/>
  <c r="M636" i="6" s="1"/>
  <c r="M881" i="6" a="1"/>
  <c r="M881" i="6" s="1"/>
  <c r="M880" i="6" a="1"/>
  <c r="M880" i="6" s="1"/>
  <c r="M879" i="6" a="1"/>
  <c r="M879" i="6" s="1"/>
  <c r="M878" i="6" a="1"/>
  <c r="M878" i="6" s="1"/>
  <c r="M822" i="6" a="1"/>
  <c r="M822" i="6" s="1"/>
  <c r="M821" i="6" a="1"/>
  <c r="M821" i="6" s="1"/>
  <c r="M820" i="6" a="1"/>
  <c r="M820" i="6" s="1"/>
  <c r="M819" i="6" a="1"/>
  <c r="M819" i="6" s="1"/>
  <c r="M818" i="6" a="1"/>
  <c r="M818" i="6" s="1"/>
  <c r="M817" i="6" a="1"/>
  <c r="M817" i="6" s="1"/>
  <c r="M816" i="6" a="1"/>
  <c r="M816" i="6" s="1"/>
  <c r="M815" i="6" a="1"/>
  <c r="M815" i="6" s="1"/>
  <c r="M814" i="6" a="1"/>
  <c r="M814" i="6" s="1"/>
  <c r="M813" i="6" a="1"/>
  <c r="M813" i="6" s="1"/>
  <c r="M812" i="6" a="1"/>
  <c r="M812" i="6" s="1"/>
  <c r="M811" i="6" a="1"/>
  <c r="M811" i="6" s="1"/>
  <c r="M1076" i="6" a="1"/>
  <c r="M1076" i="6" s="1"/>
  <c r="M1238" i="6" a="1"/>
  <c r="M1238" i="6" s="1"/>
  <c r="M1256" i="6" a="1"/>
  <c r="M1256" i="6" s="1"/>
  <c r="M1255" i="6" a="1"/>
  <c r="M1255" i="6" s="1"/>
  <c r="M1254" i="6" a="1"/>
  <c r="M1254" i="6" s="1"/>
  <c r="M1253" i="6" a="1"/>
  <c r="M1253" i="6" s="1"/>
  <c r="M1252" i="6" a="1"/>
  <c r="M1252" i="6" s="1"/>
  <c r="M1251" i="6" a="1"/>
  <c r="M1251" i="6" s="1"/>
  <c r="M1250" i="6" a="1"/>
  <c r="M1250" i="6" s="1"/>
  <c r="M1249" i="6" a="1"/>
  <c r="M1249" i="6" s="1"/>
  <c r="M16" i="6" a="1"/>
  <c r="M16" i="6" s="1"/>
  <c r="M393" i="6" a="1"/>
  <c r="M393" i="6" s="1"/>
  <c r="M214" i="6" a="1"/>
  <c r="M214" i="6" s="1"/>
  <c r="M213" i="6" a="1"/>
  <c r="M213" i="6" s="1"/>
  <c r="M616" i="6" a="1"/>
  <c r="M616" i="6" s="1"/>
  <c r="M975" i="6" a="1"/>
  <c r="M975" i="6" s="1"/>
  <c r="M974" i="6" a="1"/>
  <c r="M974" i="6" s="1"/>
  <c r="M973" i="6" a="1"/>
  <c r="M973" i="6" s="1"/>
  <c r="M972" i="6" a="1"/>
  <c r="M972" i="6" s="1"/>
  <c r="M1132" i="6" a="1"/>
  <c r="M1132" i="6" s="1"/>
  <c r="M1131" i="6" a="1"/>
  <c r="M1131" i="6" s="1"/>
  <c r="M1237" i="6" a="1"/>
  <c r="M1237" i="6" s="1"/>
  <c r="M1130" i="6" a="1"/>
  <c r="M1130" i="6" s="1"/>
  <c r="M1129" i="6" a="1"/>
  <c r="M1129" i="6" s="1"/>
  <c r="M1128" i="6" a="1"/>
  <c r="M1128" i="6" s="1"/>
  <c r="M1127" i="6" a="1"/>
  <c r="M1127" i="6" s="1"/>
  <c r="M1236" i="6" a="1"/>
  <c r="M1236" i="6" s="1"/>
  <c r="M1190" i="6" a="1"/>
  <c r="M1190" i="6" s="1"/>
  <c r="M1189" i="6" a="1"/>
  <c r="M1189" i="6" s="1"/>
  <c r="M244" i="6" a="1"/>
  <c r="M244" i="6" s="1"/>
  <c r="M748" i="6" a="1"/>
  <c r="M748" i="6" s="1"/>
  <c r="M212" i="6" a="1"/>
  <c r="M212" i="6" s="1"/>
  <c r="M211" i="6" a="1"/>
  <c r="M211" i="6" s="1"/>
  <c r="M210" i="6" a="1"/>
  <c r="M210" i="6" s="1"/>
  <c r="M209" i="6" a="1"/>
  <c r="M209" i="6" s="1"/>
  <c r="M80" i="6" a="1"/>
  <c r="M80" i="6" s="1"/>
  <c r="M79" i="6" a="1"/>
  <c r="M79" i="6" s="1"/>
  <c r="M588" i="6" a="1"/>
  <c r="M588" i="6" s="1"/>
  <c r="M940" i="6" a="1"/>
  <c r="M940" i="6" s="1"/>
  <c r="M33" i="6" a="1"/>
  <c r="M33" i="6" s="1"/>
  <c r="M32" i="6" a="1"/>
  <c r="M32" i="6" s="1"/>
  <c r="M102" i="6" a="1"/>
  <c r="M102" i="6" s="1"/>
  <c r="M165" i="6" a="1"/>
  <c r="M165" i="6" s="1"/>
  <c r="M208" i="6" a="1"/>
  <c r="M208" i="6" s="1"/>
  <c r="M164" i="6" a="1"/>
  <c r="M164" i="6" s="1"/>
  <c r="M207" i="6" a="1"/>
  <c r="M207" i="6" s="1"/>
  <c r="M206" i="6" a="1"/>
  <c r="M206" i="6" s="1"/>
  <c r="M549" i="6" a="1"/>
  <c r="M549" i="6" s="1"/>
  <c r="M261" i="6" a="1"/>
  <c r="M261" i="6" s="1"/>
  <c r="M260" i="6" a="1"/>
  <c r="M260" i="6" s="1"/>
  <c r="M259" i="6" a="1"/>
  <c r="M259" i="6" s="1"/>
  <c r="M339" i="6" a="1"/>
  <c r="M339" i="6" s="1"/>
  <c r="M361" i="6" a="1"/>
  <c r="M361" i="6" s="1"/>
  <c r="M528" i="6" a="1"/>
  <c r="M528" i="6" s="1"/>
  <c r="M527" i="6" a="1"/>
  <c r="M527" i="6" s="1"/>
  <c r="M526" i="6" a="1"/>
  <c r="M526" i="6" s="1"/>
  <c r="M101" i="6" a="1"/>
  <c r="M101" i="6" s="1"/>
  <c r="M13" i="6" a="1"/>
  <c r="M13" i="6" s="1"/>
  <c r="M139" i="6" a="1"/>
  <c r="M139" i="6" s="1"/>
  <c r="M12" i="6" a="1"/>
  <c r="M12" i="6" s="1"/>
  <c r="M163" i="6" a="1"/>
  <c r="M163" i="6" s="1"/>
  <c r="M162" i="6" a="1"/>
  <c r="M162" i="6" s="1"/>
  <c r="M100" i="6" a="1"/>
  <c r="M100" i="6" s="1"/>
  <c r="M184" i="6" a="1"/>
  <c r="M184" i="6" s="1"/>
  <c r="M183" i="6" a="1"/>
  <c r="M183" i="6" s="1"/>
  <c r="M182" i="6" a="1"/>
  <c r="M182" i="6" s="1"/>
  <c r="M181" i="6" a="1"/>
  <c r="M181" i="6" s="1"/>
  <c r="M392" i="6" a="1"/>
  <c r="M392" i="6" s="1"/>
  <c r="M391" i="6" a="1"/>
  <c r="M391" i="6" s="1"/>
  <c r="M338" i="6" a="1"/>
  <c r="M338" i="6" s="1"/>
  <c r="M1169" i="6" a="1"/>
  <c r="M1169" i="6" s="1"/>
  <c r="M1168" i="6" a="1"/>
  <c r="M1168" i="6" s="1"/>
  <c r="M1167" i="6" a="1"/>
  <c r="M1167" i="6" s="1"/>
  <c r="M1166" i="6" a="1"/>
  <c r="M1166" i="6" s="1"/>
  <c r="M1266" i="6" a="1"/>
  <c r="M1266" i="6" s="1"/>
  <c r="M715" i="6" a="1"/>
  <c r="M715" i="6" s="1"/>
  <c r="M714" i="6" a="1"/>
  <c r="M714" i="6" s="1"/>
  <c r="M713" i="6" a="1"/>
  <c r="M713" i="6" s="1"/>
  <c r="M1165" i="6" a="1"/>
  <c r="M1165" i="6" s="1"/>
  <c r="M874" i="6" a="1"/>
  <c r="M874" i="6" s="1"/>
  <c r="M873" i="6" a="1"/>
  <c r="M873" i="6" s="1"/>
  <c r="M593" i="6" a="1"/>
  <c r="M593" i="6" s="1"/>
  <c r="M448" i="6" a="1"/>
  <c r="M448" i="6" s="1"/>
  <c r="M872" i="6" a="1"/>
  <c r="M872" i="6" s="1"/>
  <c r="M447" i="6" a="1"/>
  <c r="M447" i="6" s="1"/>
  <c r="M446" i="6" a="1"/>
  <c r="M446" i="6" s="1"/>
  <c r="M445" i="6" a="1"/>
  <c r="M445" i="6" s="1"/>
  <c r="M444" i="6" a="1"/>
  <c r="M444" i="6" s="1"/>
  <c r="M443" i="6" a="1"/>
  <c r="M443" i="6" s="1"/>
  <c r="M592" i="6" a="1"/>
  <c r="M592" i="6" s="1"/>
  <c r="M871" i="6" a="1"/>
  <c r="M871" i="6" s="1"/>
  <c r="M870" i="6" a="1"/>
  <c r="M870" i="6" s="1"/>
  <c r="M869" i="6" a="1"/>
  <c r="M869" i="6" s="1"/>
  <c r="M868" i="6" a="1"/>
  <c r="M868" i="6" s="1"/>
  <c r="M867" i="6" a="1"/>
  <c r="M867" i="6" s="1"/>
  <c r="M591" i="6" a="1"/>
  <c r="M591" i="6" s="1"/>
  <c r="M620" i="6" a="1"/>
  <c r="M620" i="6" s="1"/>
  <c r="M587" i="6" a="1"/>
  <c r="M587" i="6" s="1"/>
  <c r="M586" i="6" a="1"/>
  <c r="M586" i="6" s="1"/>
  <c r="M585" i="6" a="1"/>
  <c r="M585" i="6" s="1"/>
  <c r="M939" i="6" a="1"/>
  <c r="M939" i="6" s="1"/>
  <c r="M668" i="6" a="1"/>
  <c r="M668" i="6" s="1"/>
  <c r="M667" i="6" a="1"/>
  <c r="M667" i="6" s="1"/>
  <c r="M666" i="6" a="1"/>
  <c r="M666" i="6" s="1"/>
  <c r="M665" i="6" a="1"/>
  <c r="M665" i="6" s="1"/>
  <c r="M143" i="6" a="1"/>
  <c r="M143" i="6" s="1"/>
  <c r="M180" i="6" a="1"/>
  <c r="M180" i="6" s="1"/>
  <c r="M664" i="6" a="1"/>
  <c r="M664" i="6" s="1"/>
  <c r="M663" i="6" a="1"/>
  <c r="M663" i="6" s="1"/>
  <c r="M662" i="6" a="1"/>
  <c r="M662" i="6" s="1"/>
  <c r="M661" i="6" a="1"/>
  <c r="M661" i="6" s="1"/>
  <c r="M1104" i="6" a="1"/>
  <c r="M1104" i="6" s="1"/>
  <c r="M1103" i="6" a="1"/>
  <c r="M1103" i="6" s="1"/>
  <c r="M660" i="6" a="1"/>
  <c r="M660" i="6" s="1"/>
  <c r="M1102" i="6" a="1"/>
  <c r="M1102" i="6" s="1"/>
  <c r="M659" i="6" a="1"/>
  <c r="M659" i="6" s="1"/>
  <c r="M1101" i="6" a="1"/>
  <c r="M1101" i="6" s="1"/>
  <c r="M205" i="6" a="1"/>
  <c r="M205" i="6" s="1"/>
  <c r="M204" i="6" a="1"/>
  <c r="M204" i="6" s="1"/>
  <c r="M421" i="6" a="1"/>
  <c r="M421" i="6" s="1"/>
  <c r="M804" i="6" a="1"/>
  <c r="M804" i="6" s="1"/>
  <c r="M803" i="6" a="1"/>
  <c r="M803" i="6" s="1"/>
  <c r="M802" i="6" a="1"/>
  <c r="M802" i="6" s="1"/>
  <c r="M801" i="6" a="1"/>
  <c r="M801" i="6" s="1"/>
  <c r="M624" i="6" a="1"/>
  <c r="M624" i="6" s="1"/>
  <c r="M852" i="6" a="1"/>
  <c r="M852" i="6" s="1"/>
  <c r="M203" i="6" a="1"/>
  <c r="M203" i="6" s="1"/>
  <c r="M478" i="6" a="1"/>
  <c r="M478" i="6" s="1"/>
  <c r="M251" i="6" a="1"/>
  <c r="M251" i="6" s="1"/>
  <c r="M250" i="6" a="1"/>
  <c r="M250" i="6" s="1"/>
  <c r="M337" i="6" a="1"/>
  <c r="M337" i="6" s="1"/>
  <c r="M477" i="6" a="1"/>
  <c r="M477" i="6" s="1"/>
  <c r="M476" i="6" a="1"/>
  <c r="M476" i="6" s="1"/>
  <c r="M658" i="6" a="1"/>
  <c r="M658" i="6" s="1"/>
  <c r="M657" i="6" a="1"/>
  <c r="M657" i="6" s="1"/>
  <c r="M656" i="6" a="1"/>
  <c r="M656" i="6" s="1"/>
  <c r="M1100" i="6" a="1"/>
  <c r="M1100" i="6" s="1"/>
  <c r="M1099" i="6" a="1"/>
  <c r="M1099" i="6" s="1"/>
  <c r="M1098" i="6" a="1"/>
  <c r="M1098" i="6" s="1"/>
  <c r="M1097" i="6" a="1"/>
  <c r="M1097" i="6" s="1"/>
  <c r="M628" i="6" a="1"/>
  <c r="M628" i="6" s="1"/>
  <c r="M627" i="6" a="1"/>
  <c r="M627" i="6" s="1"/>
  <c r="M623" i="6" a="1"/>
  <c r="M623" i="6" s="1"/>
  <c r="M626" i="6" a="1"/>
  <c r="M626" i="6" s="1"/>
  <c r="M1126" i="6" a="1"/>
  <c r="M1126" i="6" s="1"/>
  <c r="M1125" i="6" a="1"/>
  <c r="M1125" i="6" s="1"/>
  <c r="M913" i="6" a="1"/>
  <c r="M913" i="6" s="1"/>
  <c r="M912" i="6" a="1"/>
  <c r="M912" i="6" s="1"/>
  <c r="M911" i="6" a="1"/>
  <c r="M911" i="6" s="1"/>
  <c r="M910" i="6" a="1"/>
  <c r="M910" i="6" s="1"/>
  <c r="M747" i="6" a="1"/>
  <c r="M747" i="6" s="1"/>
  <c r="M746" i="6" a="1"/>
  <c r="M746" i="6" s="1"/>
  <c r="M745" i="6" a="1"/>
  <c r="M745" i="6" s="1"/>
  <c r="M744" i="6" a="1"/>
  <c r="M744" i="6" s="1"/>
  <c r="M1075" i="6" a="1"/>
  <c r="M1075" i="6" s="1"/>
  <c r="M1074" i="6" a="1"/>
  <c r="M1074" i="6" s="1"/>
  <c r="M1073" i="6" a="1"/>
  <c r="M1073" i="6" s="1"/>
  <c r="M1072" i="6" a="1"/>
  <c r="M1072" i="6" s="1"/>
  <c r="M1071" i="6" a="1"/>
  <c r="M1071" i="6" s="1"/>
  <c r="M202" i="6" a="1"/>
  <c r="M202" i="6" s="1"/>
  <c r="M142" i="6" a="1"/>
  <c r="M142" i="6" s="1"/>
  <c r="M67" i="6" a="1"/>
  <c r="M67" i="6" s="1"/>
  <c r="M152" i="6" a="1"/>
  <c r="M152" i="6" s="1"/>
  <c r="M151" i="6" a="1"/>
  <c r="M151" i="6" s="1"/>
  <c r="M335" i="6" a="1"/>
  <c r="M335" i="6" s="1"/>
  <c r="M334" i="6" a="1"/>
  <c r="M334" i="6" s="1"/>
  <c r="M535" i="6" a="1"/>
  <c r="M535" i="6" s="1"/>
  <c r="M534" i="6" a="1"/>
  <c r="M534" i="6" s="1"/>
  <c r="M333" i="6" a="1"/>
  <c r="M333" i="6" s="1"/>
  <c r="M273" i="6" a="1"/>
  <c r="M273" i="6" s="1"/>
  <c r="M272" i="6" a="1"/>
  <c r="M272" i="6" s="1"/>
  <c r="M332" i="6" a="1"/>
  <c r="M332" i="6" s="1"/>
  <c r="M533" i="6" a="1"/>
  <c r="M533" i="6" s="1"/>
  <c r="M532" i="6" a="1"/>
  <c r="M532" i="6" s="1"/>
  <c r="M531" i="6" a="1"/>
  <c r="M531" i="6" s="1"/>
  <c r="M331" i="6" a="1"/>
  <c r="M331" i="6" s="1"/>
  <c r="M330" i="6" a="1"/>
  <c r="M330" i="6" s="1"/>
  <c r="M329" i="6" a="1"/>
  <c r="M329" i="6" s="1"/>
  <c r="M328" i="6" a="1"/>
  <c r="M328" i="6" s="1"/>
  <c r="M327" i="6" a="1"/>
  <c r="M327" i="6" s="1"/>
  <c r="M271" i="6" a="1"/>
  <c r="M271" i="6" s="1"/>
  <c r="M354" i="6" a="1"/>
  <c r="M354" i="6" s="1"/>
  <c r="M353" i="6" a="1"/>
  <c r="M353" i="6" s="1"/>
  <c r="M352" i="6" a="1"/>
  <c r="M352" i="6" s="1"/>
  <c r="M351" i="6" a="1"/>
  <c r="M351" i="6" s="1"/>
  <c r="M350" i="6" a="1"/>
  <c r="M350" i="6" s="1"/>
  <c r="M349" i="6" a="1"/>
  <c r="M349" i="6" s="1"/>
  <c r="M348" i="6" a="1"/>
  <c r="M348" i="6" s="1"/>
  <c r="M347" i="6" a="1"/>
  <c r="M347" i="6" s="1"/>
  <c r="M346" i="6" a="1"/>
  <c r="M346" i="6" s="1"/>
  <c r="M655" i="6" a="1"/>
  <c r="M655" i="6" s="1"/>
  <c r="M654" i="6" a="1"/>
  <c r="M654" i="6" s="1"/>
  <c r="M653" i="6" a="1"/>
  <c r="M653" i="6" s="1"/>
  <c r="M530" i="6" a="1"/>
  <c r="M530" i="6" s="1"/>
  <c r="M529" i="6" a="1"/>
  <c r="M529" i="6" s="1"/>
  <c r="M652" i="6" a="1"/>
  <c r="M652" i="6" s="1"/>
  <c r="M651" i="6" a="1"/>
  <c r="M651" i="6" s="1"/>
  <c r="M475" i="6" a="1"/>
  <c r="M475" i="6" s="1"/>
  <c r="M302" i="6" a="1"/>
  <c r="M302" i="6" s="1"/>
  <c r="M68" i="6" a="1"/>
  <c r="M68" i="6" s="1"/>
  <c r="M650" i="6" a="1"/>
  <c r="M650" i="6" s="1"/>
  <c r="M649" i="6" a="1"/>
  <c r="M649" i="6" s="1"/>
  <c r="M648" i="6" a="1"/>
  <c r="M648" i="6" s="1"/>
  <c r="M99" i="6" a="1"/>
  <c r="M99" i="6" s="1"/>
  <c r="M120" i="6" a="1"/>
  <c r="M120" i="6" s="1"/>
  <c r="M127" i="6" a="1"/>
  <c r="M127" i="6" s="1"/>
  <c r="M98" i="6" a="1"/>
  <c r="M98" i="6" s="1"/>
  <c r="M119" i="6" a="1"/>
  <c r="M119" i="6" s="1"/>
  <c r="M126" i="6" a="1"/>
  <c r="M126" i="6" s="1"/>
  <c r="M118" i="6" a="1"/>
  <c r="M118" i="6" s="1"/>
  <c r="M78" i="6" a="1"/>
  <c r="M78" i="6" s="1"/>
  <c r="M301" i="6" a="1"/>
  <c r="M301" i="6" s="1"/>
  <c r="M300" i="6" a="1"/>
  <c r="M300" i="6" s="1"/>
  <c r="M1248" i="6" a="1"/>
  <c r="M1248" i="6" s="1"/>
  <c r="M1247" i="6" a="1"/>
  <c r="M1247" i="6" s="1"/>
  <c r="M1211" i="6" a="1"/>
  <c r="M1211" i="6" s="1"/>
  <c r="M1210" i="6" a="1"/>
  <c r="M1210" i="6" s="1"/>
  <c r="M49" i="6" a="1"/>
  <c r="M49" i="6" s="1"/>
  <c r="M74" i="6" a="1"/>
  <c r="M74" i="6" s="1"/>
  <c r="M116" i="6" a="1"/>
  <c r="M116" i="6" s="1"/>
  <c r="M1124" i="6" a="1"/>
  <c r="M1124" i="6" s="1"/>
  <c r="M1209" i="6" a="1"/>
  <c r="M1209" i="6" s="1"/>
  <c r="M1123" i="6" a="1"/>
  <c r="M1123" i="6" s="1"/>
  <c r="M1122" i="6" a="1"/>
  <c r="M1122" i="6" s="1"/>
  <c r="M1121" i="6" a="1"/>
  <c r="M1121" i="6" s="1"/>
  <c r="M1120" i="6" a="1"/>
  <c r="M1120" i="6" s="1"/>
  <c r="M1119" i="6" a="1"/>
  <c r="M1119" i="6" s="1"/>
  <c r="M1188" i="6" a="1"/>
  <c r="M1188" i="6" s="1"/>
  <c r="M1187" i="6" a="1"/>
  <c r="M1187" i="6" s="1"/>
  <c r="M1186" i="6" a="1"/>
  <c r="M1186" i="6" s="1"/>
  <c r="M1185" i="6" a="1"/>
  <c r="M1185" i="6" s="1"/>
  <c r="M1184" i="6" a="1"/>
  <c r="M1184" i="6" s="1"/>
  <c r="M1183" i="6" a="1"/>
  <c r="M1183" i="6" s="1"/>
  <c r="M1182" i="6" a="1"/>
  <c r="M1182" i="6" s="1"/>
  <c r="M1181" i="6" a="1"/>
  <c r="M1181" i="6" s="1"/>
  <c r="M1242" i="6" a="1"/>
  <c r="M1242" i="6" s="1"/>
  <c r="M1241" i="6" a="1"/>
  <c r="M1241" i="6" s="1"/>
  <c r="M1240" i="6" a="1"/>
  <c r="M1240" i="6" s="1"/>
  <c r="M1239" i="6" a="1"/>
  <c r="M1239" i="6" s="1"/>
  <c r="M1265" i="6" a="1"/>
  <c r="M1265" i="6" s="1"/>
  <c r="M1264" i="6" a="1"/>
  <c r="M1264" i="6" s="1"/>
  <c r="M1263" i="6" a="1"/>
  <c r="M1263" i="6" s="1"/>
  <c r="M1262" i="6" a="1"/>
  <c r="M1262" i="6" s="1"/>
  <c r="M1261" i="6" a="1"/>
  <c r="M1261" i="6" s="1"/>
  <c r="M125" i="6" a="1"/>
  <c r="M125" i="6" s="1"/>
  <c r="M72" i="6" a="1"/>
  <c r="M72" i="6" s="1"/>
  <c r="M743" i="6" a="1"/>
  <c r="M743" i="6" s="1"/>
  <c r="M590" i="6" a="1"/>
  <c r="M590" i="6" s="1"/>
  <c r="M647" i="6" a="1"/>
  <c r="M647" i="6" s="1"/>
  <c r="M949" i="6" a="1"/>
  <c r="M949" i="6" s="1"/>
  <c r="M646" i="6" a="1"/>
  <c r="M646" i="6" s="1"/>
  <c r="M645" i="6" a="1"/>
  <c r="M645" i="6" s="1"/>
  <c r="M644" i="6" a="1"/>
  <c r="M644" i="6" s="1"/>
  <c r="M948" i="6" a="1"/>
  <c r="M948" i="6" s="1"/>
  <c r="M947" i="6" a="1"/>
  <c r="M947" i="6" s="1"/>
  <c r="M615" i="6" a="1"/>
  <c r="M615" i="6" s="1"/>
  <c r="M117" i="6" a="1"/>
  <c r="M117" i="6" s="1"/>
  <c r="M97" i="6" a="1"/>
  <c r="M97" i="6" s="1"/>
  <c r="M69" i="6" a="1"/>
  <c r="M69" i="6" s="1"/>
  <c r="M48" i="6" a="1"/>
  <c r="M48" i="6" s="1"/>
  <c r="M65" i="6" a="1"/>
  <c r="M65" i="6" s="1"/>
  <c r="M266" i="6" a="1"/>
  <c r="M266" i="6" s="1"/>
  <c r="M336" i="6" a="1"/>
  <c r="M336" i="6" s="1"/>
  <c r="M1180" i="6" a="1"/>
  <c r="M1180" i="6" s="1"/>
  <c r="M1179" i="6" a="1"/>
  <c r="M1179" i="6" s="1"/>
  <c r="M1178" i="6" a="1"/>
  <c r="M1178" i="6" s="1"/>
  <c r="M420" i="6" a="1"/>
  <c r="M420" i="6" s="1"/>
  <c r="M419" i="6" a="1"/>
  <c r="M419" i="6" s="1"/>
  <c r="M418" i="6" a="1"/>
  <c r="M418" i="6" s="1"/>
  <c r="M64" i="6" a="1"/>
  <c r="M64" i="6" s="1"/>
  <c r="M345" i="6" a="1"/>
  <c r="M345" i="6" s="1"/>
  <c r="M115" i="6" a="1"/>
  <c r="M115" i="6" s="1"/>
  <c r="M434" i="6" a="1"/>
  <c r="M434" i="6" s="1"/>
  <c r="M625" i="6" a="1"/>
  <c r="M625" i="6" s="1"/>
  <c r="M20" i="6" a="1"/>
  <c r="M20" i="6" s="1"/>
  <c r="M161" i="6" a="1"/>
  <c r="M161" i="6" s="1"/>
  <c r="M160" i="6" a="1"/>
  <c r="M160" i="6" s="1"/>
  <c r="M96" i="6" a="1"/>
  <c r="M96" i="6" s="1"/>
  <c r="M159" i="6" a="1"/>
  <c r="M159" i="6" s="1"/>
  <c r="M95" i="6" a="1"/>
  <c r="M95" i="6" s="1"/>
  <c r="M158" i="6" a="1"/>
  <c r="M158" i="6" s="1"/>
  <c r="M157" i="6" a="1"/>
  <c r="M157" i="6" s="1"/>
  <c r="M94" i="6" a="1"/>
  <c r="M94" i="6" s="1"/>
  <c r="M93" i="6" a="1"/>
  <c r="M93" i="6" s="1"/>
  <c r="M31" i="6" a="1"/>
  <c r="M31" i="6" s="1"/>
  <c r="M201" i="6" a="1"/>
  <c r="M201" i="6" s="1"/>
  <c r="M47" i="6" a="1"/>
  <c r="M47" i="6" s="1"/>
  <c r="M46" i="6" a="1"/>
  <c r="M46" i="6" s="1"/>
  <c r="M42" i="6" a="1"/>
  <c r="M42" i="6" s="1"/>
  <c r="M77" i="6" a="1"/>
  <c r="M77" i="6" s="1"/>
  <c r="M156" i="6" a="1"/>
  <c r="M156" i="6" s="1"/>
  <c r="M200" i="6" a="1"/>
  <c r="M200" i="6" s="1"/>
  <c r="M791" i="6" a="1"/>
  <c r="M791" i="6" s="1"/>
  <c r="M584" i="6" a="1"/>
  <c r="M584" i="6" s="1"/>
  <c r="M583" i="6" a="1"/>
  <c r="M583" i="6" s="1"/>
  <c r="M582" i="6" a="1"/>
  <c r="M582" i="6" s="1"/>
  <c r="M938" i="6" a="1"/>
  <c r="M938" i="6" s="1"/>
  <c r="M790" i="6" a="1"/>
  <c r="M790" i="6" s="1"/>
  <c r="M961" i="6" a="1"/>
  <c r="M961" i="6" s="1"/>
  <c r="M960" i="6" a="1"/>
  <c r="M960" i="6" s="1"/>
  <c r="M937" i="6" a="1"/>
  <c r="M937" i="6" s="1"/>
  <c r="M56" i="6" a="1"/>
  <c r="M56" i="6" s="1"/>
  <c r="M25" i="6" a="1"/>
  <c r="M25" i="6" s="1"/>
  <c r="M45" i="6" a="1"/>
  <c r="M45" i="6" s="1"/>
  <c r="M249" i="6" a="1"/>
  <c r="M249" i="6" s="1"/>
  <c r="M248" i="6" a="1"/>
  <c r="M248" i="6" s="1"/>
  <c r="M247" i="6" a="1"/>
  <c r="M247" i="6" s="1"/>
  <c r="M138" i="6" a="1"/>
  <c r="M138" i="6" s="1"/>
  <c r="M360" i="6" a="1"/>
  <c r="M360" i="6" s="1"/>
  <c r="M258" i="6" a="1"/>
  <c r="M258" i="6" s="1"/>
  <c r="M433" i="6" a="1"/>
  <c r="M433" i="6" s="1"/>
  <c r="M179" i="6" a="1"/>
  <c r="M179" i="6" s="1"/>
  <c r="M178" i="6" a="1"/>
  <c r="M178" i="6" s="1"/>
  <c r="M177" i="6" a="1"/>
  <c r="M177" i="6" s="1"/>
  <c r="M176" i="6" a="1"/>
  <c r="M176" i="6" s="1"/>
  <c r="M175" i="6" a="1"/>
  <c r="M175" i="6" s="1"/>
  <c r="M390" i="6" a="1"/>
  <c r="M390" i="6" s="1"/>
  <c r="M389" i="6" a="1"/>
  <c r="M389" i="6" s="1"/>
  <c r="M388" i="6" a="1"/>
  <c r="M388" i="6" s="1"/>
  <c r="M387" i="6" a="1"/>
  <c r="M387" i="6" s="1"/>
  <c r="M386" i="6" a="1"/>
  <c r="M386" i="6" s="1"/>
  <c r="M385" i="6" a="1"/>
  <c r="M385" i="6" s="1"/>
  <c r="M384" i="6" a="1"/>
  <c r="M384" i="6" s="1"/>
  <c r="M383" i="6" a="1"/>
  <c r="M383" i="6" s="1"/>
  <c r="M936" i="6" a="1"/>
  <c r="M936" i="6" s="1"/>
  <c r="M935" i="6" a="1"/>
  <c r="M935" i="6" s="1"/>
  <c r="M934" i="6" a="1"/>
  <c r="M934" i="6" s="1"/>
  <c r="M933" i="6" a="1"/>
  <c r="M933" i="6" s="1"/>
  <c r="M849" i="6" a="1"/>
  <c r="M849" i="6" s="1"/>
  <c r="M788" i="6" a="1"/>
  <c r="M788" i="6" s="1"/>
  <c r="M4" i="6" a="1"/>
  <c r="M4" i="6" s="1"/>
  <c r="M3" i="6" a="1"/>
  <c r="M3" i="6" s="1"/>
  <c r="M7" i="6" a="1"/>
  <c r="M7" i="6" s="1"/>
  <c r="M299" i="6" a="1"/>
  <c r="M299" i="6" s="1"/>
  <c r="M137" i="6" a="1"/>
  <c r="M137" i="6" s="1"/>
  <c r="M359" i="6" a="1"/>
  <c r="M359" i="6" s="1"/>
  <c r="M417" i="6" a="1"/>
  <c r="M417" i="6" s="1"/>
  <c r="M192" i="6" a="1"/>
  <c r="M192" i="6" s="1"/>
  <c r="M191" i="6" a="1"/>
  <c r="M191" i="6" s="1"/>
  <c r="M199" i="6" a="1"/>
  <c r="M199" i="6" s="1"/>
  <c r="M358" i="6" a="1"/>
  <c r="M358" i="6" s="1"/>
  <c r="M298" i="6" a="1"/>
  <c r="M298" i="6" s="1"/>
  <c r="M297" i="6" a="1"/>
  <c r="M297" i="6" s="1"/>
  <c r="M296" i="6" a="1"/>
  <c r="M296" i="6" s="1"/>
  <c r="M198" i="6" a="1"/>
  <c r="M198" i="6" s="1"/>
  <c r="M589" i="6" a="1"/>
  <c r="M589" i="6" s="1"/>
  <c r="M1208" i="6" a="1"/>
  <c r="M1208" i="6" s="1"/>
  <c r="M1207" i="6" a="1"/>
  <c r="M1207" i="6" s="1"/>
  <c r="M1206" i="6" a="1"/>
  <c r="M1206" i="6" s="1"/>
  <c r="M1070" i="6" a="1"/>
  <c r="M1070" i="6" s="1"/>
  <c r="M1069" i="6" a="1"/>
  <c r="M1069" i="6" s="1"/>
  <c r="M1205" i="6" a="1"/>
  <c r="M1205" i="6" s="1"/>
  <c r="M1204" i="6" a="1"/>
  <c r="M1204" i="6" s="1"/>
  <c r="M1068" i="6" a="1"/>
  <c r="M1068" i="6" s="1"/>
  <c r="M1067" i="6" a="1"/>
  <c r="M1067" i="6" s="1"/>
  <c r="M1066" i="6" a="1"/>
  <c r="M1066" i="6" s="1"/>
  <c r="M1203" i="6" a="1"/>
  <c r="M1203" i="6" s="1"/>
  <c r="M5" i="6" a="1"/>
  <c r="M5" i="6" s="1"/>
  <c r="M1202" i="6" a="1"/>
  <c r="M1202" i="6" s="1"/>
  <c r="M1201" i="6" a="1"/>
  <c r="M1201" i="6" s="1"/>
  <c r="M742" i="6" a="1"/>
  <c r="M742" i="6" s="1"/>
  <c r="M741" i="6" a="1"/>
  <c r="M741" i="6" s="1"/>
  <c r="M136" i="6" a="1"/>
  <c r="M136" i="6" s="1"/>
  <c r="M44" i="6" a="1"/>
  <c r="M44" i="6" s="1"/>
  <c r="M135" i="6" a="1"/>
  <c r="M135" i="6" s="1"/>
  <c r="M622" i="6" a="1"/>
  <c r="M622" i="6" s="1"/>
  <c r="M621" i="6" a="1"/>
  <c r="M621" i="6" s="1"/>
  <c r="M416" i="6" a="1"/>
  <c r="M416" i="6" s="1"/>
  <c r="M415" i="6" a="1"/>
  <c r="M415" i="6" s="1"/>
  <c r="M197" i="6" a="1"/>
  <c r="M197" i="6" s="1"/>
  <c r="M414" i="6" a="1"/>
  <c r="M414" i="6" s="1"/>
  <c r="M295" i="6" a="1"/>
  <c r="M295" i="6" s="1"/>
  <c r="M294" i="6" a="1"/>
  <c r="M294" i="6" s="1"/>
  <c r="M293" i="6" a="1"/>
  <c r="M293" i="6" s="1"/>
  <c r="M292" i="6" a="1"/>
  <c r="M292" i="6" s="1"/>
  <c r="M614" i="6" a="1"/>
  <c r="M614" i="6" s="1"/>
  <c r="M971" i="6" a="1"/>
  <c r="M971" i="6" s="1"/>
  <c r="M613" i="6" a="1"/>
  <c r="M613" i="6" s="1"/>
  <c r="M970" i="6" a="1"/>
  <c r="M970" i="6" s="1"/>
  <c r="M969" i="6" a="1"/>
  <c r="M969" i="6" s="1"/>
  <c r="M92" i="6" a="1"/>
  <c r="M92" i="6" s="1"/>
  <c r="M91" i="6" a="1"/>
  <c r="M91" i="6" s="1"/>
  <c r="M114" i="6" a="1"/>
  <c r="M114" i="6" s="1"/>
  <c r="M71" i="6" a="1"/>
  <c r="M71" i="6" s="1"/>
  <c r="M43" i="6" a="1"/>
  <c r="M43" i="6" s="1"/>
  <c r="M413" i="6" a="1"/>
  <c r="M413" i="6" s="1"/>
  <c r="M275" i="6" a="1"/>
  <c r="M275" i="6" s="1"/>
  <c r="M274" i="6" a="1"/>
  <c r="M274" i="6" s="1"/>
  <c r="M382" i="6" a="1"/>
  <c r="M382" i="6" s="1"/>
  <c r="M381" i="6" a="1"/>
  <c r="M381" i="6" s="1"/>
  <c r="M800" i="6" a="1"/>
  <c r="M800" i="6" s="1"/>
  <c r="M799" i="6" a="1"/>
  <c r="M799" i="6" s="1"/>
  <c r="M798" i="6" a="1"/>
  <c r="M798" i="6" s="1"/>
  <c r="M291" i="6" a="1"/>
  <c r="M291" i="6" s="1"/>
  <c r="M290" i="6" a="1"/>
  <c r="M290" i="6" s="1"/>
  <c r="M289" i="6" a="1"/>
  <c r="M289" i="6" s="1"/>
  <c r="M288" i="6" a="1"/>
  <c r="M288" i="6" s="1"/>
  <c r="M474" i="6" a="1"/>
  <c r="M474" i="6" s="1"/>
  <c r="M473" i="6" a="1"/>
  <c r="M473" i="6" s="1"/>
  <c r="M472" i="6" a="1"/>
  <c r="M472" i="6" s="1"/>
  <c r="M287" i="6" a="1"/>
  <c r="M287" i="6" s="1"/>
  <c r="M286" i="6" a="1"/>
  <c r="M286" i="6" s="1"/>
  <c r="M285" i="6" a="1"/>
  <c r="M285" i="6" s="1"/>
  <c r="M471" i="6" a="1"/>
  <c r="M471" i="6" s="1"/>
  <c r="M284" i="6" a="1"/>
  <c r="M284" i="6" s="1"/>
  <c r="M283" i="6" a="1"/>
  <c r="M283" i="6" s="1"/>
  <c r="M282" i="6" a="1"/>
  <c r="M282" i="6" s="1"/>
  <c r="M281" i="6" a="1"/>
  <c r="M281" i="6" s="1"/>
  <c r="M280" i="6" a="1"/>
  <c r="M280" i="6" s="1"/>
  <c r="M279" i="6" a="1"/>
  <c r="M279" i="6" s="1"/>
  <c r="M278" i="6" a="1"/>
  <c r="M278" i="6" s="1"/>
  <c r="M470" i="6" a="1"/>
  <c r="M470" i="6" s="1"/>
  <c r="M469" i="6" a="1"/>
  <c r="M469" i="6" s="1"/>
  <c r="M468" i="6" a="1"/>
  <c r="M468" i="6" s="1"/>
  <c r="M357" i="6" a="1"/>
  <c r="M357" i="6" s="1"/>
  <c r="M356" i="6" a="1"/>
  <c r="M356" i="6" s="1"/>
  <c r="M1200" i="6" a="1"/>
  <c r="M1200" i="6" s="1"/>
  <c r="M1199" i="6" a="1"/>
  <c r="M1199" i="6" s="1"/>
  <c r="M1198" i="6" a="1"/>
  <c r="M1198" i="6" s="1"/>
  <c r="M1197" i="6" a="1"/>
  <c r="M1197" i="6" s="1"/>
  <c r="M1196" i="6" a="1"/>
  <c r="M1196" i="6" s="1"/>
  <c r="M1195" i="6" a="1"/>
  <c r="M1195" i="6" s="1"/>
  <c r="M1194" i="6" a="1"/>
  <c r="M1194" i="6" s="1"/>
  <c r="M1193" i="6" a="1"/>
  <c r="M1193" i="6" s="1"/>
  <c r="M1192" i="6" a="1"/>
  <c r="M1192" i="6" s="1"/>
  <c r="M1191" i="6" a="1"/>
  <c r="M1191" i="6" s="1"/>
  <c r="M11" i="6" a="1"/>
  <c r="M11" i="6" s="1"/>
  <c r="M19" i="6" a="1"/>
  <c r="M19" i="6" s="1"/>
  <c r="M10" i="6" a="1"/>
  <c r="M10" i="6" s="1"/>
  <c r="M326" i="6" a="1"/>
  <c r="M326" i="6" s="1"/>
  <c r="M155" i="6" a="1"/>
  <c r="M155" i="6" s="1"/>
  <c r="M76" i="6" a="1"/>
  <c r="M76" i="6" s="1"/>
  <c r="M75" i="6" a="1"/>
  <c r="M75" i="6" s="1"/>
  <c r="M134" i="6" a="1"/>
  <c r="M134" i="6" s="1"/>
  <c r="M257" i="6" a="1"/>
  <c r="M257" i="6" s="1"/>
  <c r="M256" i="6" a="1"/>
  <c r="M256" i="6" s="1"/>
  <c r="M467" i="6" a="1"/>
  <c r="M467" i="6" s="1"/>
  <c r="M466" i="6" a="1"/>
  <c r="M466" i="6" s="1"/>
  <c r="M277" i="6" a="1"/>
  <c r="M277" i="6" s="1"/>
  <c r="M276" i="6" a="1"/>
  <c r="M276" i="6" s="1"/>
  <c r="M1065" i="6" a="1"/>
  <c r="M1065" i="6" s="1"/>
  <c r="M1064" i="6" a="1"/>
  <c r="M1064" i="6" s="1"/>
  <c r="M1063" i="6" a="1"/>
  <c r="M1063" i="6" s="1"/>
  <c r="M1062" i="6" a="1"/>
  <c r="M1062" i="6" s="1"/>
  <c r="M1061" i="6" a="1"/>
  <c r="M1061" i="6" s="1"/>
  <c r="M612" i="6" a="1"/>
  <c r="M612" i="6" s="1"/>
  <c r="M968" i="6" a="1"/>
  <c r="M968" i="6" s="1"/>
  <c r="M967" i="6" a="1"/>
  <c r="M967" i="6" s="1"/>
  <c r="M966" i="6" a="1"/>
  <c r="M966" i="6" s="1"/>
  <c r="M965" i="6" a="1"/>
  <c r="M965" i="6" s="1"/>
  <c r="M611" i="6" a="1"/>
  <c r="M611" i="6" s="1"/>
  <c r="M610" i="6" a="1"/>
  <c r="M610" i="6" s="1"/>
  <c r="M609" i="6" a="1"/>
  <c r="M609" i="6" s="1"/>
  <c r="M608" i="6" a="1"/>
  <c r="M608" i="6" s="1"/>
  <c r="M607" i="6" a="1"/>
  <c r="M607" i="6" s="1"/>
  <c r="M964" i="6" a="1"/>
  <c r="M964" i="6" s="1"/>
  <c r="M963" i="6" a="1"/>
  <c r="M963" i="6" s="1"/>
  <c r="M962" i="6" a="1"/>
  <c r="M962" i="6" s="1"/>
  <c r="M740" i="6" a="1"/>
  <c r="M740" i="6" s="1"/>
  <c r="M739" i="6" a="1"/>
  <c r="M739" i="6" s="1"/>
  <c r="M738" i="6" a="1"/>
  <c r="M738" i="6" s="1"/>
  <c r="M737" i="6" a="1"/>
  <c r="M737" i="6" s="1"/>
  <c r="M805" i="6" a="1"/>
  <c r="M805" i="6" s="1"/>
  <c r="M1019" i="6" a="1"/>
  <c r="M1019" i="6" s="1"/>
  <c r="M1018" i="6" a="1"/>
  <c r="M1018" i="6" s="1"/>
  <c r="M1017" i="6" a="1"/>
  <c r="M1017" i="6" s="1"/>
  <c r="M1016" i="6" a="1"/>
  <c r="M1016" i="6" s="1"/>
  <c r="M1015" i="6" a="1"/>
  <c r="M1015" i="6" s="1"/>
  <c r="M1014" i="6" a="1"/>
  <c r="M1014" i="6" s="1"/>
  <c r="M1013" i="6" a="1"/>
  <c r="M1013" i="6" s="1"/>
  <c r="M1164" i="6" a="1"/>
  <c r="M1164" i="6" s="1"/>
  <c r="M1160" i="6" a="1"/>
  <c r="M1160" i="6" s="1"/>
  <c r="M1235" i="6" a="1"/>
  <c r="M1235" i="6" s="1"/>
  <c r="M1159" i="6" a="1"/>
  <c r="M1159" i="6" s="1"/>
  <c r="M1158" i="6" a="1"/>
  <c r="M1158" i="6" s="1"/>
  <c r="M1163" i="6" a="1"/>
  <c r="M1163" i="6" s="1"/>
  <c r="M1162" i="6" a="1"/>
  <c r="M1162" i="6" s="1"/>
  <c r="M1161" i="6" a="1"/>
  <c r="M1161" i="6" s="1"/>
  <c r="A146" i="5"/>
  <c r="A151" i="5" s="1"/>
  <c r="B146" i="5"/>
  <c r="L146" i="5" s="1"/>
  <c r="F123" i="5"/>
  <c r="E102" i="5"/>
  <c r="F102" i="5"/>
  <c r="G102" i="5"/>
  <c r="E103" i="5"/>
  <c r="F103" i="5"/>
  <c r="G103" i="5"/>
  <c r="E104" i="5"/>
  <c r="F104" i="5"/>
  <c r="G104" i="5"/>
  <c r="E105" i="5"/>
  <c r="F105" i="5"/>
  <c r="G105" i="5"/>
  <c r="E106" i="5"/>
  <c r="F106" i="5"/>
  <c r="G106" i="5"/>
  <c r="E107" i="5"/>
  <c r="F107" i="5"/>
  <c r="G107" i="5"/>
  <c r="E108" i="5"/>
  <c r="F108" i="5"/>
  <c r="G108" i="5"/>
  <c r="E109" i="5"/>
  <c r="F109" i="5"/>
  <c r="G109" i="5"/>
  <c r="E110" i="5"/>
  <c r="F110" i="5"/>
  <c r="G110" i="5"/>
  <c r="E111" i="5"/>
  <c r="F111" i="5"/>
  <c r="G111" i="5"/>
  <c r="E112" i="5"/>
  <c r="F112" i="5"/>
  <c r="G112" i="5"/>
  <c r="E113" i="5"/>
  <c r="F113" i="5"/>
  <c r="G113" i="5"/>
  <c r="E114" i="5"/>
  <c r="F114" i="5"/>
  <c r="G114" i="5"/>
  <c r="E115" i="5"/>
  <c r="F115" i="5"/>
  <c r="G115" i="5"/>
  <c r="E116" i="5"/>
  <c r="F116" i="5"/>
  <c r="G116" i="5"/>
  <c r="E117" i="5"/>
  <c r="F117" i="5"/>
  <c r="G117" i="5"/>
  <c r="E118" i="5"/>
  <c r="F118" i="5"/>
  <c r="G118" i="5"/>
  <c r="E119" i="5"/>
  <c r="F119" i="5"/>
  <c r="G119" i="5"/>
  <c r="E120" i="5"/>
  <c r="F120" i="5"/>
  <c r="G120" i="5"/>
  <c r="E121" i="5"/>
  <c r="F121" i="5"/>
  <c r="G121" i="5"/>
  <c r="E122" i="5"/>
  <c r="F122" i="5"/>
  <c r="G122" i="5"/>
  <c r="E123" i="5"/>
  <c r="G123" i="5"/>
  <c r="E124" i="5"/>
  <c r="F124" i="5"/>
  <c r="G124" i="5"/>
  <c r="E125" i="5"/>
  <c r="F125" i="5"/>
  <c r="G125" i="5"/>
  <c r="E126" i="5"/>
  <c r="F126" i="5"/>
  <c r="G126" i="5"/>
  <c r="E127" i="5"/>
  <c r="F127" i="5"/>
  <c r="G127" i="5"/>
  <c r="E128" i="5"/>
  <c r="F128" i="5"/>
  <c r="G128" i="5"/>
  <c r="E129" i="5"/>
  <c r="F129" i="5"/>
  <c r="G129" i="5"/>
  <c r="E130" i="5"/>
  <c r="F130" i="5"/>
  <c r="G130" i="5"/>
  <c r="E131" i="5"/>
  <c r="F131" i="5"/>
  <c r="G131" i="5"/>
  <c r="E132" i="5"/>
  <c r="F132" i="5"/>
  <c r="G132" i="5"/>
  <c r="E133" i="5"/>
  <c r="F133" i="5"/>
  <c r="G133" i="5"/>
  <c r="E134" i="5"/>
  <c r="F134" i="5"/>
  <c r="G134" i="5"/>
  <c r="E135" i="5"/>
  <c r="F135" i="5"/>
  <c r="G135" i="5"/>
  <c r="E136" i="5"/>
  <c r="F136" i="5"/>
  <c r="G136" i="5"/>
  <c r="E137" i="5"/>
  <c r="F137" i="5"/>
  <c r="G137" i="5"/>
  <c r="E138" i="5"/>
  <c r="F138" i="5"/>
  <c r="G138" i="5"/>
  <c r="E139" i="5"/>
  <c r="F139" i="5"/>
  <c r="G139" i="5"/>
  <c r="F101" i="5"/>
  <c r="G101" i="5"/>
  <c r="E101" i="5"/>
  <c r="L4" i="5"/>
  <c r="J4" i="5"/>
  <c r="M4" i="5"/>
  <c r="I4" i="5"/>
  <c r="H4" i="5"/>
  <c r="K4" i="5"/>
  <c r="L147" i="5" l="1"/>
  <c r="B157" i="5"/>
  <c r="B158" i="5"/>
  <c r="A152" i="5"/>
  <c r="I147" i="5"/>
  <c r="I146" i="5"/>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B04455-299E-47A4-88A4-E160CB54AA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5371DF-6509-40BB-B6C3-AF0B37419655}" name="WorksheetConnection_Indian Car Dataset updated - Copy.xlsx!CarData3" type="102" refreshedVersion="8" minRefreshableVersion="5">
    <extLst>
      <ext xmlns:x15="http://schemas.microsoft.com/office/spreadsheetml/2010/11/main" uri="{DE250136-89BD-433C-8126-D09CA5730AF9}">
        <x15:connection id="CarData3" autoDelete="1">
          <x15:rangePr sourceName="_xlcn.WorksheetConnection_IndianCarDatasetupdatedCopy.xlsxCarData31"/>
        </x15:connection>
      </ext>
    </extLst>
  </connection>
  <connection id="3" xr16:uid="{D3B55F0A-BD05-46B8-A726-218234DA94AE}" name="WorksheetConnection_Indian Car Dataset updated.xlsx!CarData" type="102" refreshedVersion="8" minRefreshableVersion="5">
    <extLst>
      <ext xmlns:x15="http://schemas.microsoft.com/office/spreadsheetml/2010/11/main" uri="{DE250136-89BD-433C-8126-D09CA5730AF9}">
        <x15:connection id="CarData" autoDelete="1">
          <x15:rangePr sourceName="_xlcn.WorksheetConnection_IndianCarDatasetupdated.xlsxCar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<sst xmlns="http://schemas.openxmlformats.org/spreadsheetml/2006/main" count="15377" uniqueCount="1431">
  <si>
    <t>Make</t>
  </si>
  <si>
    <t>Model</t>
  </si>
  <si>
    <t>Variant</t>
  </si>
  <si>
    <t>Cylinders</t>
  </si>
  <si>
    <t>Fuel_Type</t>
  </si>
  <si>
    <t>Body_Type</t>
  </si>
  <si>
    <t>Seating_Capacity</t>
  </si>
  <si>
    <t>Hyundai</t>
  </si>
  <si>
    <t>Santro</t>
  </si>
  <si>
    <t>Era Mt</t>
  </si>
  <si>
    <t>Petrol</t>
  </si>
  <si>
    <t>Hatchback</t>
  </si>
  <si>
    <t>Manual</t>
  </si>
  <si>
    <t>Magna Mt</t>
  </si>
  <si>
    <t>Magna Mt Cng</t>
  </si>
  <si>
    <t>CNG</t>
  </si>
  <si>
    <t>Magna Amt</t>
  </si>
  <si>
    <t>AMT</t>
  </si>
  <si>
    <t>Sportz Mt</t>
  </si>
  <si>
    <t>Sportz Mt Cng</t>
  </si>
  <si>
    <t>Sportz Amt</t>
  </si>
  <si>
    <t>Asta Mt</t>
  </si>
  <si>
    <t>Tata</t>
  </si>
  <si>
    <t>Tiago</t>
  </si>
  <si>
    <t>Revotron Xe</t>
  </si>
  <si>
    <t>Aura</t>
  </si>
  <si>
    <t>E 1.2 Petrol</t>
  </si>
  <si>
    <t>Sedan</t>
  </si>
  <si>
    <t>S 1.2 Petrol</t>
  </si>
  <si>
    <t>S 1.2 Amt Petrol</t>
  </si>
  <si>
    <t>Automatic</t>
  </si>
  <si>
    <t>Sx 1.2 Petrol</t>
  </si>
  <si>
    <t>Sx Plus 1.2 Amt Petrol</t>
  </si>
  <si>
    <t>Sx (O) 1.2 Petrol</t>
  </si>
  <si>
    <t>Sx Plus 1.0 Petrol</t>
  </si>
  <si>
    <t>S 1.2 Diesel</t>
  </si>
  <si>
    <t>Diesel</t>
  </si>
  <si>
    <t>S 1.2 Amt Diesel</t>
  </si>
  <si>
    <t>Sx Plus 1.2 Amt Diesel</t>
  </si>
  <si>
    <t>Sx (O) 1.2 Diesel</t>
  </si>
  <si>
    <t>Ford</t>
  </si>
  <si>
    <t>Aspire</t>
  </si>
  <si>
    <t>1.2 Ti-Vct Ambiente</t>
  </si>
  <si>
    <t>1.2 Ti-Vct Trend Plus</t>
  </si>
  <si>
    <t>1.2 Ti-Vct Trend</t>
  </si>
  <si>
    <t>1.5 Tdci Ambiente</t>
  </si>
  <si>
    <t>1.5 Tdci Trend</t>
  </si>
  <si>
    <t>1.5 Tdci Trend Plus</t>
  </si>
  <si>
    <t>1.5 Tdci Titanium</t>
  </si>
  <si>
    <t>1.5 Tdci Titanium Plus</t>
  </si>
  <si>
    <t>1.2 Ti-Vct Titanium Plus</t>
  </si>
  <si>
    <t>1.2 Ti-Vct Titanium</t>
  </si>
  <si>
    <t>1.2 Trend Plus Cng</t>
  </si>
  <si>
    <t>1.2 Ti-Vct Blu</t>
  </si>
  <si>
    <t>1.5 Tdci Blu</t>
  </si>
  <si>
    <t>Toyota</t>
  </si>
  <si>
    <t>Glanza</t>
  </si>
  <si>
    <t>G Hybrid</t>
  </si>
  <si>
    <t>V</t>
  </si>
  <si>
    <t>G Cvt</t>
  </si>
  <si>
    <t>CVT</t>
  </si>
  <si>
    <t>V Cvt</t>
  </si>
  <si>
    <t>G Mt</t>
  </si>
  <si>
    <t>Jeep</t>
  </si>
  <si>
    <t>Compass Trailhawk</t>
  </si>
  <si>
    <t>2.0 Trailhawk 4X4 At</t>
  </si>
  <si>
    <t>SUV</t>
  </si>
  <si>
    <t>2.0 Trailhawk (O) 4X4 At</t>
  </si>
  <si>
    <t>Audi</t>
  </si>
  <si>
    <t>A4</t>
  </si>
  <si>
    <t>Premium Plus 35 Tfsi</t>
  </si>
  <si>
    <t>DCT</t>
  </si>
  <si>
    <t>Technology 35 Tfsi</t>
  </si>
  <si>
    <t>A6</t>
  </si>
  <si>
    <t>Premium Plus 45 Tfsi</t>
  </si>
  <si>
    <t>Technology 45 Tfsi</t>
  </si>
  <si>
    <t>S5</t>
  </si>
  <si>
    <t>Sportback</t>
  </si>
  <si>
    <t>Bmw</t>
  </si>
  <si>
    <t>X5</t>
  </si>
  <si>
    <t>Xdrive30D Sport</t>
  </si>
  <si>
    <t>Xdrive30D Xline</t>
  </si>
  <si>
    <t>Xdrive40I M Sport</t>
  </si>
  <si>
    <t>Grand Cherokee</t>
  </si>
  <si>
    <t>Summit Petrol</t>
  </si>
  <si>
    <t>Lamborghini</t>
  </si>
  <si>
    <t>Urus</t>
  </si>
  <si>
    <t>V8</t>
  </si>
  <si>
    <t>Bentley</t>
  </si>
  <si>
    <t>Bentayga</t>
  </si>
  <si>
    <t>Mercedes-Benz</t>
  </si>
  <si>
    <t>Rolls-Royce Cullinan</t>
  </si>
  <si>
    <t>Suv</t>
  </si>
  <si>
    <t>Maruti Suzuki</t>
  </si>
  <si>
    <t>S-Presso</t>
  </si>
  <si>
    <t>Std</t>
  </si>
  <si>
    <t>Std (O)</t>
  </si>
  <si>
    <t>Lxi</t>
  </si>
  <si>
    <t>Lxi (O)</t>
  </si>
  <si>
    <t>Vxi</t>
  </si>
  <si>
    <t>Vxi (O)</t>
  </si>
  <si>
    <t>Vxi Ags</t>
  </si>
  <si>
    <t>Vxi+</t>
  </si>
  <si>
    <t>Vxi (O) Ags</t>
  </si>
  <si>
    <t>Vxi+ Ags</t>
  </si>
  <si>
    <t>Force</t>
  </si>
  <si>
    <t>Gurkha</t>
  </si>
  <si>
    <t>Xtreme</t>
  </si>
  <si>
    <t>Xtreme Abs</t>
  </si>
  <si>
    <t>Compass</t>
  </si>
  <si>
    <t>1.4 Limited At</t>
  </si>
  <si>
    <t>1.4 Sport</t>
  </si>
  <si>
    <t>1.4 Limited (O) At</t>
  </si>
  <si>
    <t>2.0 Sport</t>
  </si>
  <si>
    <t>2.0 Longitude</t>
  </si>
  <si>
    <t>2.0 Longitude (O)</t>
  </si>
  <si>
    <t>2.0 Limited</t>
  </si>
  <si>
    <t>2.0 Limited (O)</t>
  </si>
  <si>
    <t>2.0 Limited 4X4</t>
  </si>
  <si>
    <t>2.0 Limited (O) 4X4</t>
  </si>
  <si>
    <t>1.4 Limited Plus At Petrol</t>
  </si>
  <si>
    <t>2.0 Limited Plus 4X2 Diesel</t>
  </si>
  <si>
    <t>2.0 Limited Plus 4X4 Diesel</t>
  </si>
  <si>
    <t>2.0 Sport Plus</t>
  </si>
  <si>
    <t>1.4 Sport Plus</t>
  </si>
  <si>
    <t>1.4 Longitude (O) At</t>
  </si>
  <si>
    <t>1.4 Limited (O) At Petrol Black Pack</t>
  </si>
  <si>
    <t>2.0 Limited (O) Black Pack</t>
  </si>
  <si>
    <t>2.0 Limited (O) 4X4 Black Pack</t>
  </si>
  <si>
    <t>2.0 Limited Plus 4X4 At</t>
  </si>
  <si>
    <t>2.0 Longitude 4X4 At</t>
  </si>
  <si>
    <t>Honda</t>
  </si>
  <si>
    <t>Civic</t>
  </si>
  <si>
    <t>1.8 V Cvt</t>
  </si>
  <si>
    <t>1.8 Vx Cvt</t>
  </si>
  <si>
    <t>1.8 Zx Cvt</t>
  </si>
  <si>
    <t>1.6 Vx Mt</t>
  </si>
  <si>
    <t>1.6 Zx Mt</t>
  </si>
  <si>
    <t>Mg</t>
  </si>
  <si>
    <t>Zs Ev</t>
  </si>
  <si>
    <t>Excite</t>
  </si>
  <si>
    <t>Electric</t>
  </si>
  <si>
    <t>Exclusive</t>
  </si>
  <si>
    <t>Mini</t>
  </si>
  <si>
    <t>Cooper 3 Door</t>
  </si>
  <si>
    <t>Cooper S</t>
  </si>
  <si>
    <t>Land Rover Rover</t>
  </si>
  <si>
    <t>Range Sport</t>
  </si>
  <si>
    <t>5.0L V8 Svr Petrol</t>
  </si>
  <si>
    <t>5.0L V8 Autobiography Dynamic Petrol</t>
  </si>
  <si>
    <t>Maserati</t>
  </si>
  <si>
    <t>Ghibli</t>
  </si>
  <si>
    <t>Gransport</t>
  </si>
  <si>
    <t>Granlusso</t>
  </si>
  <si>
    <t>Figo</t>
  </si>
  <si>
    <t>Ambiente 1.2 Ti-Vct</t>
  </si>
  <si>
    <t>Titanium 1.2 Ti-Vct</t>
  </si>
  <si>
    <t>Titanium1.5 Tdci</t>
  </si>
  <si>
    <t>Titanium Blu 1.2 Ti-Vct</t>
  </si>
  <si>
    <t>Titanium Blu 1.5 Tdci</t>
  </si>
  <si>
    <t>Volkswagen</t>
  </si>
  <si>
    <t>Passat</t>
  </si>
  <si>
    <t>2.0 Tdi Comfortline</t>
  </si>
  <si>
    <t>2.0 Tdi Highline</t>
  </si>
  <si>
    <t>2.0 Tdi Comfortline Connect</t>
  </si>
  <si>
    <t>2.0 Tdi Highline Connect</t>
  </si>
  <si>
    <t>Countryman</t>
  </si>
  <si>
    <t>Cooper Sd</t>
  </si>
  <si>
    <t>Cooper S Jcw Inspired</t>
  </si>
  <si>
    <t>Black Edition</t>
  </si>
  <si>
    <t>Lexus</t>
  </si>
  <si>
    <t>Nx 300H</t>
  </si>
  <si>
    <t>F-Sport</t>
  </si>
  <si>
    <t>Luxury</t>
  </si>
  <si>
    <t>Mercedes-Benz Gle</t>
  </si>
  <si>
    <t>300D 4Matic</t>
  </si>
  <si>
    <t>400D 4Matic Hip Hop Edition</t>
  </si>
  <si>
    <t>Mercedes-Benz Cls</t>
  </si>
  <si>
    <t>300D</t>
  </si>
  <si>
    <t>Grand I10 Nios</t>
  </si>
  <si>
    <t>Sportz Amt 1.2 Crdi</t>
  </si>
  <si>
    <t>Asta 1.2 Crdi</t>
  </si>
  <si>
    <t>Maruti Suzuki R</t>
  </si>
  <si>
    <t>Wagon</t>
  </si>
  <si>
    <t>1.2L Zxi</t>
  </si>
  <si>
    <t>1.2L Vxi</t>
  </si>
  <si>
    <t>1.2L Vxi Ags</t>
  </si>
  <si>
    <t>1.2L Zxi Ags</t>
  </si>
  <si>
    <t>1.2L Vxi (O)</t>
  </si>
  <si>
    <t>1.2L Vxi Ags (O)</t>
  </si>
  <si>
    <t>Vxi Ags (O)</t>
  </si>
  <si>
    <t>Lxi Cng</t>
  </si>
  <si>
    <t>Lxi (O) Cng</t>
  </si>
  <si>
    <t>Camry</t>
  </si>
  <si>
    <t>Hybrid</t>
  </si>
  <si>
    <t>A5</t>
  </si>
  <si>
    <t>Ls 500H</t>
  </si>
  <si>
    <t>Ultra Luxury</t>
  </si>
  <si>
    <t>Distinct</t>
  </si>
  <si>
    <t>Mercedes-Benz Glc</t>
  </si>
  <si>
    <t>200 Progressive</t>
  </si>
  <si>
    <t>220D 4Matic Progressive</t>
  </si>
  <si>
    <t>Mahindra</t>
  </si>
  <si>
    <t>Alturas G4</t>
  </si>
  <si>
    <t>2Wd At</t>
  </si>
  <si>
    <t>4Wd At</t>
  </si>
  <si>
    <t>Convertible</t>
  </si>
  <si>
    <t>John Cooper Works</t>
  </si>
  <si>
    <t>Hatch</t>
  </si>
  <si>
    <t>A8 L</t>
  </si>
  <si>
    <t>55 Tfsi Quattro</t>
  </si>
  <si>
    <t>Lc 500H</t>
  </si>
  <si>
    <t>Coupe</t>
  </si>
  <si>
    <t>Mercedes-Benz Maybach</t>
  </si>
  <si>
    <t>S650</t>
  </si>
  <si>
    <t>Bugatti</t>
  </si>
  <si>
    <t>Chiron</t>
  </si>
  <si>
    <t>W16</t>
  </si>
  <si>
    <t>Sports</t>
  </si>
  <si>
    <t>Sport</t>
  </si>
  <si>
    <t>Bajaj</t>
  </si>
  <si>
    <t>Qute (Re60)</t>
  </si>
  <si>
    <t>Qcar</t>
  </si>
  <si>
    <t>Qcar Cng</t>
  </si>
  <si>
    <t>Xl6</t>
  </si>
  <si>
    <t>Zeta Mt</t>
  </si>
  <si>
    <t>MPV</t>
  </si>
  <si>
    <t>Alpha Mt</t>
  </si>
  <si>
    <t>Zeta At</t>
  </si>
  <si>
    <t>Alpha At</t>
  </si>
  <si>
    <t>Marazzo</t>
  </si>
  <si>
    <t>M2 7 Str</t>
  </si>
  <si>
    <t>M4 7 Str</t>
  </si>
  <si>
    <t>M6 7 Str</t>
  </si>
  <si>
    <t>M8 7 Str</t>
  </si>
  <si>
    <t>M2 8 Str</t>
  </si>
  <si>
    <t>M4 8 Str</t>
  </si>
  <si>
    <t>M6 8 Str</t>
  </si>
  <si>
    <t>M8 8 Str</t>
  </si>
  <si>
    <t>Kia</t>
  </si>
  <si>
    <t>Carnival</t>
  </si>
  <si>
    <t>Premium 7 Str</t>
  </si>
  <si>
    <t>MUV</t>
  </si>
  <si>
    <t>Premium 8 Str</t>
  </si>
  <si>
    <t>Prestige 7 Str</t>
  </si>
  <si>
    <t>Prestige 9 (6+3) Str</t>
  </si>
  <si>
    <t>Limousine 7 Str</t>
  </si>
  <si>
    <t>Cooper D</t>
  </si>
  <si>
    <t>Mercedes-Benz C-Class Cabriolet</t>
  </si>
  <si>
    <t>C300</t>
  </si>
  <si>
    <t>Z4 Roadster</t>
  </si>
  <si>
    <t>Sdrive 20I</t>
  </si>
  <si>
    <t>M 40I</t>
  </si>
  <si>
    <t>Mercedes-Benz V-Class</t>
  </si>
  <si>
    <t>Expression Elwb</t>
  </si>
  <si>
    <t>Exclusive Lwb</t>
  </si>
  <si>
    <t>Elite</t>
  </si>
  <si>
    <t>Mercedes-Benz Amg Gt 4-Door Coupe</t>
  </si>
  <si>
    <t>63 S 4Matic+</t>
  </si>
  <si>
    <t>Ferrari</t>
  </si>
  <si>
    <t>Gtc4 Lusso</t>
  </si>
  <si>
    <t>V8 T</t>
  </si>
  <si>
    <t>V12</t>
  </si>
  <si>
    <t>Ertiga</t>
  </si>
  <si>
    <t>Zxi</t>
  </si>
  <si>
    <t>Vxi At</t>
  </si>
  <si>
    <t>Zxi Plus</t>
  </si>
  <si>
    <t>Zxi At</t>
  </si>
  <si>
    <t>1.5L Vdi</t>
  </si>
  <si>
    <t>1.5L Zdi</t>
  </si>
  <si>
    <t>1.5L Zdi Plus</t>
  </si>
  <si>
    <t>Vxi Cng (Cng +</t>
  </si>
  <si>
    <t>CNG + Petrol</t>
  </si>
  <si>
    <t>A5 Cabriolet</t>
  </si>
  <si>
    <t>2.0 Tdi</t>
  </si>
  <si>
    <t>X7</t>
  </si>
  <si>
    <t>Xdrive 40I</t>
  </si>
  <si>
    <t>Xdrive30D Dpe Signature</t>
  </si>
  <si>
    <t>812 Superfast</t>
  </si>
  <si>
    <t>Superfast</t>
  </si>
  <si>
    <t>Jaguar</t>
  </si>
  <si>
    <t>F-Type</t>
  </si>
  <si>
    <t>Svr Coupe</t>
  </si>
  <si>
    <t>Svr Convertible</t>
  </si>
  <si>
    <t>2.0L Coupe</t>
  </si>
  <si>
    <t>M5</t>
  </si>
  <si>
    <t>Competition</t>
  </si>
  <si>
    <t>Land Rover</t>
  </si>
  <si>
    <t>Discovery</t>
  </si>
  <si>
    <t>3.0 Hse Diesel</t>
  </si>
  <si>
    <t>3.0 Se Diesel</t>
  </si>
  <si>
    <t>3.0 Hse Petrol</t>
  </si>
  <si>
    <t>3.0 Se Petrol</t>
  </si>
  <si>
    <t>3.0 S Diesel</t>
  </si>
  <si>
    <t>3.0 S Petrol</t>
  </si>
  <si>
    <t>3.0 Hse Luxury Diesel</t>
  </si>
  <si>
    <t>3.0 Hse Luxury Petrol</t>
  </si>
  <si>
    <t>Porsche</t>
  </si>
  <si>
    <t>Cayenne Coupe</t>
  </si>
  <si>
    <t>Base</t>
  </si>
  <si>
    <t>Turbo</t>
  </si>
  <si>
    <t>Fiat</t>
  </si>
  <si>
    <t>Urban Cross</t>
  </si>
  <si>
    <t>1.3 Multijet Dynamic</t>
  </si>
  <si>
    <t>Crossover</t>
  </si>
  <si>
    <t>Cooper 5 Door</t>
  </si>
  <si>
    <t>Summit</t>
  </si>
  <si>
    <t>Rx 450H</t>
  </si>
  <si>
    <t>450Hl Luxury</t>
  </si>
  <si>
    <t>Lx 450D</t>
  </si>
  <si>
    <t>Tuv300 Plus</t>
  </si>
  <si>
    <t>P4</t>
  </si>
  <si>
    <t>P6</t>
  </si>
  <si>
    <t>P8</t>
  </si>
  <si>
    <t>E Verito</t>
  </si>
  <si>
    <t>D4</t>
  </si>
  <si>
    <t>D2</t>
  </si>
  <si>
    <t>D6</t>
  </si>
  <si>
    <t>Range Evoque Convertible</t>
  </si>
  <si>
    <t>2.0 Hse Dynamic</t>
  </si>
  <si>
    <t>Range Velar</t>
  </si>
  <si>
    <t>2.0 Petrol R-Dynamic S</t>
  </si>
  <si>
    <t>Mercedes-Benz Amg-Gt</t>
  </si>
  <si>
    <t>S</t>
  </si>
  <si>
    <t>R</t>
  </si>
  <si>
    <t>Roadster</t>
  </si>
  <si>
    <t>Huracan</t>
  </si>
  <si>
    <t>Evo Spyder</t>
  </si>
  <si>
    <t>Evo Rwd</t>
  </si>
  <si>
    <t>Ambiente 1.5 Tdci</t>
  </si>
  <si>
    <t>Nissan</t>
  </si>
  <si>
    <t>Sunny</t>
  </si>
  <si>
    <t>Xe Petrol</t>
  </si>
  <si>
    <t>Xl Petrol</t>
  </si>
  <si>
    <t>Xl Diesel</t>
  </si>
  <si>
    <t>Xv Diesel</t>
  </si>
  <si>
    <t>Xe Diesel</t>
  </si>
  <si>
    <t>Xv Cvt</t>
  </si>
  <si>
    <t>Special Edition Diesel</t>
  </si>
  <si>
    <t>Es</t>
  </si>
  <si>
    <t>300H</t>
  </si>
  <si>
    <t>Magna 1.2 Crdi</t>
  </si>
  <si>
    <t>5.0 Convertible R</t>
  </si>
  <si>
    <t>Lx 570</t>
  </si>
  <si>
    <t>Nano Genx</t>
  </si>
  <si>
    <t>Xt</t>
  </si>
  <si>
    <t>Xe</t>
  </si>
  <si>
    <t>Xta</t>
  </si>
  <si>
    <t>Xm</t>
  </si>
  <si>
    <t>Xma</t>
  </si>
  <si>
    <t>Renault</t>
  </si>
  <si>
    <t>Kwid</t>
  </si>
  <si>
    <t>Rxe 0.8</t>
  </si>
  <si>
    <t>Std 0.8</t>
  </si>
  <si>
    <t>Rxl 0.8</t>
  </si>
  <si>
    <t>Rxt 0.8</t>
  </si>
  <si>
    <t>Rxt 1.0</t>
  </si>
  <si>
    <t>Climber 1.0 Mt</t>
  </si>
  <si>
    <t>Rxt Amt 1.0</t>
  </si>
  <si>
    <t>Climber Amt 1.0</t>
  </si>
  <si>
    <t>Rxt (O) 1.0</t>
  </si>
  <si>
    <t>Rxt (O) Amt 1.0</t>
  </si>
  <si>
    <t>Climber (O) Mt 1.0</t>
  </si>
  <si>
    <t>Climber (O) Amt 1.0</t>
  </si>
  <si>
    <t>Datsun</t>
  </si>
  <si>
    <t>Go</t>
  </si>
  <si>
    <t>T (O)</t>
  </si>
  <si>
    <t>A (O)</t>
  </si>
  <si>
    <t>A</t>
  </si>
  <si>
    <t>T (O) Vdc</t>
  </si>
  <si>
    <t>T (O) Cvt</t>
  </si>
  <si>
    <t>Celerio Tour</t>
  </si>
  <si>
    <t>H2</t>
  </si>
  <si>
    <t>Micra Active</t>
  </si>
  <si>
    <t>Xv</t>
  </si>
  <si>
    <t>Limited</t>
  </si>
  <si>
    <t>Srt</t>
  </si>
  <si>
    <t>Aston Martin</t>
  </si>
  <si>
    <t>Db 11</t>
  </si>
  <si>
    <t>Celerio</t>
  </si>
  <si>
    <t>Lxi Mt (O)</t>
  </si>
  <si>
    <t>E2O Plus</t>
  </si>
  <si>
    <t>Volvo</t>
  </si>
  <si>
    <t>V40</t>
  </si>
  <si>
    <t>Kinetic</t>
  </si>
  <si>
    <t>R Design</t>
  </si>
  <si>
    <t>Mercedes-Benz E-Class</t>
  </si>
  <si>
    <t>E350 D</t>
  </si>
  <si>
    <t>Lp 610-4</t>
  </si>
  <si>
    <t>Lp 580-2</t>
  </si>
  <si>
    <t>Avio</t>
  </si>
  <si>
    <t>Performante</t>
  </si>
  <si>
    <t>Lp 580-2 Spyder</t>
  </si>
  <si>
    <t>Lp 610-4 Spyder</t>
  </si>
  <si>
    <t>Evo</t>
  </si>
  <si>
    <t>Wr-V</t>
  </si>
  <si>
    <t>Vx Diesel</t>
  </si>
  <si>
    <t>Exclusive Edition Diesel</t>
  </si>
  <si>
    <t>V Diesel</t>
  </si>
  <si>
    <t>Gtr</t>
  </si>
  <si>
    <t>3.8 V6</t>
  </si>
  <si>
    <t>5-Series</t>
  </si>
  <si>
    <t>530I M Sport</t>
  </si>
  <si>
    <t>A3 Cabriolet</t>
  </si>
  <si>
    <t>40 Tfsi</t>
  </si>
  <si>
    <t>Lodgy</t>
  </si>
  <si>
    <t>85 Ps Std</t>
  </si>
  <si>
    <t>85 Ps Rxe 8 Seater</t>
  </si>
  <si>
    <t>Stepway Rxz 110Ps 8-Seater</t>
  </si>
  <si>
    <t>Stepway Rxz 110Ps 7-Seater</t>
  </si>
  <si>
    <t>Stepway Rxl 85Ps 8-Seater</t>
  </si>
  <si>
    <t>Stepway Rxz 85Ps 8-Seater</t>
  </si>
  <si>
    <t>85 Ps Rxe 7 Seater</t>
  </si>
  <si>
    <t>Xuv500</t>
  </si>
  <si>
    <t>W7 At</t>
  </si>
  <si>
    <t>W9</t>
  </si>
  <si>
    <t>W9 At</t>
  </si>
  <si>
    <t>W11</t>
  </si>
  <si>
    <t>W11 At</t>
  </si>
  <si>
    <t>W11 (O)</t>
  </si>
  <si>
    <t>W11 (O) At</t>
  </si>
  <si>
    <t>W11 (O) Awd</t>
  </si>
  <si>
    <t>W11 (O) Awd At</t>
  </si>
  <si>
    <t>W3</t>
  </si>
  <si>
    <t>Innova Crysta</t>
  </si>
  <si>
    <t>2.4 Gx 7 Str</t>
  </si>
  <si>
    <t>2.4 Vx 7 Str</t>
  </si>
  <si>
    <t>2.4 Gx 8 Str</t>
  </si>
  <si>
    <t>2.4 Vx 8 Str</t>
  </si>
  <si>
    <t>2.4 Zx 7 Str</t>
  </si>
  <si>
    <t>2.7 Gx At 8 Str</t>
  </si>
  <si>
    <t>2.7 Gx At 7 Str</t>
  </si>
  <si>
    <t>2.7 Zx At 7 Str</t>
  </si>
  <si>
    <t>2.7 Vx 7 Str</t>
  </si>
  <si>
    <t>2.7 Gx Mt 7 Str</t>
  </si>
  <si>
    <t>2.7 Gx Mt 8 Str</t>
  </si>
  <si>
    <t>Touring Sport 2.4 Vx 7 Str</t>
  </si>
  <si>
    <t>Touring Sport 2.7 Vx 7 Str</t>
  </si>
  <si>
    <t>Touring Sport 2.7 Zx At 7 Str</t>
  </si>
  <si>
    <t>2.4 G Plus 7 Str</t>
  </si>
  <si>
    <t>2.4 G Plus 8 Str</t>
  </si>
  <si>
    <t>Xc90</t>
  </si>
  <si>
    <t>D5 Inscription</t>
  </si>
  <si>
    <t>D5 Momentum</t>
  </si>
  <si>
    <t>T8 Excellence</t>
  </si>
  <si>
    <t>D5 R-Design</t>
  </si>
  <si>
    <t>Safari Storme</t>
  </si>
  <si>
    <t>2.2 Vx 4X4 Varicor 400</t>
  </si>
  <si>
    <t>Ignis</t>
  </si>
  <si>
    <t>Alpha 1.2 Amt</t>
  </si>
  <si>
    <t>Alpha 1.2 Mt</t>
  </si>
  <si>
    <t>Sigma 1.2 Mt</t>
  </si>
  <si>
    <t>Zeta 1.2 Amt</t>
  </si>
  <si>
    <t>Zeta 1.2 Mt</t>
  </si>
  <si>
    <t>Bolt</t>
  </si>
  <si>
    <t>Xt Diesel</t>
  </si>
  <si>
    <t>Xm Diesel</t>
  </si>
  <si>
    <t>Xms Diesel</t>
  </si>
  <si>
    <t>Xt Petrol</t>
  </si>
  <si>
    <t>Xm Petrol</t>
  </si>
  <si>
    <t>Xms Petrol</t>
  </si>
  <si>
    <t>Etios Cross</t>
  </si>
  <si>
    <t>G</t>
  </si>
  <si>
    <t>1.2 X Edition</t>
  </si>
  <si>
    <t>1.3 Multijet Active</t>
  </si>
  <si>
    <t>1.4 T-Jet Emotion</t>
  </si>
  <si>
    <t>1.3 Multijet Emotion</t>
  </si>
  <si>
    <t>Avventura</t>
  </si>
  <si>
    <t>Multijet Active</t>
  </si>
  <si>
    <t>Jazz</t>
  </si>
  <si>
    <t>V Petrol</t>
  </si>
  <si>
    <t>Vx Cvt</t>
  </si>
  <si>
    <t>Vx Petrol</t>
  </si>
  <si>
    <t>S Diesel</t>
  </si>
  <si>
    <t>A3</t>
  </si>
  <si>
    <t>35 Tfsi Premium Plus</t>
  </si>
  <si>
    <t>35 Tfsi Technology</t>
  </si>
  <si>
    <t>Q3</t>
  </si>
  <si>
    <t>30 Tdi Premium Fwd</t>
  </si>
  <si>
    <t>35 Tdi Quattro Premium Plus</t>
  </si>
  <si>
    <t>35 Tdi Quattro Technology</t>
  </si>
  <si>
    <t>30 Tfsi Premium</t>
  </si>
  <si>
    <t>S90</t>
  </si>
  <si>
    <t>D4 Inscription</t>
  </si>
  <si>
    <t>Vento</t>
  </si>
  <si>
    <t>Trendline 1.6 (P)</t>
  </si>
  <si>
    <t>Abarth Avventura</t>
  </si>
  <si>
    <t>1.4 T-Jet</t>
  </si>
  <si>
    <t>Corolla Altis</t>
  </si>
  <si>
    <t>G Petrol</t>
  </si>
  <si>
    <t>G At Petrol</t>
  </si>
  <si>
    <t>Gl Petrol</t>
  </si>
  <si>
    <t>Vl At Petrol</t>
  </si>
  <si>
    <t>X1</t>
  </si>
  <si>
    <t>Sdrive20I Xline</t>
  </si>
  <si>
    <t>Q5</t>
  </si>
  <si>
    <t>35 Tdi Premium Plus</t>
  </si>
  <si>
    <t>35 Tdi Technology</t>
  </si>
  <si>
    <t>S Petrol</t>
  </si>
  <si>
    <t>Edge Plus Edition Diesel</t>
  </si>
  <si>
    <t>Edge Plus Edition Petrol</t>
  </si>
  <si>
    <t>Exclusive Edition Petrol</t>
  </si>
  <si>
    <t>S-Cross</t>
  </si>
  <si>
    <t>1.3L Sigma</t>
  </si>
  <si>
    <t>1.3L Delta</t>
  </si>
  <si>
    <t>1.3L Zeta</t>
  </si>
  <si>
    <t>1.3L Alpha</t>
  </si>
  <si>
    <t>F-Pace</t>
  </si>
  <si>
    <t>Prestige</t>
  </si>
  <si>
    <t>V90 Cross Country</t>
  </si>
  <si>
    <t>Ciaz</t>
  </si>
  <si>
    <t>1.3L Alpha Smart Hybrid</t>
  </si>
  <si>
    <t>1.3L Sigma Smart Hybrid</t>
  </si>
  <si>
    <t>1.3L Delta Smart Hybrid</t>
  </si>
  <si>
    <t>1.3L Zeta Smart Hybrid</t>
  </si>
  <si>
    <t>1.5L Zeta Smart Hybrid</t>
  </si>
  <si>
    <t>1.5L Alpha</t>
  </si>
  <si>
    <t>1.5L Delta</t>
  </si>
  <si>
    <t>1.5L Zeta</t>
  </si>
  <si>
    <t>Abarth Punto</t>
  </si>
  <si>
    <t>Creta</t>
  </si>
  <si>
    <t>1.4 Crdi E Plus</t>
  </si>
  <si>
    <t>1.6 Vtvt E Plus</t>
  </si>
  <si>
    <t>1.6 Vtvt Sx</t>
  </si>
  <si>
    <t>1.6 Vtvt Sx (O)</t>
  </si>
  <si>
    <t>1.6 Vtvt Sx At</t>
  </si>
  <si>
    <t>1.6 Vtvt Sx Dual Tone</t>
  </si>
  <si>
    <t>1.4 Crdi S</t>
  </si>
  <si>
    <t>1.6 Crdi Sx</t>
  </si>
  <si>
    <t>1.6 Crdi Sx (O)</t>
  </si>
  <si>
    <t>1.6 Crdi Sx At</t>
  </si>
  <si>
    <t>1.6 Crdi Sx Dual Tone</t>
  </si>
  <si>
    <t>1.6 Crdi S At</t>
  </si>
  <si>
    <t>1.6 Vtvt Sx (O) Executive</t>
  </si>
  <si>
    <t>1.6 Crdi Sx (O) Executive</t>
  </si>
  <si>
    <t>1.4 Crdi Ex</t>
  </si>
  <si>
    <t>1.6 Vtvt Ex</t>
  </si>
  <si>
    <t>Sports Edition Petrol</t>
  </si>
  <si>
    <t>Punto Evo</t>
  </si>
  <si>
    <t>Dynamic 1.2</t>
  </si>
  <si>
    <t>Active Multijet 1.3</t>
  </si>
  <si>
    <t>Dynamic Multijet 1.3</t>
  </si>
  <si>
    <t>Emotion Multijet 1.3</t>
  </si>
  <si>
    <t>Emax Xm</t>
  </si>
  <si>
    <t>Triber</t>
  </si>
  <si>
    <t>Rxe</t>
  </si>
  <si>
    <t>Rxl</t>
  </si>
  <si>
    <t>Rxt</t>
  </si>
  <si>
    <t>Rxz</t>
  </si>
  <si>
    <t>Tiguan</t>
  </si>
  <si>
    <t>Highline 2.0L Tdi Amt</t>
  </si>
  <si>
    <t>Cr-V</t>
  </si>
  <si>
    <t>2Wd Diesel At</t>
  </si>
  <si>
    <t>Awd Diesel At</t>
  </si>
  <si>
    <t>Se Diesel</t>
  </si>
  <si>
    <t>Discovery Sport</t>
  </si>
  <si>
    <t>R-Dynamic Se</t>
  </si>
  <si>
    <t>Rs5</t>
  </si>
  <si>
    <t>7-Series</t>
  </si>
  <si>
    <t>740Li Design Pure Excellence Signature</t>
  </si>
  <si>
    <t>745Le Xdrive</t>
  </si>
  <si>
    <t>M760Li Xdrive</t>
  </si>
  <si>
    <t>Q8</t>
  </si>
  <si>
    <t>55 Tfsi Quattro Tiptronic</t>
  </si>
  <si>
    <t>Mercedes-Benz G-Class</t>
  </si>
  <si>
    <t>Amg G 63</t>
  </si>
  <si>
    <t>G 350D</t>
  </si>
  <si>
    <t>Thar</t>
  </si>
  <si>
    <t>Crde</t>
  </si>
  <si>
    <t>700 Special Edition</t>
  </si>
  <si>
    <t>Crde Abs</t>
  </si>
  <si>
    <t>G At</t>
  </si>
  <si>
    <t>Skoda</t>
  </si>
  <si>
    <t>Kodiaq Scout</t>
  </si>
  <si>
    <t>2.0 Tdi At</t>
  </si>
  <si>
    <t>Q7</t>
  </si>
  <si>
    <t>40 Tfsi Quattro Premium Plus</t>
  </si>
  <si>
    <t>40 Tfsi Quattro Technology Pack</t>
  </si>
  <si>
    <t>40 Tfsi Quattro Black Styling</t>
  </si>
  <si>
    <t>T8 Inscription</t>
  </si>
  <si>
    <t>2.0L S Petrol</t>
  </si>
  <si>
    <t>2.0L Se Petrol</t>
  </si>
  <si>
    <t>3.0L V6 Se Petrol</t>
  </si>
  <si>
    <t>2.0L Hse Petrol</t>
  </si>
  <si>
    <t>3.0L V6 Hse Petrol</t>
  </si>
  <si>
    <t>Range</t>
  </si>
  <si>
    <t>3.0L Tdv6 Vogue Lwb Diesel</t>
  </si>
  <si>
    <t>4.4L Sdv8 Autobiography Lwb Diesel</t>
  </si>
  <si>
    <t>4.4L Sdv8 Vogue Se Lwb Diesel</t>
  </si>
  <si>
    <t>Mitsubishi</t>
  </si>
  <si>
    <t>Outlander</t>
  </si>
  <si>
    <t>2.4L Outlander</t>
  </si>
  <si>
    <t>6-Series</t>
  </si>
  <si>
    <t>630D Gt Luxury Line</t>
  </si>
  <si>
    <t>630D Gt M Sport</t>
  </si>
  <si>
    <t>620D Gt Luxury Line</t>
  </si>
  <si>
    <t>2.0L Convertible</t>
  </si>
  <si>
    <t>2.0 Convertible R Dynamic</t>
  </si>
  <si>
    <t>2.0 Coupe R Dynamic</t>
  </si>
  <si>
    <t>Winger</t>
  </si>
  <si>
    <t>15S</t>
  </si>
  <si>
    <t>Kona Electric</t>
  </si>
  <si>
    <t>Premium</t>
  </si>
  <si>
    <t>Redi-Go</t>
  </si>
  <si>
    <t>1.0 S</t>
  </si>
  <si>
    <t>1.0 S Amt</t>
  </si>
  <si>
    <t>Alto K10</t>
  </si>
  <si>
    <t>Lxi Cng (O)</t>
  </si>
  <si>
    <t>D</t>
  </si>
  <si>
    <t>T</t>
  </si>
  <si>
    <t>T Vdc</t>
  </si>
  <si>
    <t>T Cvt</t>
  </si>
  <si>
    <t>H2 Cng</t>
  </si>
  <si>
    <t>Xl</t>
  </si>
  <si>
    <t>Xl (O)</t>
  </si>
  <si>
    <t>Freestyle</t>
  </si>
  <si>
    <t>1.2L Ti-Vct Ambiente</t>
  </si>
  <si>
    <t>1.2L Ti-Vct Titanium</t>
  </si>
  <si>
    <t>1.2L Ti-Vct Titanium Plus</t>
  </si>
  <si>
    <t>1.2L Ti-Vct Trend Plus</t>
  </si>
  <si>
    <t>1.5L Tdci Trend Plus</t>
  </si>
  <si>
    <t>Xc40</t>
  </si>
  <si>
    <t>D4 Momentum</t>
  </si>
  <si>
    <t>T4 R-Design</t>
  </si>
  <si>
    <t>Rolls-Royce Ghost Series Ii</t>
  </si>
  <si>
    <t>Ewb</t>
  </si>
  <si>
    <t>Alto</t>
  </si>
  <si>
    <t>Lxi Cng (Cng +</t>
  </si>
  <si>
    <t>Lxi (O) Cng (Cng +</t>
  </si>
  <si>
    <t>Vxi Plus</t>
  </si>
  <si>
    <t>Vxi Cng Mt</t>
  </si>
  <si>
    <t>Altroz</t>
  </si>
  <si>
    <t>Nexon</t>
  </si>
  <si>
    <t>Xz</t>
  </si>
  <si>
    <t>Xz Plus</t>
  </si>
  <si>
    <t>Xz Plus Dual Tone</t>
  </si>
  <si>
    <t>Xz Plus (O)</t>
  </si>
  <si>
    <t>Xz Plus (O) Dual Tone</t>
  </si>
  <si>
    <t>Xza Plus</t>
  </si>
  <si>
    <t>Xza Plus Dual Tone</t>
  </si>
  <si>
    <t>Xza Plus (O)</t>
  </si>
  <si>
    <t>Xza Plus (O) Dual Tone</t>
  </si>
  <si>
    <t>Ecosport</t>
  </si>
  <si>
    <t>1.5L Ti-Vct Ambiente</t>
  </si>
  <si>
    <t>1.5L Ti-Vct Trend</t>
  </si>
  <si>
    <t>1.5L Ti-Vct Titanium</t>
  </si>
  <si>
    <t>1.5L Ti-Vct Titanium Plus At</t>
  </si>
  <si>
    <t>1.5L Tdci Titanium S</t>
  </si>
  <si>
    <t>Tigor Ev</t>
  </si>
  <si>
    <t>Xm+</t>
  </si>
  <si>
    <t>Xt+</t>
  </si>
  <si>
    <t>Xe+</t>
  </si>
  <si>
    <t>S60</t>
  </si>
  <si>
    <t>Momentum</t>
  </si>
  <si>
    <t>45 Tfsi Premium Plus</t>
  </si>
  <si>
    <t>45 Tfsi Technology</t>
  </si>
  <si>
    <t>E220D</t>
  </si>
  <si>
    <t>E220D Expression</t>
  </si>
  <si>
    <t>E220D Exclusive</t>
  </si>
  <si>
    <t>X4</t>
  </si>
  <si>
    <t>Xdrive30D M Sport X</t>
  </si>
  <si>
    <t>Xdrive30I M Sport X</t>
  </si>
  <si>
    <t>Mercedes-Benz E-Class All Terrain</t>
  </si>
  <si>
    <t>E 220D</t>
  </si>
  <si>
    <t>3.0L Tdv6 S Diesel</t>
  </si>
  <si>
    <t>3.0L Tdv6 Se Diesel</t>
  </si>
  <si>
    <t>Cayenne</t>
  </si>
  <si>
    <t>E-Hybrid</t>
  </si>
  <si>
    <t>3.0L Tdv6 Vogue Diesel</t>
  </si>
  <si>
    <t>Seltos</t>
  </si>
  <si>
    <t>Htk 1.5</t>
  </si>
  <si>
    <t>Htk Plus 1.5</t>
  </si>
  <si>
    <t>Htx 1.5</t>
  </si>
  <si>
    <t>Htx Cvt 1.5</t>
  </si>
  <si>
    <t>Hte 1.5 Diesel</t>
  </si>
  <si>
    <t>Htk 1.5 Diesel</t>
  </si>
  <si>
    <t>Htk Plus 1.5 Diesel</t>
  </si>
  <si>
    <t>Htk Plus At 1.5 Diesel</t>
  </si>
  <si>
    <t>Htx Plus 1.5 Diesel</t>
  </si>
  <si>
    <t>Htx Plus At 1.5 Diesel</t>
  </si>
  <si>
    <t>Htx 1.5 Diesel</t>
  </si>
  <si>
    <t>Nexon Ev</t>
  </si>
  <si>
    <t>Xz Plus Lux</t>
  </si>
  <si>
    <t>Mercedes-Benz C-Class</t>
  </si>
  <si>
    <t>C 43 Amg</t>
  </si>
  <si>
    <t>Micra</t>
  </si>
  <si>
    <t>Xl (O) Cvt</t>
  </si>
  <si>
    <t>Harrier</t>
  </si>
  <si>
    <t>Revotorq Xe</t>
  </si>
  <si>
    <t>Revotorq Xm</t>
  </si>
  <si>
    <t>Revotorq Xt</t>
  </si>
  <si>
    <t>Revotorq Xz</t>
  </si>
  <si>
    <t>Revotorq Xz Dual Tone</t>
  </si>
  <si>
    <t>Revotorq Dark Edition</t>
  </si>
  <si>
    <t>Macan</t>
  </si>
  <si>
    <t>Tiago Nrg</t>
  </si>
  <si>
    <t>1.2L Revotron</t>
  </si>
  <si>
    <t>1.05L Revotorq</t>
  </si>
  <si>
    <t>1.2L Revotron Amt</t>
  </si>
  <si>
    <t>Eeco</t>
  </si>
  <si>
    <t>5 Str With Ac+Htr Cng</t>
  </si>
  <si>
    <t>5 Str With Htr Cng</t>
  </si>
  <si>
    <t>1.5L Tdci Ambiente</t>
  </si>
  <si>
    <t>1.5L Tdci Titanium</t>
  </si>
  <si>
    <t>1.5L Tdci Titanium Plus</t>
  </si>
  <si>
    <t>Exclusive Edition Cvt</t>
  </si>
  <si>
    <t>Comfortline 2.0L Tdi Amt</t>
  </si>
  <si>
    <t>2Wd Petrol Cvt</t>
  </si>
  <si>
    <t>Se Petrol</t>
  </si>
  <si>
    <t>Grand I10 Prime</t>
  </si>
  <si>
    <t>Era T+ Cng Vtvt</t>
  </si>
  <si>
    <t>Era T Cng Vtvt</t>
  </si>
  <si>
    <t>Swift</t>
  </si>
  <si>
    <t>Vxi Amt</t>
  </si>
  <si>
    <t>Zxi Amt</t>
  </si>
  <si>
    <t>Ldi</t>
  </si>
  <si>
    <t>Vdi</t>
  </si>
  <si>
    <t>Vdi Amt</t>
  </si>
  <si>
    <t>Zdi</t>
  </si>
  <si>
    <t>Zdi Amt</t>
  </si>
  <si>
    <t>Zdi Plus</t>
  </si>
  <si>
    <t>Zxi Plus Amt</t>
  </si>
  <si>
    <t>Zdi Plus Amt</t>
  </si>
  <si>
    <t>Xz Diesel</t>
  </si>
  <si>
    <t>Xz Plus Diesel</t>
  </si>
  <si>
    <t>Xz Plus Diesel Dual Tone</t>
  </si>
  <si>
    <t>Xz Plus (O) Diesel</t>
  </si>
  <si>
    <t>Xz Plus (O) Diesel Dual Tone</t>
  </si>
  <si>
    <t>Xma Diesel</t>
  </si>
  <si>
    <t>Xza Plus Diesel</t>
  </si>
  <si>
    <t>Xza Plus Diesel Dual Tone</t>
  </si>
  <si>
    <t>Xza Plus (O) Diesel</t>
  </si>
  <si>
    <t>Xza Plus (O) Diesel Dual Tone</t>
  </si>
  <si>
    <t>1.5L Tdci Trend</t>
  </si>
  <si>
    <t>1.5L Ti-Vct Titanium Plus</t>
  </si>
  <si>
    <t>1.5L Ti-Vct Thunder Edition</t>
  </si>
  <si>
    <t>1.5L Tdci Thunder Edition</t>
  </si>
  <si>
    <t>Verna</t>
  </si>
  <si>
    <t>1.6 Vtvt Sx(O) At</t>
  </si>
  <si>
    <t>1.4 Vtvt Ex</t>
  </si>
  <si>
    <t>1.4 Vtvt E</t>
  </si>
  <si>
    <t>1.6 Vtvt Sx (O) Anniversary Edition</t>
  </si>
  <si>
    <t>1.6 Vtvt Sx Plus At</t>
  </si>
  <si>
    <t>1.4 Crdi E</t>
  </si>
  <si>
    <t>Highline 1.6 (P)</t>
  </si>
  <si>
    <t>Comfortline 1.6 (P)</t>
  </si>
  <si>
    <t>Highline 1.2 (P) Dsg</t>
  </si>
  <si>
    <t>Highline Plus 1.2 (P) Dsg</t>
  </si>
  <si>
    <t>Trendline 1.5 (D)</t>
  </si>
  <si>
    <t>Comfortline 1.5 (D)</t>
  </si>
  <si>
    <t>Highline 1.5 (D)</t>
  </si>
  <si>
    <t>Highline 1.5 (D) Dsg</t>
  </si>
  <si>
    <t>Highline Plus 1.5 (D) Dsg</t>
  </si>
  <si>
    <t>Sdrive20D M Sport</t>
  </si>
  <si>
    <t>3-Series</t>
  </si>
  <si>
    <t>320D Sport</t>
  </si>
  <si>
    <t>320D Luxury Line</t>
  </si>
  <si>
    <t>330I M Sport</t>
  </si>
  <si>
    <t>Range Evoque</t>
  </si>
  <si>
    <t>Se R-Dynamic</t>
  </si>
  <si>
    <t>Se R-Dynamic Petrol</t>
  </si>
  <si>
    <t>Xdrive20D M Sport X</t>
  </si>
  <si>
    <t>Punto Evo Pure</t>
  </si>
  <si>
    <t>Grand I10</t>
  </si>
  <si>
    <t>1.2 Kappa Vtvt Magna Cng</t>
  </si>
  <si>
    <t>Captur</t>
  </si>
  <si>
    <t>Rxe Petrol</t>
  </si>
  <si>
    <t>Rxe Diesel</t>
  </si>
  <si>
    <t>Platine Diesel Dual Tone</t>
  </si>
  <si>
    <t>Platine Petrol Dual Tone</t>
  </si>
  <si>
    <t>Hte 1.5</t>
  </si>
  <si>
    <t>Gtk 1.4</t>
  </si>
  <si>
    <t>Gtx 1.4</t>
  </si>
  <si>
    <t>Gtx At 1.4</t>
  </si>
  <si>
    <t>Gtx Plus 1.4</t>
  </si>
  <si>
    <t>Hector</t>
  </si>
  <si>
    <t>1.5L Style</t>
  </si>
  <si>
    <t>2.0L Style</t>
  </si>
  <si>
    <t>2.0L Super</t>
  </si>
  <si>
    <t>2.0L Smart</t>
  </si>
  <si>
    <t>2.0L Sharp</t>
  </si>
  <si>
    <t>1.5L Super</t>
  </si>
  <si>
    <t>1.5L Super Hybrid</t>
  </si>
  <si>
    <t>1.5L Sharp Hybrid</t>
  </si>
  <si>
    <t>1.5L Smart Hybrid</t>
  </si>
  <si>
    <t>1.5L Smart Dct</t>
  </si>
  <si>
    <t>1.5L Sharp Dct</t>
  </si>
  <si>
    <t>C 220D Prime</t>
  </si>
  <si>
    <t>C 220D Progressive</t>
  </si>
  <si>
    <t>C 300D Amg Line</t>
  </si>
  <si>
    <t>C 200 Prime</t>
  </si>
  <si>
    <t>C 200 Progressive</t>
  </si>
  <si>
    <t>Prestige Petrol</t>
  </si>
  <si>
    <t>Era 1.2 Vtvt</t>
  </si>
  <si>
    <t>Magna 1.2 Vtvt</t>
  </si>
  <si>
    <t>Magna Amt 1.2 Vtvt</t>
  </si>
  <si>
    <t>Sportz 1.2 Vtvt</t>
  </si>
  <si>
    <t>Sportz Amt 1.2 Vtvt</t>
  </si>
  <si>
    <t>Sportz Dual Tone 1.2 Vtvt</t>
  </si>
  <si>
    <t>Asta 1.2 Vtvt</t>
  </si>
  <si>
    <t>Xld (O)</t>
  </si>
  <si>
    <t>1.5L Sigma Smart Hybrid</t>
  </si>
  <si>
    <t>1.5L Delta Smart Hybrid</t>
  </si>
  <si>
    <t>1.5L Alpha Smart Hybrid</t>
  </si>
  <si>
    <t>1.5L Delta At Smart Hybrid</t>
  </si>
  <si>
    <t>1.5L Zeta At Smart Hybrid</t>
  </si>
  <si>
    <t>1.5L Alpha At Smart Hybrid</t>
  </si>
  <si>
    <t>Sports Edition Diesel</t>
  </si>
  <si>
    <t>Kicks</t>
  </si>
  <si>
    <t>Xv Petrol</t>
  </si>
  <si>
    <t>Xv Premium</t>
  </si>
  <si>
    <t>Xv Premium (O)</t>
  </si>
  <si>
    <t>Xv Premium (O) Dual Tone</t>
  </si>
  <si>
    <t>Yaris</t>
  </si>
  <si>
    <t>J</t>
  </si>
  <si>
    <t>J Cvt</t>
  </si>
  <si>
    <t>Vx</t>
  </si>
  <si>
    <t>V (O)</t>
  </si>
  <si>
    <t>J (O)</t>
  </si>
  <si>
    <t>G (O)</t>
  </si>
  <si>
    <t>J (O) Cvt</t>
  </si>
  <si>
    <t>G (O) Cvt</t>
  </si>
  <si>
    <t>V (O) Cvt</t>
  </si>
  <si>
    <t>Octavia</t>
  </si>
  <si>
    <t>Ambition 1.4 Tsi</t>
  </si>
  <si>
    <t>Ambition 2.0 Tdi Cr</t>
  </si>
  <si>
    <t>Style 2.0 Tdi Cr</t>
  </si>
  <si>
    <t>Style 2.0 Tdi Cr At</t>
  </si>
  <si>
    <t>L &amp; K 2.0 Tdi Cr At</t>
  </si>
  <si>
    <t>Corporate Edition 2.0 Tdi</t>
  </si>
  <si>
    <t>Onyx 1.8 Tsi Dsg</t>
  </si>
  <si>
    <t>Onyx 2.0 Tdi Dsg</t>
  </si>
  <si>
    <t>Xcent Prime</t>
  </si>
  <si>
    <t>Cng T + (Cng +</t>
  </si>
  <si>
    <t>Cng T (Cng +</t>
  </si>
  <si>
    <t>T+ Crdi</t>
  </si>
  <si>
    <t>T Crdi</t>
  </si>
  <si>
    <t>Dzire Tour</t>
  </si>
  <si>
    <t>Dzire</t>
  </si>
  <si>
    <t>Ameo</t>
  </si>
  <si>
    <t>Trendline 1.0L</t>
  </si>
  <si>
    <t>Comfortline 1.0L</t>
  </si>
  <si>
    <t>Highline Plus 1.0L</t>
  </si>
  <si>
    <t>Zest</t>
  </si>
  <si>
    <t>Amaze</t>
  </si>
  <si>
    <t>S Cvt Petrol</t>
  </si>
  <si>
    <t>E Mt Diesel</t>
  </si>
  <si>
    <t>E Mt Petrol</t>
  </si>
  <si>
    <t>S Cvt Diesel</t>
  </si>
  <si>
    <t>V Cvt Petrol</t>
  </si>
  <si>
    <t>V Cvt Diesel</t>
  </si>
  <si>
    <t>S Mt Diesel</t>
  </si>
  <si>
    <t>Vx Mt Diesel</t>
  </si>
  <si>
    <t>V Mt Diesel</t>
  </si>
  <si>
    <t>Vx Mt Petrol</t>
  </si>
  <si>
    <t>V Mt Petrol</t>
  </si>
  <si>
    <t>S Mt Petrol</t>
  </si>
  <si>
    <t>Vx Cvt Diesel</t>
  </si>
  <si>
    <t>Vx Cvt Petrol</t>
  </si>
  <si>
    <t>Ace Edition Cvt Diesel</t>
  </si>
  <si>
    <t>Ace Edition Cvt Petrol</t>
  </si>
  <si>
    <t>Ace Edition Mt Diesel</t>
  </si>
  <si>
    <t>Ace Edition Mt Petrol</t>
  </si>
  <si>
    <t>Venue</t>
  </si>
  <si>
    <t>1.2 Kappa Mt E</t>
  </si>
  <si>
    <t>1.0 Turbo Gdi Mt S</t>
  </si>
  <si>
    <t>1.4 Crdi Mt E</t>
  </si>
  <si>
    <t>1.0 Turbo Gdi Mt Sx</t>
  </si>
  <si>
    <t>1.0 Turbo Gdi Mt Sx Dual Tone</t>
  </si>
  <si>
    <t>1.0 Turbo Gdi Mt Sx(O)</t>
  </si>
  <si>
    <t>1.0 Turbo Gdi Dct S</t>
  </si>
  <si>
    <t>1.0 Turbo Gdi Dct Sx Plus</t>
  </si>
  <si>
    <t>1.2 Kappa Mt S</t>
  </si>
  <si>
    <t>1.4 Crdi Mt S</t>
  </si>
  <si>
    <t>1.4 Crdi Mt Sx</t>
  </si>
  <si>
    <t>1.4 Crdi Mt Sx Dual Tone</t>
  </si>
  <si>
    <t>1.4 Crdi Mt Sx(O)</t>
  </si>
  <si>
    <t>Bolero Power Plus</t>
  </si>
  <si>
    <t>Zlx</t>
  </si>
  <si>
    <t>Slx</t>
  </si>
  <si>
    <t>Sle</t>
  </si>
  <si>
    <t>Lx</t>
  </si>
  <si>
    <t>I20 Active</t>
  </si>
  <si>
    <t>1.2 S</t>
  </si>
  <si>
    <t>1.4 Sx</t>
  </si>
  <si>
    <t>Xuv300</t>
  </si>
  <si>
    <t>1.2 W4</t>
  </si>
  <si>
    <t>1.2 W6</t>
  </si>
  <si>
    <t>1.2 W8</t>
  </si>
  <si>
    <t>1.2 W8(O)</t>
  </si>
  <si>
    <t>1.5 W4</t>
  </si>
  <si>
    <t>1.5 W6</t>
  </si>
  <si>
    <t>1.5 W8</t>
  </si>
  <si>
    <t>1.5 W8 (O)</t>
  </si>
  <si>
    <t>1.5 W8 Amt</t>
  </si>
  <si>
    <t>1.5 W8 (O) Amt</t>
  </si>
  <si>
    <t>1.5 W6 Amt</t>
  </si>
  <si>
    <t>Go+</t>
  </si>
  <si>
    <t>Datsun A (O)</t>
  </si>
  <si>
    <t>Datsun A</t>
  </si>
  <si>
    <t>Baleno</t>
  </si>
  <si>
    <t>1.3 Delta</t>
  </si>
  <si>
    <t>1.3 Alpha</t>
  </si>
  <si>
    <t>1.3 Sigma</t>
  </si>
  <si>
    <t>1.3 Zeta</t>
  </si>
  <si>
    <t>1.2 Alpha</t>
  </si>
  <si>
    <t>1.2 Alpha Cvt</t>
  </si>
  <si>
    <t>1.2 Delta</t>
  </si>
  <si>
    <t>1.2 Delta Cvt</t>
  </si>
  <si>
    <t>1.2 Sigma</t>
  </si>
  <si>
    <t>1.2 Zeta</t>
  </si>
  <si>
    <t>1.2 Delta Dualjet</t>
  </si>
  <si>
    <t>1.2 Zeta Dualjet</t>
  </si>
  <si>
    <t>1.2 Zeta Cvt</t>
  </si>
  <si>
    <t>Baleno Rs</t>
  </si>
  <si>
    <t>Rs 1.0</t>
  </si>
  <si>
    <t>Tuv300</t>
  </si>
  <si>
    <t>T4 Plus</t>
  </si>
  <si>
    <t>T6 Plus</t>
  </si>
  <si>
    <t>T8</t>
  </si>
  <si>
    <t>T10</t>
  </si>
  <si>
    <t>T10 (O)</t>
  </si>
  <si>
    <t>T10 Dual Tone</t>
  </si>
  <si>
    <t>T10 (O) Dual Tone</t>
  </si>
  <si>
    <t>Xcent</t>
  </si>
  <si>
    <t>S 1.2</t>
  </si>
  <si>
    <t>S At 1.2</t>
  </si>
  <si>
    <t>Sx 1.2</t>
  </si>
  <si>
    <t>Sx 1.2 (O)</t>
  </si>
  <si>
    <t>S 1.2 Crdi</t>
  </si>
  <si>
    <t>E</t>
  </si>
  <si>
    <t>Sx 1.2 Crdi</t>
  </si>
  <si>
    <t>Sx 1.2 Crdi (O)</t>
  </si>
  <si>
    <t>E Crdi</t>
  </si>
  <si>
    <t>7 Str</t>
  </si>
  <si>
    <t>Dc</t>
  </si>
  <si>
    <t>Avanti</t>
  </si>
  <si>
    <t>Standard</t>
  </si>
  <si>
    <t>Mustang</t>
  </si>
  <si>
    <t>Fastback V8</t>
  </si>
  <si>
    <t>Mercedes-Benz E-Class Cabriolet</t>
  </si>
  <si>
    <t>E400</t>
  </si>
  <si>
    <t>M2 Competition</t>
  </si>
  <si>
    <t>Boxster</t>
  </si>
  <si>
    <t>Cayman</t>
  </si>
  <si>
    <t>730Ld Design Pure Excellence</t>
  </si>
  <si>
    <t>730Ld Design Pure Excellence Signature</t>
  </si>
  <si>
    <t>730Ld M Sport</t>
  </si>
  <si>
    <t>Mercedes-Benz S-Class</t>
  </si>
  <si>
    <t>Amg S 63 Coupe</t>
  </si>
  <si>
    <t>Granturismo</t>
  </si>
  <si>
    <t>Quattroporte</t>
  </si>
  <si>
    <t>S560</t>
  </si>
  <si>
    <t>Panamera</t>
  </si>
  <si>
    <t>Turbo Executive</t>
  </si>
  <si>
    <t>Turbo Sport Turismo</t>
  </si>
  <si>
    <t>Mercedes-Benz S-Class Cabriolet</t>
  </si>
  <si>
    <t>S500</t>
  </si>
  <si>
    <t>R8</t>
  </si>
  <si>
    <t>V10 Plus</t>
  </si>
  <si>
    <t>Continental Gt</t>
  </si>
  <si>
    <t>Portofino</t>
  </si>
  <si>
    <t>V8 Convertible</t>
  </si>
  <si>
    <t>458 Speciale</t>
  </si>
  <si>
    <t>Rolls-Royce Wraith</t>
  </si>
  <si>
    <t>Mulsanne</t>
  </si>
  <si>
    <t>Rolls-Royce Phantom Coupe</t>
  </si>
  <si>
    <t>6.8 L</t>
  </si>
  <si>
    <t>Kuv100 Nxt</t>
  </si>
  <si>
    <t>K2 6Str</t>
  </si>
  <si>
    <t>K2+ 6Str</t>
  </si>
  <si>
    <t>K2 D 6Str</t>
  </si>
  <si>
    <t>K2+ D 6Str</t>
  </si>
  <si>
    <t>K4+ D 6Str</t>
  </si>
  <si>
    <t>K4+ 6Str</t>
  </si>
  <si>
    <t>K6+ 6Str</t>
  </si>
  <si>
    <t>K6+ D 6Str</t>
  </si>
  <si>
    <t>K8 6Str</t>
  </si>
  <si>
    <t>K8 D 6Str</t>
  </si>
  <si>
    <t>K8 6 Str Dual Tone</t>
  </si>
  <si>
    <t>K8 D 6 Str Dual Tone</t>
  </si>
  <si>
    <t>K2 D 6Str Taxi</t>
  </si>
  <si>
    <t>K2 6Str Cng Taxi</t>
  </si>
  <si>
    <t>S60 Cross Country</t>
  </si>
  <si>
    <t>E 63 S Amg</t>
  </si>
  <si>
    <t>Rs7</t>
  </si>
  <si>
    <t>Grancabrio</t>
  </si>
  <si>
    <t>488 Gtb</t>
  </si>
  <si>
    <t>Spider</t>
  </si>
  <si>
    <t>Aventador</t>
  </si>
  <si>
    <t>Lp 700-4</t>
  </si>
  <si>
    <t>Lp700-4 Roadster</t>
  </si>
  <si>
    <t>Rolls-Royce Dawn</t>
  </si>
  <si>
    <t>Rolls-Royce Drophead Coupe</t>
  </si>
  <si>
    <t>Phantom</t>
  </si>
  <si>
    <t>Omni</t>
  </si>
  <si>
    <t>E 8 Str Bs-Iv</t>
  </si>
  <si>
    <t>Datsun D</t>
  </si>
  <si>
    <t>Datsun T</t>
  </si>
  <si>
    <t>Datsun T (O)</t>
  </si>
  <si>
    <t>Datsun T Vdc</t>
  </si>
  <si>
    <t>Datsun T (O) Vdc</t>
  </si>
  <si>
    <t>Datsun T Cvt</t>
  </si>
  <si>
    <t>Datsun T (O) Cvt</t>
  </si>
  <si>
    <t>M4</t>
  </si>
  <si>
    <t>Carrera S</t>
  </si>
  <si>
    <t>Carrera S Cabriolet</t>
  </si>
  <si>
    <t>Vantage</t>
  </si>
  <si>
    <t>Rapide</t>
  </si>
  <si>
    <t>Luxe</t>
  </si>
  <si>
    <t>630I Gt Luxury Line</t>
  </si>
  <si>
    <t>5.0 Coupe R</t>
  </si>
  <si>
    <t>458 Spider</t>
  </si>
  <si>
    <t>Flying Spur</t>
  </si>
  <si>
    <t>W12</t>
  </si>
  <si>
    <t>Mercedes-Benz Gls</t>
  </si>
  <si>
    <t>63 Amg</t>
  </si>
  <si>
    <t>400 4Matic</t>
  </si>
  <si>
    <t>Grand Edition Petrol</t>
  </si>
  <si>
    <t>Levante</t>
  </si>
  <si>
    <t>Granlusson</t>
  </si>
  <si>
    <t>Hexa</t>
  </si>
  <si>
    <t>Xt 4X4</t>
  </si>
  <si>
    <t>Endeavour</t>
  </si>
  <si>
    <t>3.2L 4X4 At Titanium Plus</t>
  </si>
  <si>
    <t>45 Tdi Premium Plus</t>
  </si>
  <si>
    <t>45 Tdi Technology Pack</t>
  </si>
  <si>
    <t>45 Tdi Black Styling</t>
  </si>
  <si>
    <t>4.4L Sdv8 Hse Diesel</t>
  </si>
  <si>
    <t>Land Cruiser</t>
  </si>
  <si>
    <t>5.0L V8 Autobiography Petrol</t>
  </si>
  <si>
    <t>3.0L V6 Vogue Lwb Petrol</t>
  </si>
  <si>
    <t>4.4L Sdv8 Svautobiography Lwb Diesel</t>
  </si>
  <si>
    <t>3.0L V6 Vogue Se Lwb Petrol</t>
  </si>
  <si>
    <t>Nuvosport</t>
  </si>
  <si>
    <t>N4</t>
  </si>
  <si>
    <t>N6</t>
  </si>
  <si>
    <t>N8</t>
  </si>
  <si>
    <t>N4 +</t>
  </si>
  <si>
    <t>N6 Amt</t>
  </si>
  <si>
    <t>N8 Amt</t>
  </si>
  <si>
    <t>Isuzu</t>
  </si>
  <si>
    <t>Mu-X</t>
  </si>
  <si>
    <t>4X2</t>
  </si>
  <si>
    <t>4X4</t>
  </si>
  <si>
    <t>Land Cruiser Prado</t>
  </si>
  <si>
    <t>Vx L</t>
  </si>
  <si>
    <t>Icml</t>
  </si>
  <si>
    <t>Extreme</t>
  </si>
  <si>
    <t>Ld Di Non Ac 9 Seater Bsiii</t>
  </si>
  <si>
    <t>Ld Crdfi Non Ac 9 Seater Bsiv</t>
  </si>
  <si>
    <t>Ld Di Ps Ac 9 Seater Bsiii</t>
  </si>
  <si>
    <t>Ld Crdfi Ps Ac 9 Seater Bsiii</t>
  </si>
  <si>
    <t>Sd Di 9 Seater Bsiii</t>
  </si>
  <si>
    <t>Ld Crdfi Ps Ac 9 Seater Bsiv</t>
  </si>
  <si>
    <t>Vd Crdfi 7 Seater Bsiii</t>
  </si>
  <si>
    <t>Vd Di 7 Seater Bsiii</t>
  </si>
  <si>
    <t>Sd Crdfi 9 Seater Bsiv</t>
  </si>
  <si>
    <t>Vd Crdfi 7 Seater Bsiv</t>
  </si>
  <si>
    <t>Sd Crdfi 9 Seater Bsiii</t>
  </si>
  <si>
    <t>Gypsy</t>
  </si>
  <si>
    <t>Hard Top</t>
  </si>
  <si>
    <t>Soft Top</t>
  </si>
  <si>
    <t>Plus Ac Bs4 Ps</t>
  </si>
  <si>
    <t>Plus Non Ac Bs4 Ps</t>
  </si>
  <si>
    <t>Brv</t>
  </si>
  <si>
    <t>E Petrol</t>
  </si>
  <si>
    <t>Xpedition 5 Door</t>
  </si>
  <si>
    <t>Xpedition 3 Door</t>
  </si>
  <si>
    <t>Scorpio</t>
  </si>
  <si>
    <t>S3 2Wd</t>
  </si>
  <si>
    <t>S5 2Wd</t>
  </si>
  <si>
    <t>S7 120 2Wd</t>
  </si>
  <si>
    <t>S7 140 2Wd</t>
  </si>
  <si>
    <t>S11 2Wd</t>
  </si>
  <si>
    <t>S11 4Wd</t>
  </si>
  <si>
    <t>S9 2Wd</t>
  </si>
  <si>
    <t>W7</t>
  </si>
  <si>
    <t>Xm Plus 4X2</t>
  </si>
  <si>
    <t>Xta 4X2</t>
  </si>
  <si>
    <t>Xt 4X2</t>
  </si>
  <si>
    <t>Xe 4X2</t>
  </si>
  <si>
    <t>Xm 4X2</t>
  </si>
  <si>
    <t>Xma 4X2</t>
  </si>
  <si>
    <t>Fortuner</t>
  </si>
  <si>
    <t>2.8 4X2 At</t>
  </si>
  <si>
    <t>2.8 4X2 Mt</t>
  </si>
  <si>
    <t>2.8 4X4 Mt</t>
  </si>
  <si>
    <t>2.8 4X4 At</t>
  </si>
  <si>
    <t>2.7 4X2 At</t>
  </si>
  <si>
    <t>2.7 4X2 Mt</t>
  </si>
  <si>
    <t>Trd Celebratory Edition</t>
  </si>
  <si>
    <t>2.2L 4X2 At Titanium Plus</t>
  </si>
  <si>
    <t>2.2L 4X2 Mt Titanium</t>
  </si>
  <si>
    <t>Xylo</t>
  </si>
  <si>
    <t>D2 Bs-Iv</t>
  </si>
  <si>
    <t>D4 Bs-Iv</t>
  </si>
  <si>
    <t>H4 Bs-Iv</t>
  </si>
  <si>
    <t>H4 Abs Bs-Iv</t>
  </si>
  <si>
    <t>H8 Abs Airbags Bs-Iv</t>
  </si>
  <si>
    <t>2.2 Lx 4X2</t>
  </si>
  <si>
    <t>2.2 Ex 4X2</t>
  </si>
  <si>
    <t>2.2 Vx 4X2 Varicor 400</t>
  </si>
  <si>
    <t>Bolero</t>
  </si>
  <si>
    <t>Ex</t>
  </si>
  <si>
    <t>Ex Non Ac</t>
  </si>
  <si>
    <t>Pajero Sport</t>
  </si>
  <si>
    <t>2.5 Mt</t>
  </si>
  <si>
    <t>2.5 At</t>
  </si>
  <si>
    <t>Limited Edition</t>
  </si>
  <si>
    <t>Select Plus Mt</t>
  </si>
  <si>
    <t>Select Plus At</t>
  </si>
  <si>
    <t>Montero</t>
  </si>
  <si>
    <t>3.2 At</t>
  </si>
  <si>
    <t>Vxi Amt (O)</t>
  </si>
  <si>
    <t>Revotron Xt</t>
  </si>
  <si>
    <t>Revotron Xz</t>
  </si>
  <si>
    <t>Revotron Xz Plus</t>
  </si>
  <si>
    <t>Revotron Xz Plus Dual Tone</t>
  </si>
  <si>
    <t>Revotron Xza</t>
  </si>
  <si>
    <t>Revotron Xza Plus</t>
  </si>
  <si>
    <t>Revotron Xza Plus Dual Tone</t>
  </si>
  <si>
    <t>S 1.2 Cng Petrol (Cng +</t>
  </si>
  <si>
    <t>350 Cdi</t>
  </si>
  <si>
    <t>Grand Edition Diesel</t>
  </si>
  <si>
    <t>S 350 D</t>
  </si>
  <si>
    <t>S 450</t>
  </si>
  <si>
    <t>Era T Crdi</t>
  </si>
  <si>
    <t>Era T+ Crdi</t>
  </si>
  <si>
    <t>K4+ 5Str</t>
  </si>
  <si>
    <t>K6+ 5Str</t>
  </si>
  <si>
    <t>K8 5Str</t>
  </si>
  <si>
    <t>K4+ D 5Str</t>
  </si>
  <si>
    <t>K6+ D 5Str</t>
  </si>
  <si>
    <t>K8 D 5Str</t>
  </si>
  <si>
    <t>K2 D 5Str Taxi</t>
  </si>
  <si>
    <t>K2 5Str Cng Taxi</t>
  </si>
  <si>
    <t>Tigor</t>
  </si>
  <si>
    <t>Xc60</t>
  </si>
  <si>
    <t>Inscription D5</t>
  </si>
  <si>
    <t>Xj</t>
  </si>
  <si>
    <t>3.0L</t>
  </si>
  <si>
    <t>V40 Cross Country</t>
  </si>
  <si>
    <t>D3</t>
  </si>
  <si>
    <t>5.0L V8 Svautobiography Lwb Petrol</t>
  </si>
  <si>
    <t>3.0L Portfolio</t>
  </si>
  <si>
    <t>5.0L V8 Svautobiography Dynamic Petrol</t>
  </si>
  <si>
    <t>Alto 800 Tour</t>
  </si>
  <si>
    <t>H1</t>
  </si>
  <si>
    <t>H1 (O)</t>
  </si>
  <si>
    <t>530D M Sport</t>
  </si>
  <si>
    <t>5 Str</t>
  </si>
  <si>
    <t>Rolls-Royce Phantom</t>
  </si>
  <si>
    <t>Delta 1.2 Amt</t>
  </si>
  <si>
    <t>5 Str With Ac+Htr</t>
  </si>
  <si>
    <t>Delta 1.2 Mt</t>
  </si>
  <si>
    <t>Premier</t>
  </si>
  <si>
    <t>Rio</t>
  </si>
  <si>
    <t>Gx</t>
  </si>
  <si>
    <t>Dx</t>
  </si>
  <si>
    <t>Glx</t>
  </si>
  <si>
    <t>Etios Liva</t>
  </si>
  <si>
    <t>Gd</t>
  </si>
  <si>
    <t>Crdi4</t>
  </si>
  <si>
    <t>Vd</t>
  </si>
  <si>
    <t>Vxd</t>
  </si>
  <si>
    <t>Dual Tone Vxd</t>
  </si>
  <si>
    <t>Dual Tone Vd</t>
  </si>
  <si>
    <t>Dual Tone V</t>
  </si>
  <si>
    <t>Dual Tone Vx</t>
  </si>
  <si>
    <t>Gxd</t>
  </si>
  <si>
    <t>Vx Dual Tone Limited Edition</t>
  </si>
  <si>
    <t>Vxd Dual Tone Limited Edition</t>
  </si>
  <si>
    <t>Elite I20</t>
  </si>
  <si>
    <t>Era 1.4 Crdi</t>
  </si>
  <si>
    <t>Sportz Plus</t>
  </si>
  <si>
    <t>Magna Plus</t>
  </si>
  <si>
    <t>Magna Plus Crdi</t>
  </si>
  <si>
    <t>Asta (O) 1.2</t>
  </si>
  <si>
    <t>Sportz Plus Crdi Dual Tone</t>
  </si>
  <si>
    <t>Asta (O) Crdi</t>
  </si>
  <si>
    <t>Sportz Plus Cvt</t>
  </si>
  <si>
    <t>Sportz Plus Dual Tone</t>
  </si>
  <si>
    <t>Asta (O) Cvt</t>
  </si>
  <si>
    <t>Sportz Plus Crdi</t>
  </si>
  <si>
    <t>Platinum Etios</t>
  </si>
  <si>
    <t>Vx Limited Edition</t>
  </si>
  <si>
    <t>Vxd Limited Edition</t>
  </si>
  <si>
    <t>Verito Vibe</t>
  </si>
  <si>
    <t>1.4 X Edition</t>
  </si>
  <si>
    <t>Superb Sportline</t>
  </si>
  <si>
    <t>Sportline 2.0L Tdi At</t>
  </si>
  <si>
    <t>Sportline 1.8L Tsi At</t>
  </si>
  <si>
    <t>Multijet Dynamic</t>
  </si>
  <si>
    <t>Multijet Emotion</t>
  </si>
  <si>
    <t>Mercedes-Benz B-Class</t>
  </si>
  <si>
    <t>B 180 Sport</t>
  </si>
  <si>
    <t>B 180 Night Edition</t>
  </si>
  <si>
    <t>B 200 Cdi Night Edition</t>
  </si>
  <si>
    <t>B 200 Cdi Sport</t>
  </si>
  <si>
    <t>Mercedes-Benz Cla-Class</t>
  </si>
  <si>
    <t>200 Sport</t>
  </si>
  <si>
    <t>Kodiaq</t>
  </si>
  <si>
    <t>Style 2.0 Tdi 4X4 At</t>
  </si>
  <si>
    <t>200 D Sport</t>
  </si>
  <si>
    <t>Laurin And Klement</t>
  </si>
  <si>
    <t>200 Cdi Style</t>
  </si>
  <si>
    <t>Clubman</t>
  </si>
  <si>
    <t>Xf</t>
  </si>
  <si>
    <t>2.0 Prestige</t>
  </si>
  <si>
    <t>Corporate Edition</t>
  </si>
  <si>
    <t>2.0 Portfolio Diesel</t>
  </si>
  <si>
    <t>2.0 Prestige Diesel</t>
  </si>
  <si>
    <t>2.0 Portfolio</t>
  </si>
  <si>
    <t>X3</t>
  </si>
  <si>
    <t>Xdrive 30I Luxury Line</t>
  </si>
  <si>
    <t>2.0 Pure Diesel</t>
  </si>
  <si>
    <t>Xdrive 20D Luxury Line</t>
  </si>
  <si>
    <t>Xdrive20D Xline</t>
  </si>
  <si>
    <t>Linea</t>
  </si>
  <si>
    <t>Active Multijet</t>
  </si>
  <si>
    <t>Active Fire</t>
  </si>
  <si>
    <t>Vitara Brezza</t>
  </si>
  <si>
    <t>Dynamic Multijet</t>
  </si>
  <si>
    <t>T-Jet Emotion</t>
  </si>
  <si>
    <t>Emotion Multijet</t>
  </si>
  <si>
    <t>Zdi+</t>
  </si>
  <si>
    <t>Zdi+ Dual Tone</t>
  </si>
  <si>
    <t>Zdi Ags</t>
  </si>
  <si>
    <t>Vdi Ags</t>
  </si>
  <si>
    <t>Zdi+ Ags</t>
  </si>
  <si>
    <t>Zdi+ Dual Tone Ags</t>
  </si>
  <si>
    <t>1.2 Sx</t>
  </si>
  <si>
    <t>Duster</t>
  </si>
  <si>
    <t>Rxs Petrol</t>
  </si>
  <si>
    <t>1.2 Sx Dual Tone</t>
  </si>
  <si>
    <t>Rxs (Opt) Cvt</t>
  </si>
  <si>
    <t>85 Ps Rxe Mt Diesel</t>
  </si>
  <si>
    <t>85 Ps Rxs Mt Diesel</t>
  </si>
  <si>
    <t>110 Ps Rxs Mt Diesel</t>
  </si>
  <si>
    <t>Xplorer 3 Door</t>
  </si>
  <si>
    <t>110 Ps Rxz Amt Diesel</t>
  </si>
  <si>
    <t>110 Ps Rxs Awd (Opt) Diesel</t>
  </si>
  <si>
    <t>110 Ps Rxz Mt Diesel</t>
  </si>
  <si>
    <t>Monte Carlo</t>
  </si>
  <si>
    <t>Monte Carlo 1.5 Tdi At</t>
  </si>
  <si>
    <t>Xplorer 5 Door</t>
  </si>
  <si>
    <t>4Wd Getaway</t>
  </si>
  <si>
    <t>2Wd Getaway</t>
  </si>
  <si>
    <t>Monte Carlo 1.5 Tdi Mt</t>
  </si>
  <si>
    <t>Monte Carlo 1.6 Mpi Mt</t>
  </si>
  <si>
    <t>Monte Carlo 1.6 Mpi At</t>
  </si>
  <si>
    <t>Gl Diesel</t>
  </si>
  <si>
    <t>Superb</t>
  </si>
  <si>
    <t>Style 1.8 Tsi Mt</t>
  </si>
  <si>
    <t>G Diesel</t>
  </si>
  <si>
    <t>L &amp; K 1.8 Tsi At</t>
  </si>
  <si>
    <t>Style 2.0 Tdi At</t>
  </si>
  <si>
    <t>L &amp; K 2.0 Tdi At</t>
  </si>
  <si>
    <t>Style 1.8 Tsi At</t>
  </si>
  <si>
    <t>Polestar</t>
  </si>
  <si>
    <t>E200</t>
  </si>
  <si>
    <t>Corporate Edition 1.8 Tsi At</t>
  </si>
  <si>
    <t>Corporate Edition 2.0 Tdi At</t>
  </si>
  <si>
    <t>E200 Expression</t>
  </si>
  <si>
    <t>E200 Exclusive</t>
  </si>
  <si>
    <t>Wrangler</t>
  </si>
  <si>
    <t>Unlimited</t>
  </si>
  <si>
    <t>2.0 Diesel R-Dynamic S</t>
  </si>
  <si>
    <t>Linea Classic</t>
  </si>
  <si>
    <t>1.2L Fire Dynamic</t>
  </si>
  <si>
    <t>1.3 Multijet</t>
  </si>
  <si>
    <t>Terrano</t>
  </si>
  <si>
    <t>Xl (P)</t>
  </si>
  <si>
    <t>Xv D Premium 110 Ps Amt</t>
  </si>
  <si>
    <t>Xe D 85Ps</t>
  </si>
  <si>
    <t>Plus 1.3 Multijet</t>
  </si>
  <si>
    <t>Sport Edition</t>
  </si>
  <si>
    <t>Xl D(O)</t>
  </si>
  <si>
    <t>Xv D Premium 110 Ps</t>
  </si>
  <si>
    <t>Elantra</t>
  </si>
  <si>
    <t>Sx At</t>
  </si>
  <si>
    <t>Sx(O) At</t>
  </si>
  <si>
    <t>Sx</t>
  </si>
  <si>
    <t>Tucson</t>
  </si>
  <si>
    <t>2Wd At Gl Petrol</t>
  </si>
  <si>
    <t>2Wd At Gl Diesel</t>
  </si>
  <si>
    <t>2Wd Mt Petrol</t>
  </si>
  <si>
    <t>2Wd Mt Diesel</t>
  </si>
  <si>
    <t>2Wd At Gl(O) Petrol</t>
  </si>
  <si>
    <t>2Wd At Gls Petrol</t>
  </si>
  <si>
    <t>4Wd At Gls Diesel</t>
  </si>
  <si>
    <t>Mercedes-Benz A-Class</t>
  </si>
  <si>
    <t>200D</t>
  </si>
  <si>
    <t>2Wd At Gl(O) Diesel</t>
  </si>
  <si>
    <t>Rapid</t>
  </si>
  <si>
    <t>1.5 Tdi Cr Active</t>
  </si>
  <si>
    <t>Xvd</t>
  </si>
  <si>
    <t>T4</t>
  </si>
  <si>
    <t>1.6 Mpi Ambition</t>
  </si>
  <si>
    <t>1.6 Mpi Active</t>
  </si>
  <si>
    <t>1.5 Tdi Cr Ambition At</t>
  </si>
  <si>
    <t>1.5 Tdi Cr Ambition</t>
  </si>
  <si>
    <t>1.6 Mpi Style At</t>
  </si>
  <si>
    <t>1.5 Tdi Cr Style At</t>
  </si>
  <si>
    <t>1.5 Tdi Cr Style</t>
  </si>
  <si>
    <t>1.6 Mpi Style</t>
  </si>
  <si>
    <t>1.6 Mpi Ambition At</t>
  </si>
  <si>
    <t>Onyx Mt Diesel</t>
  </si>
  <si>
    <t>Onyx At Petrol</t>
  </si>
  <si>
    <t>Onyx At Diesel</t>
  </si>
  <si>
    <t>Onyx Mt Petrol</t>
  </si>
  <si>
    <t>Dmax V-Cross</t>
  </si>
  <si>
    <t>Pick-up</t>
  </si>
  <si>
    <t>High Z</t>
  </si>
  <si>
    <t>Z Prestige</t>
  </si>
  <si>
    <t>Mercedes-Benz Gla-Class</t>
  </si>
  <si>
    <t>45 Amg 4Matic</t>
  </si>
  <si>
    <t>200 D Style</t>
  </si>
  <si>
    <t>45 Aero Edition</t>
  </si>
  <si>
    <t>Accord Hybrid</t>
  </si>
  <si>
    <t>2.0 At</t>
  </si>
  <si>
    <t>220 D 4Matic</t>
  </si>
  <si>
    <t>520D Luxury Line</t>
  </si>
  <si>
    <t>Style 1.4 Tsi</t>
  </si>
  <si>
    <t>Verito</t>
  </si>
  <si>
    <t>1.5 D4 Bs-Iv</t>
  </si>
  <si>
    <t>Corporate Edition 1.4 Tsi</t>
  </si>
  <si>
    <t>1.5 D2</t>
  </si>
  <si>
    <t>1.5 D6 Bs-Iv</t>
  </si>
  <si>
    <t>Celerio X</t>
  </si>
  <si>
    <t>Zxi (O)</t>
  </si>
  <si>
    <t>Zxi Amt (O)</t>
  </si>
  <si>
    <t>T+</t>
  </si>
  <si>
    <t>Polo</t>
  </si>
  <si>
    <t>Comfortline 1.0 (P)</t>
  </si>
  <si>
    <t>Era 1.2</t>
  </si>
  <si>
    <t>Highline Plus 1.0 (P)</t>
  </si>
  <si>
    <t>Trendline 1.0L (P)</t>
  </si>
  <si>
    <t>Trendline 1.5L (D)</t>
  </si>
  <si>
    <t>Highline Plus 1.5 (D)</t>
  </si>
  <si>
    <t>Trendline 1.5L Tdi</t>
  </si>
  <si>
    <t>Gt Tdi</t>
  </si>
  <si>
    <t>Gt Tsi</t>
  </si>
  <si>
    <t>Highline Plus 1.5L Tdi</t>
  </si>
  <si>
    <t>Comfortline 1.5L Tdi</t>
  </si>
  <si>
    <t>Highline Plus 1.5L Tdi Dsg</t>
  </si>
  <si>
    <t>Gt Line Tdi Dsg</t>
  </si>
  <si>
    <t>Zxi (Opt)</t>
  </si>
  <si>
    <t>Vxi (O) Mt</t>
  </si>
  <si>
    <t>Zxi Ags</t>
  </si>
  <si>
    <t>Zxi (O) Ags</t>
  </si>
  <si>
    <t>Era T Vtvt</t>
  </si>
  <si>
    <t>Xz Petrol</t>
  </si>
  <si>
    <t>Era T+ Vtvt</t>
  </si>
  <si>
    <t>Xz (O) Petrol</t>
  </si>
  <si>
    <t>Revotron Xm</t>
  </si>
  <si>
    <t>Xz (O) Diesel</t>
  </si>
  <si>
    <t>Revotron Xma</t>
  </si>
  <si>
    <t>Xta Diesel</t>
  </si>
  <si>
    <t>Zest Premio Edition</t>
  </si>
  <si>
    <t>1.6 Crdi Sx(O) At</t>
  </si>
  <si>
    <t>1.6 Crdi Sx Plus At</t>
  </si>
  <si>
    <t>Sdrive20D Xline</t>
  </si>
  <si>
    <t>Gt Line (D)</t>
  </si>
  <si>
    <t>Gt Line (P) Dsg</t>
  </si>
  <si>
    <t>Sdrive20D Expedition</t>
  </si>
  <si>
    <t>5 Str Bs-Iv</t>
  </si>
  <si>
    <t>1.2 Kappa Vtvt Magna</t>
  </si>
  <si>
    <t>Xdrive20D M Sport</t>
  </si>
  <si>
    <t>1.2 Kappa Vtvt Sportz</t>
  </si>
  <si>
    <t>1.2 Kappa Vtvt Magna At</t>
  </si>
  <si>
    <t>1.2 Kappa Vtvt Sportz At</t>
  </si>
  <si>
    <t>City</t>
  </si>
  <si>
    <t>Sv Mt Petrol</t>
  </si>
  <si>
    <t>1.2 Kappa Vtvt Sportz Dual Tone</t>
  </si>
  <si>
    <t>Prius</t>
  </si>
  <si>
    <t>Z8</t>
  </si>
  <si>
    <t>Sv Mt Diesel</t>
  </si>
  <si>
    <t>Zx Mt Diesel</t>
  </si>
  <si>
    <t>Zx Cvt Petrol</t>
  </si>
  <si>
    <t>Engine_Displacement(CC)</t>
  </si>
  <si>
    <t>Engine_Power(BHP)</t>
  </si>
  <si>
    <t>Torque(Nm)</t>
  </si>
  <si>
    <r>
      <t>Price(</t>
    </r>
    <r>
      <rPr>
        <b/>
        <sz val="11"/>
        <color theme="1"/>
        <rFont val="Aptos Narrow"/>
        <family val="2"/>
      </rPr>
      <t>₹ Lakhs)</t>
    </r>
  </si>
  <si>
    <t>Transmission</t>
  </si>
  <si>
    <t>NA</t>
  </si>
  <si>
    <t>Performance Category</t>
  </si>
  <si>
    <t>Hatchback Sports</t>
  </si>
  <si>
    <t>Convertible Sports</t>
  </si>
  <si>
    <t>Crossover SUV</t>
  </si>
  <si>
    <t>Coupe Sedan</t>
  </si>
  <si>
    <t>Crossover Sedan</t>
  </si>
  <si>
    <t>Convertible Coupe</t>
  </si>
  <si>
    <t>BMW</t>
  </si>
  <si>
    <t>Grand Total</t>
  </si>
  <si>
    <t>Count of Model</t>
  </si>
  <si>
    <t>Average of Price(₹ Lakhs)</t>
  </si>
  <si>
    <t>Average of Engine_Power(BHP)</t>
  </si>
  <si>
    <t>Distinct Count of Make</t>
  </si>
  <si>
    <t>Average Price by Manufacturer</t>
  </si>
  <si>
    <t>Row Labels</t>
  </si>
  <si>
    <t>Manufacturer</t>
  </si>
  <si>
    <t>Average Price</t>
  </si>
  <si>
    <t>Average Engine Power</t>
  </si>
  <si>
    <t>Vertical line</t>
  </si>
  <si>
    <t>Y</t>
  </si>
  <si>
    <t>X</t>
  </si>
  <si>
    <t>Horizontal Line</t>
  </si>
  <si>
    <t>Vertical Line X</t>
  </si>
  <si>
    <t>Vertical Line Y</t>
  </si>
  <si>
    <t>Horizontal Line X</t>
  </si>
  <si>
    <t>Horizontal Line Y</t>
  </si>
  <si>
    <t>Count of Body_Type</t>
  </si>
  <si>
    <t>Percent Distribution by Performance Category</t>
  </si>
  <si>
    <t>Economy</t>
  </si>
  <si>
    <t>High Performance</t>
  </si>
  <si>
    <t>Powerful</t>
  </si>
  <si>
    <t>Sports Performance</t>
  </si>
  <si>
    <t>Super Performance</t>
  </si>
  <si>
    <t>Count of Performance Category</t>
  </si>
  <si>
    <t>Top 10 Most Powerful Cars</t>
  </si>
  <si>
    <t>Top 5 body type</t>
  </si>
  <si>
    <t>Price vs Engine Power</t>
  </si>
  <si>
    <t>Average of Seating_Capacity</t>
  </si>
  <si>
    <t>KPIs</t>
  </si>
  <si>
    <t>Max of Engine_Power(BHP)</t>
  </si>
  <si>
    <t>Max of Price(₹ Lakhs)</t>
  </si>
  <si>
    <t>Values</t>
  </si>
  <si>
    <t>Extreme Performance Car</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</si>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</sst>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
    <numFmt numFmtId="165" formatCode="0.0"/>
    <numFmt numFmtId="166" formatCode="&quot;₹&quot;\ 0.0,,&quot;M&quot;"/>
    <numFmt numFmtId="167" formatCode="&quot;₹&quot;\ 0&quot;M&quot;"/>
    <numFmt numFmtId="168" formatCode="&quot;₹&quot;\ 0.0,,&quot;L&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amily val="2"/>
    </font>
    <font>
      <sz val="11"/>
      <color theme="1"/>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7" tint="0.79998168889431442"/>
      </left>
      <right style="thin">
        <color theme="7" tint="0.79998168889431442"/>
      </right>
      <top style="thin">
        <color theme="7" tint="0.79998168889431442"/>
      </top>
      <bottom style="thin">
        <color theme="7" tint="0.79998168889431442"/>
      </bottom>
      <diagonal/>
    </border>
    <border>
      <left/>
      <right style="thin">
        <color theme="7" tint="0.79998168889431442"/>
      </right>
      <top style="thin">
        <color theme="7" tint="0.79998168889431442"/>
      </top>
      <bottom style="thin">
        <color theme="7" tint="0.79998168889431442"/>
      </bottom>
      <diagonal/>
    </border>
    <border>
      <left style="thin">
        <color theme="7" tint="0.79998168889431442"/>
      </left>
      <right/>
      <top style="thin">
        <color theme="7" tint="0.79998168889431442"/>
      </top>
      <bottom style="thin">
        <color theme="7" tint="0.79998168889431442"/>
      </bottom>
      <diagonal/>
    </border>
    <border>
      <left/>
      <right style="thin">
        <color theme="7" tint="0.79998168889431442"/>
      </right>
      <top/>
      <bottom style="thin">
        <color theme="7" tint="0.79998168889431442"/>
      </bottom>
      <diagonal/>
    </border>
    <border>
      <left style="thin">
        <color theme="7" tint="0.79998168889431442"/>
      </left>
      <right style="thin">
        <color theme="7" tint="0.79998168889431442"/>
      </right>
      <top/>
      <bottom style="thin">
        <color theme="7" tint="0.79998168889431442"/>
      </bottom>
      <diagonal/>
    </border>
    <border>
      <left style="thin">
        <color theme="7" tint="0.79998168889431442"/>
      </left>
      <right/>
      <top/>
      <bottom style="thin">
        <color theme="7" tint="0.79998168889431442"/>
      </bottom>
      <diagonal/>
    </border>
    <border>
      <left/>
      <right style="thin">
        <color theme="7" tint="0.79998168889431442"/>
      </right>
      <top style="thin">
        <color theme="7" tint="0.79998168889431442"/>
      </top>
      <bottom/>
      <diagonal/>
    </border>
    <border>
      <left style="thin">
        <color theme="7" tint="0.79998168889431442"/>
      </left>
      <right style="thin">
        <color theme="7" tint="0.79998168889431442"/>
      </right>
      <top style="thin">
        <color theme="7" tint="0.79998168889431442"/>
      </top>
      <bottom/>
      <diagonal/>
    </border>
    <border>
      <left style="thin">
        <color theme="7" tint="0.79998168889431442"/>
      </left>
      <right/>
      <top style="thin">
        <color theme="7" tint="0.7999816888943144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1" fontId="0" fillId="0" borderId="0" xfId="0" applyNumberFormat="1"/>
    <xf numFmtId="164" fontId="0" fillId="0" borderId="0" xfId="0" applyNumberFormat="1"/>
    <xf numFmtId="0" fontId="0" fillId="0" borderId="10" xfId="0" applyBorder="1"/>
    <xf numFmtId="164" fontId="0" fillId="0" borderId="10" xfId="0" applyNumberFormat="1" applyBorder="1"/>
    <xf numFmtId="0" fontId="0" fillId="0" borderId="11" xfId="0" applyBorder="1"/>
    <xf numFmtId="0" fontId="0" fillId="0" borderId="12" xfId="0" applyBorder="1"/>
    <xf numFmtId="0" fontId="0" fillId="0" borderId="16" xfId="0" applyBorder="1"/>
    <xf numFmtId="0" fontId="0" fillId="0" borderId="17" xfId="0" applyBorder="1"/>
    <xf numFmtId="164" fontId="0" fillId="0" borderId="17" xfId="0" applyNumberFormat="1" applyBorder="1"/>
    <xf numFmtId="0" fontId="0" fillId="0" borderId="18" xfId="0" applyBorder="1"/>
    <xf numFmtId="0" fontId="16" fillId="0" borderId="13" xfId="0" applyFont="1" applyBorder="1"/>
    <xf numFmtId="0" fontId="16" fillId="0" borderId="14" xfId="0" applyFont="1" applyBorder="1"/>
    <xf numFmtId="164" fontId="16" fillId="0" borderId="14" xfId="0" applyNumberFormat="1" applyFont="1" applyBorder="1"/>
    <xf numFmtId="1" fontId="16" fillId="0" borderId="14" xfId="0" applyNumberFormat="1" applyFont="1" applyBorder="1"/>
    <xf numFmtId="0" fontId="16" fillId="0" borderId="15" xfId="0" applyFont="1" applyBorder="1"/>
    <xf numFmtId="2" fontId="0" fillId="0" borderId="10" xfId="0" applyNumberFormat="1" applyBorder="1"/>
    <xf numFmtId="2" fontId="0" fillId="0" borderId="17" xfId="0" applyNumberFormat="1" applyBorder="1"/>
    <xf numFmtId="1" fontId="0" fillId="0" borderId="10" xfId="0" applyNumberFormat="1" applyBorder="1"/>
    <xf numFmtId="1" fontId="0" fillId="0" borderId="17" xfId="0" applyNumberFormat="1" applyBorder="1"/>
    <xf numFmtId="0" fontId="0" fillId="0" borderId="20" xfId="0" applyBorder="1"/>
    <xf numFmtId="0" fontId="0" fillId="0" borderId="21" xfId="0" applyBorder="1"/>
    <xf numFmtId="0" fontId="0" fillId="0" borderId="23" xfId="0" applyBorder="1"/>
    <xf numFmtId="0" fontId="0" fillId="0" borderId="25" xfId="0" applyBorder="1"/>
    <xf numFmtId="0" fontId="0" fillId="0" borderId="26" xfId="0" applyBorder="1"/>
    <xf numFmtId="0" fontId="0" fillId="0" borderId="22" xfId="0" applyBorder="1"/>
    <xf numFmtId="0" fontId="0" fillId="0" borderId="24" xfId="0" applyBorder="1"/>
    <xf numFmtId="0" fontId="0" fillId="0" borderId="0" xfId="0" pivotButton="1"/>
    <xf numFmtId="0" fontId="0" fillId="0" borderId="0" xfId="0" applyAlignment="1">
      <alignment horizontal="left"/>
    </xf>
    <xf numFmtId="167" fontId="0" fillId="0" borderId="0" xfId="0" applyNumberFormat="1"/>
    <xf numFmtId="0" fontId="19" fillId="0" borderId="0" xfId="0" applyFont="1"/>
    <xf numFmtId="0" fontId="0" fillId="0" borderId="22" xfId="0" applyBorder="1" applyAlignment="1">
      <alignment horizontal="left"/>
    </xf>
    <xf numFmtId="10" fontId="0" fillId="0" borderId="22" xfId="0" applyNumberFormat="1" applyBorder="1"/>
    <xf numFmtId="165" fontId="0" fillId="0" borderId="0" xfId="0" applyNumberFormat="1"/>
    <xf numFmtId="0" fontId="16" fillId="0" borderId="0" xfId="0" applyFont="1"/>
    <xf numFmtId="0" fontId="16" fillId="0" borderId="23" xfId="0" applyFont="1" applyBorder="1"/>
    <xf numFmtId="166" fontId="0" fillId="0" borderId="22" xfId="0" applyNumberFormat="1" applyBorder="1"/>
    <xf numFmtId="0" fontId="0" fillId="0" borderId="28" xfId="0" pivotButton="1" applyBorder="1"/>
    <xf numFmtId="0" fontId="0" fillId="0" borderId="19" xfId="0" applyBorder="1" applyAlignment="1">
      <alignment horizontal="left"/>
    </xf>
    <xf numFmtId="0" fontId="0" fillId="0" borderId="28" xfId="0" applyBorder="1" applyAlignment="1">
      <alignment horizontal="left"/>
    </xf>
    <xf numFmtId="0" fontId="0" fillId="0" borderId="28" xfId="0" applyBorder="1"/>
    <xf numFmtId="0" fontId="0" fillId="0" borderId="27" xfId="0" pivotButton="1" applyBorder="1"/>
    <xf numFmtId="0" fontId="0" fillId="0" borderId="29"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7" xfId="0" applyBorder="1" applyAlignment="1">
      <alignment horizontal="left"/>
    </xf>
    <xf numFmtId="0" fontId="0" fillId="0" borderId="19" xfId="0" pivotButton="1" applyBorder="1"/>
    <xf numFmtId="0" fontId="0" fillId="0" borderId="27" xfId="0" applyBorder="1"/>
    <xf numFmtId="0" fontId="0" fillId="0" borderId="19" xfId="0" applyBorder="1"/>
    <xf numFmtId="10" fontId="0" fillId="0" borderId="19" xfId="0" applyNumberFormat="1" applyBorder="1"/>
    <xf numFmtId="1" fontId="0" fillId="0" borderId="30" xfId="0" applyNumberFormat="1" applyBorder="1"/>
    <xf numFmtId="1" fontId="0" fillId="0" borderId="29" xfId="0" applyNumberFormat="1" applyBorder="1"/>
    <xf numFmtId="1" fontId="0" fillId="0" borderId="31" xfId="0" applyNumberFormat="1" applyBorder="1"/>
    <xf numFmtId="168" fontId="0" fillId="0" borderId="0" xfId="0" applyNumberFormat="1"/>
    <xf numFmtId="0" fontId="16" fillId="33" borderId="0" xfId="0" applyFont="1" applyFill="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0" fillId="0" borderId="0" xfId="0" applyNumberFormat="1"/>
    <xf numFmtId="0" fontId="0" fillId="0" borderId="19" xfId="0" applyNumberFormat="1" applyBorder="1"/>
    <xf numFmtId="0" fontId="0" fillId="0" borderId="22"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1">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bottom/>
      </border>
    </dxf>
    <dxf>
      <border>
        <right/>
        <bottom/>
      </border>
    </dxf>
    <dxf>
      <border>
        <right/>
        <bottom/>
      </border>
    </dxf>
    <dxf>
      <border>
        <right/>
        <bottom/>
      </border>
    </dxf>
    <dxf>
      <border>
        <right/>
        <bottom/>
      </border>
    </dxf>
    <dxf>
      <border>
        <right/>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bottom/>
      </border>
    </dxf>
    <dxf>
      <border>
        <right/>
        <bottom/>
      </border>
    </dxf>
    <dxf>
      <border>
        <right/>
        <bottom/>
      </border>
    </dxf>
    <dxf>
      <border>
        <right/>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8" formatCode="&quot;₹&quot;\ 0.0,,&quot;L&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bottom/>
      </border>
    </dxf>
    <dxf>
      <border>
        <right/>
        <bottom/>
      </border>
    </dxf>
    <dxf>
      <border>
        <right/>
        <bottom/>
      </border>
    </dxf>
    <dxf>
      <border>
        <right/>
        <bottom/>
      </border>
    </dxf>
    <dxf>
      <border>
        <right/>
        <bottom/>
      </border>
    </dxf>
    <dxf>
      <border>
        <right/>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bottom/>
      </border>
    </dxf>
    <dxf>
      <border>
        <right/>
        <bottom/>
      </border>
    </dxf>
    <dxf>
      <border>
        <right/>
        <bottom/>
      </border>
    </dxf>
    <dxf>
      <border>
        <right/>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8" formatCode="&quot;₹&quot;\ 0.0,,&quot;L&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bottom/>
      </border>
    </dxf>
    <dxf>
      <border>
        <right/>
        <bottom/>
      </border>
    </dxf>
    <dxf>
      <border>
        <right/>
        <bottom/>
      </border>
    </dxf>
    <dxf>
      <border>
        <right/>
        <bottom/>
      </border>
    </dxf>
    <dxf>
      <border>
        <right/>
        <bottom/>
      </border>
    </dxf>
    <dxf>
      <border>
        <right/>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bottom/>
      </border>
    </dxf>
    <dxf>
      <border>
        <right/>
        <bottom/>
      </border>
    </dxf>
    <dxf>
      <border>
        <right/>
        <bottom/>
      </border>
    </dxf>
    <dxf>
      <border>
        <right/>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right/>
        <top/>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8" formatCode="&quot;₹&quot;\ 0.0,,&quot;L&quot;"/>
    </dxf>
    <dxf>
      <numFmt numFmtId="168" formatCode="&quot;₹&quot;\ 0.0,,&quot;L&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bottom/>
      </border>
    </dxf>
    <dxf>
      <border>
        <right/>
        <bottom/>
      </border>
    </dxf>
    <dxf>
      <border>
        <right/>
        <bottom/>
      </border>
    </dxf>
    <dxf>
      <border>
        <right/>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right/>
        <top/>
        <bottom/>
      </border>
    </dxf>
    <dxf>
      <border>
        <right/>
        <bottom/>
      </border>
    </dxf>
    <dxf>
      <border>
        <right/>
        <bottom/>
      </border>
    </dxf>
    <dxf>
      <border>
        <right/>
        <bottom/>
      </border>
    </dxf>
    <dxf>
      <border>
        <right/>
        <bottom/>
      </border>
    </dxf>
    <dxf>
      <border>
        <right/>
        <bottom/>
      </border>
    </dxf>
    <dxf>
      <border>
        <right/>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 0.0,,&quot;L&quot;"/>
    </dxf>
    <dxf>
      <border diagonalUp="0" diagonalDown="0" outline="0">
        <left style="thin">
          <color theme="7" tint="0.79998168889431442"/>
        </left>
        <right/>
        <top style="thin">
          <color theme="7" tint="0.79998168889431442"/>
        </top>
        <bottom style="thin">
          <color theme="7" tint="0.79998168889431442"/>
        </bottom>
      </border>
    </dxf>
    <dxf>
      <numFmt numFmtId="2" formatCode="0.00"/>
      <border diagonalUp="0" diagonalDown="0" outline="0">
        <left style="thin">
          <color theme="7" tint="0.79998168889431442"/>
        </left>
        <right style="thin">
          <color theme="7" tint="0.79998168889431442"/>
        </right>
        <top style="thin">
          <color theme="7" tint="0.79998168889431442"/>
        </top>
        <bottom style="thin">
          <color theme="7" tint="0.79998168889431442"/>
        </bottom>
      </border>
    </dxf>
    <dxf>
      <numFmt numFmtId="1" formatCode="0"/>
      <border diagonalUp="0" diagonalDown="0" outline="0">
        <left style="thin">
          <color theme="7" tint="0.79998168889431442"/>
        </left>
        <right style="thin">
          <color theme="7" tint="0.79998168889431442"/>
        </right>
        <top style="thin">
          <color theme="7" tint="0.79998168889431442"/>
        </top>
        <bottom style="thin">
          <color theme="7" tint="0.79998168889431442"/>
        </bottom>
      </border>
    </dxf>
    <dxf>
      <border diagonalUp="0" diagonalDown="0" outline="0">
        <left style="thin">
          <color theme="7" tint="0.79998168889431442"/>
        </left>
        <right style="thin">
          <color theme="7" tint="0.79998168889431442"/>
        </right>
        <top style="thin">
          <color theme="7" tint="0.79998168889431442"/>
        </top>
        <bottom style="thin">
          <color theme="7" tint="0.79998168889431442"/>
        </bottom>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numFmt numFmtId="164" formatCode="&quot;₹&quot;\ #,##0"/>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right style="thin">
          <color theme="7" tint="0.79998168889431442"/>
        </right>
        <top style="thin">
          <color theme="7" tint="0.79998168889431442"/>
        </top>
        <bottom style="thin">
          <color theme="7" tint="0.79998168889431442"/>
        </bottom>
        <vertical/>
        <horizontal/>
      </border>
    </dxf>
    <dxf>
      <border outline="0">
        <top style="thin">
          <color rgb="FFCAEDFB"/>
        </top>
      </border>
    </dxf>
    <dxf>
      <border outline="0">
        <left style="thin">
          <color rgb="FFCAEDFB"/>
        </left>
        <right style="thin">
          <color rgb="FFCAEDFB"/>
        </right>
        <top style="thin">
          <color rgb="FFCAEDFB"/>
        </top>
        <bottom style="thin">
          <color rgb="FFCAEDFB"/>
        </bottom>
      </border>
    </dxf>
    <dxf>
      <border outline="0">
        <bottom style="thin">
          <color rgb="FFCAEDFB"/>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style="thin">
          <color theme="7" tint="0.79998168889431442"/>
        </left>
        <right style="thin">
          <color theme="7" tint="0.79998168889431442"/>
        </right>
        <top/>
        <bottom/>
      </border>
    </dxf>
    <dxf>
      <border diagonalUp="0" diagonalDown="0" outline="0">
        <left style="thin">
          <color theme="7" tint="0.79998168889431442"/>
        </left>
        <right/>
        <top style="thin">
          <color theme="7" tint="0.79998168889431442"/>
        </top>
        <bottom style="thin">
          <color theme="7" tint="0.79998168889431442"/>
        </bottom>
      </border>
    </dxf>
    <dxf>
      <numFmt numFmtId="2" formatCode="0.00"/>
      <border diagonalUp="0" diagonalDown="0" outline="0">
        <left style="thin">
          <color theme="7" tint="0.79998168889431442"/>
        </left>
        <right style="thin">
          <color theme="7" tint="0.79998168889431442"/>
        </right>
        <top style="thin">
          <color theme="7" tint="0.79998168889431442"/>
        </top>
        <bottom style="thin">
          <color theme="7" tint="0.79998168889431442"/>
        </bottom>
      </border>
    </dxf>
    <dxf>
      <numFmt numFmtId="1" formatCode="0"/>
      <border diagonalUp="0" diagonalDown="0" outline="0">
        <left style="thin">
          <color theme="7" tint="0.79998168889431442"/>
        </left>
        <right style="thin">
          <color theme="7" tint="0.79998168889431442"/>
        </right>
        <top style="thin">
          <color theme="7" tint="0.79998168889431442"/>
        </top>
        <bottom style="thin">
          <color theme="7" tint="0.79998168889431442"/>
        </bottom>
      </border>
    </dxf>
    <dxf>
      <border diagonalUp="0" diagonalDown="0" outline="0">
        <left style="thin">
          <color theme="7" tint="0.79998168889431442"/>
        </left>
        <right style="thin">
          <color theme="7" tint="0.79998168889431442"/>
        </right>
        <top style="thin">
          <color theme="7" tint="0.79998168889431442"/>
        </top>
        <bottom style="thin">
          <color theme="7" tint="0.79998168889431442"/>
        </bottom>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numFmt numFmtId="164" formatCode="&quot;₹&quot;\ #,##0"/>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style="thin">
          <color theme="7" tint="0.79998168889431442"/>
        </left>
        <right style="thin">
          <color theme="7" tint="0.79998168889431442"/>
        </right>
        <top style="thin">
          <color theme="7" tint="0.79998168889431442"/>
        </top>
        <bottom style="thin">
          <color theme="7" tint="0.79998168889431442"/>
        </bottom>
        <vertical/>
        <horizontal/>
      </border>
    </dxf>
    <dxf>
      <border diagonalUp="0" diagonalDown="0">
        <left/>
        <right style="thin">
          <color theme="7" tint="0.79998168889431442"/>
        </right>
        <top style="thin">
          <color theme="7" tint="0.79998168889431442"/>
        </top>
        <bottom style="thin">
          <color theme="7" tint="0.79998168889431442"/>
        </bottom>
        <vertical/>
        <horizontal/>
      </border>
    </dxf>
    <dxf>
      <border outline="0">
        <top style="thin">
          <color theme="7" tint="0.79998168889431442"/>
        </top>
      </border>
    </dxf>
    <dxf>
      <border outline="0">
        <left style="thin">
          <color theme="7" tint="0.79998168889431442"/>
        </left>
        <right style="thin">
          <color theme="7" tint="0.79998168889431442"/>
        </right>
        <top style="thin">
          <color theme="7" tint="0.79998168889431442"/>
        </top>
        <bottom style="thin">
          <color theme="7" tint="0.79998168889431442"/>
        </bottom>
      </border>
    </dxf>
    <dxf>
      <border outline="0">
        <bottom style="thin">
          <color theme="7" tint="0.79998168889431442"/>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style="thin">
          <color theme="7" tint="0.79998168889431442"/>
        </left>
        <right style="thin">
          <color theme="7" tint="0.79998168889431442"/>
        </right>
        <top/>
        <bottom/>
      </border>
    </dxf>
    <dxf>
      <font>
        <b val="0"/>
        <i val="0"/>
        <strike val="0"/>
        <sz val="11"/>
        <color theme="0"/>
        <name val="Abadi"/>
        <family val="2"/>
        <scheme val="none"/>
      </font>
      <fill>
        <patternFill>
          <bgColor rgb="FF2E3440"/>
        </patternFill>
      </fill>
    </dxf>
    <dxf>
      <border>
        <left style="thin">
          <color rgb="FFE5E7EB"/>
        </left>
        <right style="thin">
          <color rgb="FFE5E7EB"/>
        </right>
        <top style="thin">
          <color rgb="FFE5E7EB"/>
        </top>
        <bottom style="thin">
          <color rgb="FFE5E7EB"/>
        </bottom>
      </border>
    </dxf>
  </dxfs>
  <tableStyles count="1" defaultTableStyle="TableStyleMedium2" defaultPivotStyle="PivotStyleLight16">
    <tableStyle name="Slicer Style 1" pivot="0" table="0" count="5" xr9:uid="{D15532F8-24FD-4682-A469-B4899FB0F881}">
      <tableStyleElement type="wholeTable" dxfId="220"/>
      <tableStyleElement type="headerRow" dxfId="219"/>
    </tableStyle>
  </tableStyles>
  <colors>
    <mruColors>
      <color rgb="FFF7F8FA"/>
      <color rgb="FFE5E7EB"/>
      <color rgb="FF2E3440"/>
      <color rgb="FFB7DCC8"/>
      <color rgb="FF7EBE97"/>
      <color rgb="FF2E8B57"/>
      <color rgb="FFE6F4EC"/>
      <color rgb="FFB0B8C5"/>
      <color rgb="FF1F6E45"/>
      <color rgb="FFDCEFE5"/>
    </mruColors>
  </colors>
  <extLst>
    <ext xmlns:x14="http://schemas.microsoft.com/office/spreadsheetml/2009/9/main" uri="{46F421CA-312F-682f-3DD2-61675219B42D}">
      <x14:dxfs count="3">
        <dxf>
          <fill>
            <patternFill>
              <bgColor rgb="FFE6F4EC"/>
            </patternFill>
          </fill>
        </dxf>
        <dxf>
          <fill>
            <patternFill patternType="none">
              <bgColor auto="1"/>
            </patternFill>
          </fill>
        </dxf>
        <dxf>
          <font>
            <b val="0"/>
            <i val="0"/>
            <sz val="11"/>
            <color theme="0"/>
            <name val="Aptos SemiBold"/>
            <family val="2"/>
            <scheme val="none"/>
          </font>
          <fill>
            <patternFill>
              <bgColor rgb="FF2E8B57"/>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43196713086922"/>
          <c:y val="2.3340011492646258E-2"/>
          <c:w val="0.80585656039882758"/>
          <c:h val="0.85419538804609596"/>
        </c:manualLayout>
      </c:layout>
      <c:scatterChart>
        <c:scatterStyle val="lineMarker"/>
        <c:varyColors val="0"/>
        <c:ser>
          <c:idx val="0"/>
          <c:order val="0"/>
          <c:spPr>
            <a:ln w="38100" cap="rnd">
              <a:noFill/>
              <a:round/>
            </a:ln>
            <a:effectLst/>
          </c:spPr>
          <c:marker>
            <c:symbol val="circle"/>
            <c:size val="5"/>
            <c:spPr>
              <a:solidFill>
                <a:schemeClr val="tx1"/>
              </a:solidFill>
              <a:ln w="9525">
                <a:noFill/>
              </a:ln>
              <a:effectLst/>
            </c:spPr>
          </c:marker>
          <c:dLbls>
            <c:dLbl>
              <c:idx val="0"/>
              <c:tx>
                <c:rich>
                  <a:bodyPr/>
                  <a:lstStyle/>
                  <a:p>
                    <a:fld id="{E325D88C-84EB-496B-BE85-82FA2FC595BB}"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A12-418E-920E-E19D2E58DD95}"/>
                </c:ext>
              </c:extLst>
            </c:dLbl>
            <c:dLbl>
              <c:idx val="1"/>
              <c:tx>
                <c:rich>
                  <a:bodyPr/>
                  <a:lstStyle/>
                  <a:p>
                    <a:fld id="{15DB588E-F78D-46FF-BB8E-E59BCC4C1866}"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A12-418E-920E-E19D2E58DD95}"/>
                </c:ext>
              </c:extLst>
            </c:dLbl>
            <c:dLbl>
              <c:idx val="2"/>
              <c:tx>
                <c:rich>
                  <a:bodyPr/>
                  <a:lstStyle/>
                  <a:p>
                    <a:fld id="{AEC5B1D3-4098-49AA-B7F6-0091B6500AD2}"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A12-418E-920E-E19D2E58DD95}"/>
                </c:ext>
              </c:extLst>
            </c:dLbl>
            <c:dLbl>
              <c:idx val="3"/>
              <c:tx>
                <c:rich>
                  <a:bodyPr/>
                  <a:lstStyle/>
                  <a:p>
                    <a:fld id="{619AAB73-0CCE-4689-8129-58B22CC38C96}"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A12-418E-920E-E19D2E58DD95}"/>
                </c:ext>
              </c:extLst>
            </c:dLbl>
            <c:dLbl>
              <c:idx val="4"/>
              <c:tx>
                <c:rich>
                  <a:bodyPr/>
                  <a:lstStyle/>
                  <a:p>
                    <a:fld id="{5D7B4CC8-9309-4342-9C81-15C7CFA8260C}"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A12-418E-920E-E19D2E58DD95}"/>
                </c:ext>
              </c:extLst>
            </c:dLbl>
            <c:dLbl>
              <c:idx val="5"/>
              <c:tx>
                <c:rich>
                  <a:bodyPr/>
                  <a:lstStyle/>
                  <a:p>
                    <a:fld id="{40A47243-BF65-4B0B-8006-0873CD3284D6}"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A12-418E-920E-E19D2E58DD95}"/>
                </c:ext>
              </c:extLst>
            </c:dLbl>
            <c:dLbl>
              <c:idx val="6"/>
              <c:tx>
                <c:rich>
                  <a:bodyPr/>
                  <a:lstStyle/>
                  <a:p>
                    <a:fld id="{C3B06CA6-B911-4702-8372-5F8AB4535038}"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A12-418E-920E-E19D2E58DD95}"/>
                </c:ext>
              </c:extLst>
            </c:dLbl>
            <c:dLbl>
              <c:idx val="7"/>
              <c:tx>
                <c:rich>
                  <a:bodyPr/>
                  <a:lstStyle/>
                  <a:p>
                    <a:fld id="{A7FEA15F-494E-43B0-A9C8-BE86FF5CC6D9}"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A12-418E-920E-E19D2E58DD95}"/>
                </c:ext>
              </c:extLst>
            </c:dLbl>
            <c:dLbl>
              <c:idx val="8"/>
              <c:tx>
                <c:rich>
                  <a:bodyPr/>
                  <a:lstStyle/>
                  <a:p>
                    <a:fld id="{63578D6F-03C7-4C07-9404-0496C220BBFA}"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A12-418E-920E-E19D2E58DD95}"/>
                </c:ext>
              </c:extLst>
            </c:dLbl>
            <c:dLbl>
              <c:idx val="9"/>
              <c:tx>
                <c:rich>
                  <a:bodyPr/>
                  <a:lstStyle/>
                  <a:p>
                    <a:fld id="{F35E1E03-BC08-4170-AF21-F1D7FC87BFC7}"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A12-418E-920E-E19D2E58DD95}"/>
                </c:ext>
              </c:extLst>
            </c:dLbl>
            <c:dLbl>
              <c:idx val="10"/>
              <c:tx>
                <c:rich>
                  <a:bodyPr/>
                  <a:lstStyle/>
                  <a:p>
                    <a:fld id="{9E597F04-1EEA-4726-8DE3-02F7A40CB301}"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A12-418E-920E-E19D2E58DD95}"/>
                </c:ext>
              </c:extLst>
            </c:dLbl>
            <c:dLbl>
              <c:idx val="11"/>
              <c:tx>
                <c:rich>
                  <a:bodyPr/>
                  <a:lstStyle/>
                  <a:p>
                    <a:fld id="{6A40E9FB-0D26-4CDE-A3DE-4DC3F5A306D5}"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A12-418E-920E-E19D2E58DD95}"/>
                </c:ext>
              </c:extLst>
            </c:dLbl>
            <c:dLbl>
              <c:idx val="12"/>
              <c:tx>
                <c:rich>
                  <a:bodyPr/>
                  <a:lstStyle/>
                  <a:p>
                    <a:fld id="{212080F6-C30F-41C5-8AFD-67028E9EAFB4}"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A12-418E-920E-E19D2E58DD95}"/>
                </c:ext>
              </c:extLst>
            </c:dLbl>
            <c:dLbl>
              <c:idx val="13"/>
              <c:tx>
                <c:rich>
                  <a:bodyPr/>
                  <a:lstStyle/>
                  <a:p>
                    <a:fld id="{44AC83FD-90BB-47BD-9025-98F323546C5E}"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A12-418E-920E-E19D2E58DD95}"/>
                </c:ext>
              </c:extLst>
            </c:dLbl>
            <c:dLbl>
              <c:idx val="14"/>
              <c:tx>
                <c:rich>
                  <a:bodyPr/>
                  <a:lstStyle/>
                  <a:p>
                    <a:fld id="{5945EDF9-FFF3-48C5-B5FF-D50B5378B6AA}"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A12-418E-920E-E19D2E58DD95}"/>
                </c:ext>
              </c:extLst>
            </c:dLbl>
            <c:dLbl>
              <c:idx val="15"/>
              <c:tx>
                <c:rich>
                  <a:bodyPr/>
                  <a:lstStyle/>
                  <a:p>
                    <a:fld id="{DED9769B-378E-4E08-8A5D-A0A2C6CD0B15}"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A12-418E-920E-E19D2E58DD95}"/>
                </c:ext>
              </c:extLst>
            </c:dLbl>
            <c:dLbl>
              <c:idx val="16"/>
              <c:tx>
                <c:rich>
                  <a:bodyPr/>
                  <a:lstStyle/>
                  <a:p>
                    <a:fld id="{4F466E7C-6A8B-41FF-89A7-44BAA417A30E}"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A12-418E-920E-E19D2E58DD95}"/>
                </c:ext>
              </c:extLst>
            </c:dLbl>
            <c:dLbl>
              <c:idx val="17"/>
              <c:tx>
                <c:rich>
                  <a:bodyPr/>
                  <a:lstStyle/>
                  <a:p>
                    <a:fld id="{622972BD-9688-4E39-B84E-FCDA8CDE8EC7}"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A12-418E-920E-E19D2E58DD95}"/>
                </c:ext>
              </c:extLst>
            </c:dLbl>
            <c:dLbl>
              <c:idx val="18"/>
              <c:tx>
                <c:rich>
                  <a:bodyPr/>
                  <a:lstStyle/>
                  <a:p>
                    <a:fld id="{3FFA1ACA-4768-4E47-99D0-246466798799}"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A12-418E-920E-E19D2E58DD95}"/>
                </c:ext>
              </c:extLst>
            </c:dLbl>
            <c:dLbl>
              <c:idx val="19"/>
              <c:tx>
                <c:rich>
                  <a:bodyPr/>
                  <a:lstStyle/>
                  <a:p>
                    <a:fld id="{AE513D2D-4C10-4982-BBB5-83EDD6CD4B72}"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A12-418E-920E-E19D2E58DD95}"/>
                </c:ext>
              </c:extLst>
            </c:dLbl>
            <c:dLbl>
              <c:idx val="20"/>
              <c:tx>
                <c:rich>
                  <a:bodyPr/>
                  <a:lstStyle/>
                  <a:p>
                    <a:fld id="{BACDD78A-1CAB-4839-8F8E-938394491253}"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A12-418E-920E-E19D2E58DD95}"/>
                </c:ext>
              </c:extLst>
            </c:dLbl>
            <c:dLbl>
              <c:idx val="21"/>
              <c:tx>
                <c:rich>
                  <a:bodyPr/>
                  <a:lstStyle/>
                  <a:p>
                    <a:fld id="{3F640AAC-C3C7-471A-85DF-73BF0E263D1D}"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A12-418E-920E-E19D2E58DD95}"/>
                </c:ext>
              </c:extLst>
            </c:dLbl>
            <c:dLbl>
              <c:idx val="22"/>
              <c:tx>
                <c:rich>
                  <a:bodyPr/>
                  <a:lstStyle/>
                  <a:p>
                    <a:fld id="{9151FBBB-6435-47F1-9762-9C40E2490022}"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A12-418E-920E-E19D2E58DD95}"/>
                </c:ext>
              </c:extLst>
            </c:dLbl>
            <c:dLbl>
              <c:idx val="23"/>
              <c:tx>
                <c:rich>
                  <a:bodyPr/>
                  <a:lstStyle/>
                  <a:p>
                    <a:fld id="{C7B6CC87-A2C3-46F5-815A-9920EA16AEA7}"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A12-418E-920E-E19D2E58DD95}"/>
                </c:ext>
              </c:extLst>
            </c:dLbl>
            <c:dLbl>
              <c:idx val="24"/>
              <c:tx>
                <c:rich>
                  <a:bodyPr/>
                  <a:lstStyle/>
                  <a:p>
                    <a:fld id="{3F7F97C8-EC7D-41CC-BE2B-7E695A70E353}"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A12-418E-920E-E19D2E58DD95}"/>
                </c:ext>
              </c:extLst>
            </c:dLbl>
            <c:dLbl>
              <c:idx val="25"/>
              <c:tx>
                <c:rich>
                  <a:bodyPr/>
                  <a:lstStyle/>
                  <a:p>
                    <a:fld id="{215A5FEE-F45C-4280-BA18-B78ED5982A8A}"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A12-418E-920E-E19D2E58DD95}"/>
                </c:ext>
              </c:extLst>
            </c:dLbl>
            <c:dLbl>
              <c:idx val="26"/>
              <c:tx>
                <c:rich>
                  <a:bodyPr/>
                  <a:lstStyle/>
                  <a:p>
                    <a:fld id="{7D7BFCFE-13F7-4E90-BB37-0627C4D5AE47}"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A12-418E-920E-E19D2E58DD95}"/>
                </c:ext>
              </c:extLst>
            </c:dLbl>
            <c:dLbl>
              <c:idx val="27"/>
              <c:tx>
                <c:rich>
                  <a:bodyPr/>
                  <a:lstStyle/>
                  <a:p>
                    <a:fld id="{7B7A08B1-3BFF-4B42-A7EF-60199AD8D860}"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A12-418E-920E-E19D2E58DD95}"/>
                </c:ext>
              </c:extLst>
            </c:dLbl>
            <c:dLbl>
              <c:idx val="28"/>
              <c:tx>
                <c:rich>
                  <a:bodyPr/>
                  <a:lstStyle/>
                  <a:p>
                    <a:fld id="{19A92C39-1631-40E4-A2C1-B110FADAC248}"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A12-418E-920E-E19D2E58DD95}"/>
                </c:ext>
              </c:extLst>
            </c:dLbl>
            <c:dLbl>
              <c:idx val="29"/>
              <c:tx>
                <c:rich>
                  <a:bodyPr/>
                  <a:lstStyle/>
                  <a:p>
                    <a:fld id="{22304BED-66C9-4F79-AE40-F1C12A7E104D}"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EA12-418E-920E-E19D2E58DD95}"/>
                </c:ext>
              </c:extLst>
            </c:dLbl>
            <c:dLbl>
              <c:idx val="30"/>
              <c:tx>
                <c:rich>
                  <a:bodyPr/>
                  <a:lstStyle/>
                  <a:p>
                    <a:fld id="{9C060AD6-3E51-491F-896C-372D1F1CD9A2}"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A12-418E-920E-E19D2E58DD95}"/>
                </c:ext>
              </c:extLst>
            </c:dLbl>
            <c:dLbl>
              <c:idx val="31"/>
              <c:tx>
                <c:rich>
                  <a:bodyPr/>
                  <a:lstStyle/>
                  <a:p>
                    <a:fld id="{61FDD9B2-3EA1-4ECE-89F3-CE72893D1966}"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A12-418E-920E-E19D2E58DD95}"/>
                </c:ext>
              </c:extLst>
            </c:dLbl>
            <c:dLbl>
              <c:idx val="32"/>
              <c:tx>
                <c:rich>
                  <a:bodyPr/>
                  <a:lstStyle/>
                  <a:p>
                    <a:fld id="{99618AE1-5809-4AD5-B3BF-BCC250F7CEA5}"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EA12-418E-920E-E19D2E58DD95}"/>
                </c:ext>
              </c:extLst>
            </c:dLbl>
            <c:dLbl>
              <c:idx val="33"/>
              <c:tx>
                <c:rich>
                  <a:bodyPr/>
                  <a:lstStyle/>
                  <a:p>
                    <a:fld id="{86D9CB8E-2D38-43F2-A2FD-27751E6C20A8}"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EA12-418E-920E-E19D2E58DD95}"/>
                </c:ext>
              </c:extLst>
            </c:dLbl>
            <c:dLbl>
              <c:idx val="34"/>
              <c:tx>
                <c:rich>
                  <a:bodyPr/>
                  <a:lstStyle/>
                  <a:p>
                    <a:fld id="{30A1017A-1797-46CF-B3F5-0AAD64F0E169}"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EA12-418E-920E-E19D2E58DD95}"/>
                </c:ext>
              </c:extLst>
            </c:dLbl>
            <c:dLbl>
              <c:idx val="35"/>
              <c:tx>
                <c:rich>
                  <a:bodyPr/>
                  <a:lstStyle/>
                  <a:p>
                    <a:fld id="{C931BAEC-7C3F-4562-B353-691B7EFCE9F1}"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EA12-418E-920E-E19D2E58DD95}"/>
                </c:ext>
              </c:extLst>
            </c:dLbl>
            <c:dLbl>
              <c:idx val="36"/>
              <c:tx>
                <c:rich>
                  <a:bodyPr/>
                  <a:lstStyle/>
                  <a:p>
                    <a:fld id="{F1AC9833-F161-4196-9298-33B0B7D9D55F}"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EA12-418E-920E-E19D2E58DD95}"/>
                </c:ext>
              </c:extLst>
            </c:dLbl>
            <c:dLbl>
              <c:idx val="37"/>
              <c:tx>
                <c:rich>
                  <a:bodyPr/>
                  <a:lstStyle/>
                  <a:p>
                    <a:fld id="{23958865-0EF8-4930-9322-F333A5316DDE}"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EA12-418E-920E-E19D2E58DD95}"/>
                </c:ext>
              </c:extLst>
            </c:dLbl>
            <c:dLbl>
              <c:idx val="38"/>
              <c:tx>
                <c:rich>
                  <a:bodyPr/>
                  <a:lstStyle/>
                  <a:p>
                    <a:fld id="{9F91D852-0633-4E17-8AB2-C82737C1D7E5}" type="CELLRANGE">
                      <a:rPr lang="en-US"/>
                      <a:pPr/>
                      <a:t>[CELLRANGE]</a:t>
                    </a:fld>
                    <a:endParaRPr lang="en-US"/>
                  </a:p>
                </c:rich>
              </c:tx>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EA12-418E-920E-E19D2E58DD95}"/>
                </c:ext>
              </c:extLst>
            </c:dLbl>
            <c:dLbl>
              <c:idx val="39"/>
              <c:tx>
                <c:rich>
                  <a:bodyPr/>
                  <a:lstStyle/>
                  <a:p>
                    <a:endParaRPr lang="en-US"/>
                  </a:p>
                </c:rich>
              </c:tx>
              <c:showLegendKey val="0"/>
              <c:showVal val="0"/>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28-EA12-418E-920E-E19D2E58DD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xVal>
            <c:numRef>
              <c:f>Analysis!$F$101:$F$140</c:f>
              <c:numCache>
                <c:formatCode>"₹"\ 0.0,,"L"</c:formatCode>
                <c:ptCount val="40"/>
                <c:pt idx="0">
                  <c:v>36267442</c:v>
                </c:pt>
                <c:pt idx="1">
                  <c:v>7240430.6451612907</c:v>
                </c:pt>
                <c:pt idx="2">
                  <c:v>273000</c:v>
                </c:pt>
                <c:pt idx="3">
                  <c:v>40565854.333333336</c:v>
                </c:pt>
                <c:pt idx="4">
                  <c:v>8256216.2162162159</c:v>
                </c:pt>
                <c:pt idx="5">
                  <c:v>450907.66666666669</c:v>
                </c:pt>
                <c:pt idx="6">
                  <c:v>3407407</c:v>
                </c:pt>
                <c:pt idx="7">
                  <c:v>42872495.625</c:v>
                </c:pt>
                <c:pt idx="8">
                  <c:v>779556.34782608692</c:v>
                </c:pt>
                <c:pt idx="9">
                  <c:v>1150500</c:v>
                </c:pt>
                <c:pt idx="10">
                  <c:v>1123853.8139534884</c:v>
                </c:pt>
                <c:pt idx="11">
                  <c:v>1206136.5625</c:v>
                </c:pt>
                <c:pt idx="12">
                  <c:v>987476.5461538462</c:v>
                </c:pt>
                <c:pt idx="13">
                  <c:v>970082.90909090906</c:v>
                </c:pt>
                <c:pt idx="14">
                  <c:v>2225392.7999999998</c:v>
                </c:pt>
                <c:pt idx="15">
                  <c:v>10464503.045454545</c:v>
                </c:pt>
                <c:pt idx="16">
                  <c:v>3203428.0714285714</c:v>
                </c:pt>
                <c:pt idx="17">
                  <c:v>1701142.857142857</c:v>
                </c:pt>
                <c:pt idx="18">
                  <c:v>39053919.230769232</c:v>
                </c:pt>
                <c:pt idx="19">
                  <c:v>8457079.8000000007</c:v>
                </c:pt>
                <c:pt idx="20">
                  <c:v>16456465.740740741</c:v>
                </c:pt>
                <c:pt idx="21">
                  <c:v>15015300</c:v>
                </c:pt>
                <c:pt idx="22">
                  <c:v>1059604.3</c:v>
                </c:pt>
                <c:pt idx="23">
                  <c:v>688808.36241610744</c:v>
                </c:pt>
                <c:pt idx="24">
                  <c:v>515128.71428571426</c:v>
                </c:pt>
                <c:pt idx="25">
                  <c:v>15696889.888888888</c:v>
                </c:pt>
                <c:pt idx="26">
                  <c:v>15408224.720000001</c:v>
                </c:pt>
                <c:pt idx="27">
                  <c:v>1610307.6923076923</c:v>
                </c:pt>
                <c:pt idx="28">
                  <c:v>3792000</c:v>
                </c:pt>
                <c:pt idx="29">
                  <c:v>3456192.8571428573</c:v>
                </c:pt>
                <c:pt idx="30">
                  <c:v>1695369.1724137932</c:v>
                </c:pt>
                <c:pt idx="31">
                  <c:v>15346000</c:v>
                </c:pt>
                <c:pt idx="32">
                  <c:v>637603.83333333337</c:v>
                </c:pt>
                <c:pt idx="33">
                  <c:v>801107.75</c:v>
                </c:pt>
                <c:pt idx="34">
                  <c:v>1973879.465116279</c:v>
                </c:pt>
                <c:pt idx="35">
                  <c:v>937114.57</c:v>
                </c:pt>
                <c:pt idx="36">
                  <c:v>1653056.0975609757</c:v>
                </c:pt>
                <c:pt idx="37">
                  <c:v>1321923.5294117648</c:v>
                </c:pt>
                <c:pt idx="38">
                  <c:v>5834750</c:v>
                </c:pt>
              </c:numCache>
            </c:numRef>
          </c:xVal>
          <c:yVal>
            <c:numRef>
              <c:f>Analysis!$G$101:$G$140</c:f>
              <c:numCache>
                <c:formatCode>0.0</c:formatCode>
                <c:ptCount val="40"/>
                <c:pt idx="0">
                  <c:v>557.66666666666663</c:v>
                </c:pt>
                <c:pt idx="1">
                  <c:v>244.12903225806451</c:v>
                </c:pt>
                <c:pt idx="2">
                  <c:v>12.5</c:v>
                </c:pt>
                <c:pt idx="3">
                  <c:v>563.83333333333337</c:v>
                </c:pt>
                <c:pt idx="4">
                  <c:v>277.94594594594594</c:v>
                </c:pt>
                <c:pt idx="5">
                  <c:v>65.599999999999994</c:v>
                </c:pt>
                <c:pt idx="6">
                  <c:v>250</c:v>
                </c:pt>
                <c:pt idx="7">
                  <c:v>656.75</c:v>
                </c:pt>
                <c:pt idx="8">
                  <c:v>94.521739130434781</c:v>
                </c:pt>
                <c:pt idx="9">
                  <c:v>103.33333333333333</c:v>
                </c:pt>
                <c:pt idx="10">
                  <c:v>114.02325581395348</c:v>
                </c:pt>
                <c:pt idx="11">
                  <c:v>104.375</c:v>
                </c:pt>
                <c:pt idx="12">
                  <c:v>99.390769230769223</c:v>
                </c:pt>
                <c:pt idx="13">
                  <c:v>116.38181818181816</c:v>
                </c:pt>
                <c:pt idx="14">
                  <c:v>154.4</c:v>
                </c:pt>
                <c:pt idx="15">
                  <c:v>297.18181818181819</c:v>
                </c:pt>
                <c:pt idx="16">
                  <c:v>193.03571428571428</c:v>
                </c:pt>
                <c:pt idx="17">
                  <c:v>139.95238095238096</c:v>
                </c:pt>
                <c:pt idx="18">
                  <c:v>636.46153846153845</c:v>
                </c:pt>
                <c:pt idx="19">
                  <c:v>296.60000000000002</c:v>
                </c:pt>
                <c:pt idx="20">
                  <c:v>326.66666666666669</c:v>
                </c:pt>
                <c:pt idx="21">
                  <c:v>266.3</c:v>
                </c:pt>
                <c:pt idx="22">
                  <c:v>100.86818181818182</c:v>
                </c:pt>
                <c:pt idx="23">
                  <c:v>78.265100671140971</c:v>
                </c:pt>
                <c:pt idx="24">
                  <c:v>74.428571428571431</c:v>
                </c:pt>
                <c:pt idx="25">
                  <c:v>340.55555555555554</c:v>
                </c:pt>
                <c:pt idx="26">
                  <c:v>286.66399999999999</c:v>
                </c:pt>
                <c:pt idx="27">
                  <c:v>149.57846153846154</c:v>
                </c:pt>
                <c:pt idx="28">
                  <c:v>180.5</c:v>
                </c:pt>
                <c:pt idx="29">
                  <c:v>179.85714285714286</c:v>
                </c:pt>
                <c:pt idx="30">
                  <c:v>108.62068965517241</c:v>
                </c:pt>
                <c:pt idx="31">
                  <c:v>418.71428571428572</c:v>
                </c:pt>
                <c:pt idx="32">
                  <c:v>69.533333333333346</c:v>
                </c:pt>
                <c:pt idx="33">
                  <c:v>84.805555555555557</c:v>
                </c:pt>
                <c:pt idx="34">
                  <c:v>139.74418604651163</c:v>
                </c:pt>
                <c:pt idx="35">
                  <c:v>99.156565656565661</c:v>
                </c:pt>
                <c:pt idx="36">
                  <c:v>114.49756097560974</c:v>
                </c:pt>
                <c:pt idx="37">
                  <c:v>110.52941176470588</c:v>
                </c:pt>
                <c:pt idx="38">
                  <c:v>222.94444444444446</c:v>
                </c:pt>
              </c:numCache>
            </c:numRef>
          </c:yVal>
          <c:smooth val="0"/>
          <c:extLst>
            <c:ext xmlns:c15="http://schemas.microsoft.com/office/drawing/2012/chart" uri="{02D57815-91ED-43cb-92C2-25804820EDAC}">
              <c15:datalabelsRange>
                <c15:f>Analysis!$E$101:$E$140</c15:f>
                <c15:dlblRangeCache>
                  <c:ptCount val="40"/>
                  <c:pt idx="0">
                    <c:v>Aston Martin</c:v>
                  </c:pt>
                  <c:pt idx="1">
                    <c:v>Audi</c:v>
                  </c:pt>
                  <c:pt idx="2">
                    <c:v>Bajaj</c:v>
                  </c:pt>
                  <c:pt idx="3">
                    <c:v>Bentley</c:v>
                  </c:pt>
                  <c:pt idx="4">
                    <c:v>BMW</c:v>
                  </c:pt>
                  <c:pt idx="5">
                    <c:v>Datsun</c:v>
                  </c:pt>
                  <c:pt idx="6">
                    <c:v>Dc</c:v>
                  </c:pt>
                  <c:pt idx="7">
                    <c:v>Ferrari</c:v>
                  </c:pt>
                  <c:pt idx="8">
                    <c:v>Fiat</c:v>
                  </c:pt>
                  <c:pt idx="9">
                    <c:v>Force</c:v>
                  </c:pt>
                  <c:pt idx="10">
                    <c:v>Ford</c:v>
                  </c:pt>
                  <c:pt idx="11">
                    <c:v>Honda</c:v>
                  </c:pt>
                  <c:pt idx="12">
                    <c:v>Hyundai</c:v>
                  </c:pt>
                  <c:pt idx="13">
                    <c:v>Icml</c:v>
                  </c:pt>
                  <c:pt idx="14">
                    <c:v>Isuzu</c:v>
                  </c:pt>
                  <c:pt idx="15">
                    <c:v>Jaguar</c:v>
                  </c:pt>
                  <c:pt idx="16">
                    <c:v>Jeep</c:v>
                  </c:pt>
                  <c:pt idx="17">
                    <c:v>Kia</c:v>
                  </c:pt>
                  <c:pt idx="18">
                    <c:v>Lamborghini</c:v>
                  </c:pt>
                  <c:pt idx="19">
                    <c:v>Land Rover</c:v>
                  </c:pt>
                  <c:pt idx="20">
                    <c:v>Land Rover Rover</c:v>
                  </c:pt>
                  <c:pt idx="21">
                    <c:v>Lexus</c:v>
                  </c:pt>
                  <c:pt idx="22">
                    <c:v>Mahindra</c:v>
                  </c:pt>
                  <c:pt idx="23">
                    <c:v>Maruti Suzuki</c:v>
                  </c:pt>
                  <c:pt idx="24">
                    <c:v>Maruti Suzuki R</c:v>
                  </c:pt>
                  <c:pt idx="25">
                    <c:v>Maserati</c:v>
                  </c:pt>
                  <c:pt idx="26">
                    <c:v>Mercedes-Benz</c:v>
                  </c:pt>
                  <c:pt idx="27">
                    <c:v>Mg</c:v>
                  </c:pt>
                  <c:pt idx="28">
                    <c:v>Mini</c:v>
                  </c:pt>
                  <c:pt idx="29">
                    <c:v>Mitsubishi</c:v>
                  </c:pt>
                  <c:pt idx="30">
                    <c:v>Nissan</c:v>
                  </c:pt>
                  <c:pt idx="31">
                    <c:v>Porsche</c:v>
                  </c:pt>
                  <c:pt idx="32">
                    <c:v>Premier</c:v>
                  </c:pt>
                  <c:pt idx="33">
                    <c:v>Renault</c:v>
                  </c:pt>
                  <c:pt idx="34">
                    <c:v>Skoda</c:v>
                  </c:pt>
                  <c:pt idx="35">
                    <c:v>Tata</c:v>
                  </c:pt>
                  <c:pt idx="36">
                    <c:v>Toyota</c:v>
                  </c:pt>
                  <c:pt idx="37">
                    <c:v>Volkswagen</c:v>
                  </c:pt>
                  <c:pt idx="38">
                    <c:v>Volvo</c:v>
                  </c:pt>
                </c15:dlblRangeCache>
              </c15:datalabelsRange>
            </c:ext>
            <c:ext xmlns:c16="http://schemas.microsoft.com/office/drawing/2014/chart" uri="{C3380CC4-5D6E-409C-BE32-E72D297353CC}">
              <c16:uniqueId val="{00000000-EA12-418E-920E-E19D2E58DD95}"/>
            </c:ext>
          </c:extLst>
        </c:ser>
        <c:dLbls>
          <c:showLegendKey val="0"/>
          <c:showVal val="0"/>
          <c:showCatName val="0"/>
          <c:showSerName val="0"/>
          <c:showPercent val="0"/>
          <c:showBubbleSize val="0"/>
        </c:dLbls>
        <c:axId val="538536048"/>
        <c:axId val="538539920"/>
      </c:scatterChart>
      <c:valAx>
        <c:axId val="538536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quot;L&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39920"/>
        <c:crosses val="autoZero"/>
        <c:crossBetween val="midCat"/>
      </c:valAx>
      <c:valAx>
        <c:axId val="538539920"/>
        <c:scaling>
          <c:orientation val="minMax"/>
          <c:max val="800"/>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36048"/>
        <c:crosses val="autoZero"/>
        <c:crossBetween val="midCat"/>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Copy.xlsx]Analysis!Performance Category</c:name>
    <c:fmtId val="0"/>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5.6918959204173551E-2"/>
              <c:y val="2.9607754437255797E-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layout>
            <c:manualLayout>
              <c:x val="4.0160642570281027E-2"/>
              <c:y val="1.32013201320132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2.1419009370816502E-2"/>
              <c:y val="8.800880088008800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1.606425702811244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Analysis!$B$65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F87-4FEB-89CF-214286214A7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BF87-4FEB-89CF-214286214A7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F87-4FEB-89CF-214286214A7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BF87-4FEB-89CF-214286214A7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F87-4FEB-89CF-214286214A7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F87-4FEB-89CF-214286214A70}"/>
              </c:ext>
            </c:extLst>
          </c:dPt>
          <c:dLbls>
            <c:dLbl>
              <c:idx val="0"/>
              <c:layout>
                <c:manualLayout>
                  <c:x val="4.0160642570281027E-2"/>
                  <c:y val="1.32013201320132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87-4FEB-89CF-214286214A70}"/>
                </c:ext>
              </c:extLst>
            </c:dLbl>
            <c:dLbl>
              <c:idx val="1"/>
              <c:layout>
                <c:manualLayout>
                  <c:x val="1.874163319946452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F87-4FEB-89CF-214286214A70}"/>
                </c:ext>
              </c:extLst>
            </c:dLbl>
            <c:dLbl>
              <c:idx val="2"/>
              <c:layout>
                <c:manualLayout>
                  <c:x val="2.1419009370816502E-2"/>
                  <c:y val="8.800880088008800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87-4FEB-89CF-214286214A70}"/>
                </c:ext>
              </c:extLst>
            </c:dLbl>
            <c:dLbl>
              <c:idx val="3"/>
              <c:layout>
                <c:manualLayout>
                  <c:x val="-1.874163319946452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F87-4FEB-89CF-214286214A70}"/>
                </c:ext>
              </c:extLst>
            </c:dLbl>
            <c:dLbl>
              <c:idx val="4"/>
              <c:layout>
                <c:manualLayout>
                  <c:x val="-1.6064257028112448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F87-4FEB-89CF-214286214A70}"/>
                </c:ext>
              </c:extLst>
            </c:dLbl>
            <c:dLbl>
              <c:idx val="5"/>
              <c:layout>
                <c:manualLayout>
                  <c:x val="-5.6918959204173551E-2"/>
                  <c:y val="2.9607754437255797E-1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F87-4FEB-89CF-214286214A7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Analysis!$A$66:$A$72</c:f>
              <c:strCache>
                <c:ptCount val="6"/>
                <c:pt idx="0">
                  <c:v>Economy</c:v>
                </c:pt>
                <c:pt idx="1">
                  <c:v>High Performance</c:v>
                </c:pt>
                <c:pt idx="2">
                  <c:v>Powerful</c:v>
                </c:pt>
                <c:pt idx="3">
                  <c:v>Sports Performance</c:v>
                </c:pt>
                <c:pt idx="4">
                  <c:v>Standard</c:v>
                </c:pt>
                <c:pt idx="5">
                  <c:v>Super Performance</c:v>
                </c:pt>
              </c:strCache>
            </c:strRef>
          </c:cat>
          <c:val>
            <c:numRef>
              <c:f>Analysis!$B$66:$B$72</c:f>
              <c:numCache>
                <c:formatCode>0.00%</c:formatCode>
                <c:ptCount val="6"/>
                <c:pt idx="0">
                  <c:v>8.7747035573122537E-2</c:v>
                </c:pt>
                <c:pt idx="1">
                  <c:v>0.14545454545454545</c:v>
                </c:pt>
                <c:pt idx="2">
                  <c:v>0.30592885375494072</c:v>
                </c:pt>
                <c:pt idx="3">
                  <c:v>9.9604743083003947E-2</c:v>
                </c:pt>
                <c:pt idx="4">
                  <c:v>0.35256916996047433</c:v>
                </c:pt>
                <c:pt idx="5">
                  <c:v>8.6956521739130436E-3</c:v>
                </c:pt>
              </c:numCache>
            </c:numRef>
          </c:val>
          <c:extLst>
            <c:ext xmlns:c16="http://schemas.microsoft.com/office/drawing/2014/chart" uri="{C3380CC4-5D6E-409C-BE32-E72D297353CC}">
              <c16:uniqueId val="{00000000-BF87-4FEB-89CF-214286214A70}"/>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Copy.xlsx]Analysis!Body Type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Analysis!$A$51:$A$56</c:f>
              <c:strCache>
                <c:ptCount val="5"/>
                <c:pt idx="0">
                  <c:v>SUV</c:v>
                </c:pt>
                <c:pt idx="1">
                  <c:v>Sedan</c:v>
                </c:pt>
                <c:pt idx="2">
                  <c:v>Hatchback</c:v>
                </c:pt>
                <c:pt idx="3">
                  <c:v>Coupe</c:v>
                </c:pt>
                <c:pt idx="4">
                  <c:v>MPV</c:v>
                </c:pt>
              </c:strCache>
            </c:strRef>
          </c:cat>
          <c:val>
            <c:numRef>
              <c:f>Analysis!$B$51:$B$56</c:f>
              <c:numCache>
                <c:formatCode>General</c:formatCode>
                <c:ptCount val="5"/>
                <c:pt idx="0">
                  <c:v>441</c:v>
                </c:pt>
                <c:pt idx="1">
                  <c:v>336</c:v>
                </c:pt>
                <c:pt idx="2">
                  <c:v>316</c:v>
                </c:pt>
                <c:pt idx="3">
                  <c:v>41</c:v>
                </c:pt>
                <c:pt idx="4">
                  <c:v>39</c:v>
                </c:pt>
              </c:numCache>
            </c:numRef>
          </c:val>
          <c:extLst>
            <c:ext xmlns:c16="http://schemas.microsoft.com/office/drawing/2014/chart" uri="{C3380CC4-5D6E-409C-BE32-E72D297353CC}">
              <c16:uniqueId val="{00000002-6519-48EA-94A6-22BCC7ACDE48}"/>
            </c:ext>
          </c:extLst>
        </c:ser>
        <c:dLbls>
          <c:dLblPos val="outEnd"/>
          <c:showLegendKey val="0"/>
          <c:showVal val="1"/>
          <c:showCatName val="0"/>
          <c:showSerName val="0"/>
          <c:showPercent val="0"/>
          <c:showBubbleSize val="0"/>
        </c:dLbls>
        <c:gapWidth val="219"/>
        <c:overlap val="-27"/>
        <c:axId val="478544184"/>
        <c:axId val="478545944"/>
      </c:barChart>
      <c:catAx>
        <c:axId val="47854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45944"/>
        <c:crosses val="autoZero"/>
        <c:auto val="1"/>
        <c:lblAlgn val="ctr"/>
        <c:lblOffset val="100"/>
        <c:noMultiLvlLbl val="0"/>
      </c:catAx>
      <c:valAx>
        <c:axId val="478545944"/>
        <c:scaling>
          <c:orientation val="minMax"/>
        </c:scaling>
        <c:delete val="1"/>
        <c:axPos val="l"/>
        <c:numFmt formatCode="General" sourceLinked="1"/>
        <c:majorTickMark val="none"/>
        <c:minorTickMark val="none"/>
        <c:tickLblPos val="nextTo"/>
        <c:crossAx val="478544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Copy.xlsx]Analysis!Most Powerful cars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D2CF46-7295-4014-BA79-E441D568C3E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E687E6-0F5E-4344-91A4-AC38D1DD68C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6E45AF-CD6C-424B-A7EB-0639EAD8E7A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F54FD9-C89A-407C-AB09-518DF061CCE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310B74-77A1-46A1-BECE-6C7DF84E11F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87A7DE-36BF-4A97-85F2-49F061469C6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0BDA16-BFE2-4751-B053-C83A2D3A5D6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3395CA-6855-4E4B-8C9E-83C57064F1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16E500-D492-4688-84CE-743DB45E831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A2B786-AFC6-4183-9E5C-8C1141EE442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Analysis!$B$82:$B$91</c:f>
              <c:strCache>
                <c:ptCount val="1"/>
                <c:pt idx="0">
                  <c:v>Total</c:v>
                </c:pt>
              </c:strCache>
            </c:strRef>
          </c:tx>
          <c:spPr>
            <a:solidFill>
              <a:schemeClr val="accent1"/>
            </a:solidFill>
            <a:ln>
              <a:noFill/>
            </a:ln>
            <a:effectLst/>
          </c:spPr>
          <c:invertIfNegative val="0"/>
          <c:dLbls>
            <c:dLbl>
              <c:idx val="0"/>
              <c:tx>
                <c:rich>
                  <a:bodyPr/>
                  <a:lstStyle/>
                  <a:p>
                    <a:fld id="{BAA2B786-AFC6-4183-9E5C-8C1141EE44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549-413A-B506-663D57156765}"/>
                </c:ext>
              </c:extLst>
            </c:dLbl>
            <c:dLbl>
              <c:idx val="1"/>
              <c:tx>
                <c:rich>
                  <a:bodyPr/>
                  <a:lstStyle/>
                  <a:p>
                    <a:fld id="{A1E687E6-0F5E-4344-91A4-AC38D1DD68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549-413A-B506-663D57156765}"/>
                </c:ext>
              </c:extLst>
            </c:dLbl>
            <c:dLbl>
              <c:idx val="2"/>
              <c:tx>
                <c:rich>
                  <a:bodyPr/>
                  <a:lstStyle/>
                  <a:p>
                    <a:fld id="{EFD2CF46-7295-4014-BA79-E441D568C3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549-413A-B506-663D57156765}"/>
                </c:ext>
              </c:extLst>
            </c:dLbl>
            <c:dLbl>
              <c:idx val="3"/>
              <c:tx>
                <c:rich>
                  <a:bodyPr/>
                  <a:lstStyle/>
                  <a:p>
                    <a:fld id="{276E45AF-CD6C-424B-A7EB-0639EAD8E7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549-413A-B506-663D57156765}"/>
                </c:ext>
              </c:extLst>
            </c:dLbl>
            <c:dLbl>
              <c:idx val="4"/>
              <c:tx>
                <c:rich>
                  <a:bodyPr/>
                  <a:lstStyle/>
                  <a:p>
                    <a:fld id="{BAF54FD9-C89A-407C-AB09-518DF061CC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549-413A-B506-663D57156765}"/>
                </c:ext>
              </c:extLst>
            </c:dLbl>
            <c:dLbl>
              <c:idx val="5"/>
              <c:tx>
                <c:rich>
                  <a:bodyPr/>
                  <a:lstStyle/>
                  <a:p>
                    <a:fld id="{FD310B74-77A1-46A1-BECE-6C7DF84E11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549-413A-B506-663D57156765}"/>
                </c:ext>
              </c:extLst>
            </c:dLbl>
            <c:dLbl>
              <c:idx val="6"/>
              <c:tx>
                <c:rich>
                  <a:bodyPr/>
                  <a:lstStyle/>
                  <a:p>
                    <a:fld id="{4F87A7DE-36BF-4A97-85F2-49F061469C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549-413A-B506-663D57156765}"/>
                </c:ext>
              </c:extLst>
            </c:dLbl>
            <c:dLbl>
              <c:idx val="7"/>
              <c:tx>
                <c:rich>
                  <a:bodyPr/>
                  <a:lstStyle/>
                  <a:p>
                    <a:fld id="{580BDA16-BFE2-4751-B053-C83A2D3A5D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549-413A-B506-663D57156765}"/>
                </c:ext>
              </c:extLst>
            </c:dLbl>
            <c:dLbl>
              <c:idx val="8"/>
              <c:tx>
                <c:rich>
                  <a:bodyPr/>
                  <a:lstStyle/>
                  <a:p>
                    <a:fld id="{283395CA-6855-4E4B-8C9E-83C57064F1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549-413A-B506-663D57156765}"/>
                </c:ext>
              </c:extLst>
            </c:dLbl>
            <c:dLbl>
              <c:idx val="9"/>
              <c:tx>
                <c:rich>
                  <a:bodyPr/>
                  <a:lstStyle/>
                  <a:p>
                    <a:fld id="{3416E500-D492-4688-84CE-743DB45E83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549-413A-B506-663D571567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Analysis!$B$82:$B$91</c:f>
              <c:strCache>
                <c:ptCount val="10"/>
                <c:pt idx="0">
                  <c:v>R8</c:v>
                </c:pt>
                <c:pt idx="1">
                  <c:v>M5</c:v>
                </c:pt>
                <c:pt idx="2">
                  <c:v>Rolls-Royce Wraith</c:v>
                </c:pt>
                <c:pt idx="3">
                  <c:v>Mercedes-Benz Amg Gt 4-Door Coupe</c:v>
                </c:pt>
                <c:pt idx="4">
                  <c:v>Gtc4 Lusso</c:v>
                </c:pt>
                <c:pt idx="5">
                  <c:v>Urus</c:v>
                </c:pt>
                <c:pt idx="6">
                  <c:v>458 Spider</c:v>
                </c:pt>
                <c:pt idx="7">
                  <c:v>488 Gtb</c:v>
                </c:pt>
                <c:pt idx="8">
                  <c:v>Aventador</c:v>
                </c:pt>
                <c:pt idx="9">
                  <c:v>812 Superfast</c:v>
                </c:pt>
              </c:strCache>
            </c:strRef>
          </c:cat>
          <c:val>
            <c:numRef>
              <c:f>Analysis!$B$82:$B$91</c:f>
              <c:numCache>
                <c:formatCode>0</c:formatCode>
                <c:ptCount val="10"/>
                <c:pt idx="0">
                  <c:v>610</c:v>
                </c:pt>
                <c:pt idx="1">
                  <c:v>625</c:v>
                </c:pt>
                <c:pt idx="2">
                  <c:v>625</c:v>
                </c:pt>
                <c:pt idx="3">
                  <c:v>639</c:v>
                </c:pt>
                <c:pt idx="4">
                  <c:v>645.5</c:v>
                </c:pt>
                <c:pt idx="5">
                  <c:v>650</c:v>
                </c:pt>
                <c:pt idx="6">
                  <c:v>669</c:v>
                </c:pt>
                <c:pt idx="7">
                  <c:v>670</c:v>
                </c:pt>
                <c:pt idx="8">
                  <c:v>713.33333333333337</c:v>
                </c:pt>
                <c:pt idx="9">
                  <c:v>789</c:v>
                </c:pt>
              </c:numCache>
            </c:numRef>
          </c:val>
          <c:extLst>
            <c:ext xmlns:c15="http://schemas.microsoft.com/office/drawing/2012/chart" uri="{02D57815-91ED-43cb-92C2-25804820EDAC}">
              <c15:datalabelsRange>
                <c15:f>Analysis!$B$82:$B$91</c15:f>
                <c15:dlblRangeCache>
                  <c:ptCount val="10"/>
                  <c:pt idx="0">
                    <c:v>610</c:v>
                  </c:pt>
                  <c:pt idx="1">
                    <c:v>625</c:v>
                  </c:pt>
                  <c:pt idx="2">
                    <c:v>625</c:v>
                  </c:pt>
                  <c:pt idx="3">
                    <c:v>639</c:v>
                  </c:pt>
                  <c:pt idx="4">
                    <c:v>646</c:v>
                  </c:pt>
                  <c:pt idx="5">
                    <c:v>650</c:v>
                  </c:pt>
                  <c:pt idx="6">
                    <c:v>669</c:v>
                  </c:pt>
                  <c:pt idx="7">
                    <c:v>670</c:v>
                  </c:pt>
                  <c:pt idx="8">
                    <c:v>713</c:v>
                  </c:pt>
                  <c:pt idx="9">
                    <c:v>789</c:v>
                  </c:pt>
                </c15:dlblRangeCache>
              </c15:datalabelsRange>
            </c:ext>
            <c:ext xmlns:c16="http://schemas.microsoft.com/office/drawing/2014/chart" uri="{C3380CC4-5D6E-409C-BE32-E72D297353CC}">
              <c16:uniqueId val="{00000000-6549-413A-B506-663D57156765}"/>
            </c:ext>
          </c:extLst>
        </c:ser>
        <c:dLbls>
          <c:dLblPos val="outEnd"/>
          <c:showLegendKey val="0"/>
          <c:showVal val="1"/>
          <c:showCatName val="0"/>
          <c:showSerName val="0"/>
          <c:showPercent val="0"/>
          <c:showBubbleSize val="0"/>
        </c:dLbls>
        <c:gapWidth val="182"/>
        <c:axId val="478218488"/>
        <c:axId val="478222360"/>
      </c:barChart>
      <c:catAx>
        <c:axId val="478218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22360"/>
        <c:crosses val="autoZero"/>
        <c:auto val="1"/>
        <c:lblAlgn val="ctr"/>
        <c:lblOffset val="100"/>
        <c:noMultiLvlLbl val="0"/>
      </c:catAx>
      <c:valAx>
        <c:axId val="478222360"/>
        <c:scaling>
          <c:orientation val="minMax"/>
        </c:scaling>
        <c:delete val="1"/>
        <c:axPos val="b"/>
        <c:numFmt formatCode="0" sourceLinked="1"/>
        <c:majorTickMark val="none"/>
        <c:minorTickMark val="none"/>
        <c:tickLblPos val="nextTo"/>
        <c:crossAx val="478218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Copy.xlsx]Analysis!Avg Price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Analysis!$A$4:$A$43</c:f>
              <c:strCache>
                <c:ptCount val="39"/>
                <c:pt idx="0">
                  <c:v>Bajaj</c:v>
                </c:pt>
                <c:pt idx="1">
                  <c:v>Datsun</c:v>
                </c:pt>
                <c:pt idx="2">
                  <c:v>Maruti Suzuki R</c:v>
                </c:pt>
                <c:pt idx="3">
                  <c:v>Premier</c:v>
                </c:pt>
                <c:pt idx="4">
                  <c:v>Maruti Suzuki</c:v>
                </c:pt>
                <c:pt idx="5">
                  <c:v>Fiat</c:v>
                </c:pt>
                <c:pt idx="6">
                  <c:v>Renault</c:v>
                </c:pt>
                <c:pt idx="7">
                  <c:v>Tata</c:v>
                </c:pt>
                <c:pt idx="8">
                  <c:v>Icml</c:v>
                </c:pt>
                <c:pt idx="9">
                  <c:v>Hyundai</c:v>
                </c:pt>
                <c:pt idx="10">
                  <c:v>Mahindra</c:v>
                </c:pt>
                <c:pt idx="11">
                  <c:v>Ford</c:v>
                </c:pt>
                <c:pt idx="12">
                  <c:v>Force</c:v>
                </c:pt>
                <c:pt idx="13">
                  <c:v>Honda</c:v>
                </c:pt>
                <c:pt idx="14">
                  <c:v>Volkswagen</c:v>
                </c:pt>
                <c:pt idx="15">
                  <c:v>Mg</c:v>
                </c:pt>
                <c:pt idx="16">
                  <c:v>Toyota</c:v>
                </c:pt>
                <c:pt idx="17">
                  <c:v>Nissan</c:v>
                </c:pt>
                <c:pt idx="18">
                  <c:v>Kia</c:v>
                </c:pt>
                <c:pt idx="19">
                  <c:v>Skoda</c:v>
                </c:pt>
                <c:pt idx="20">
                  <c:v>Isuzu</c:v>
                </c:pt>
                <c:pt idx="21">
                  <c:v>Jeep</c:v>
                </c:pt>
                <c:pt idx="22">
                  <c:v>Dc</c:v>
                </c:pt>
                <c:pt idx="23">
                  <c:v>Mitsubishi</c:v>
                </c:pt>
                <c:pt idx="24">
                  <c:v>Mini</c:v>
                </c:pt>
                <c:pt idx="25">
                  <c:v>Volvo</c:v>
                </c:pt>
                <c:pt idx="26">
                  <c:v>Audi</c:v>
                </c:pt>
                <c:pt idx="27">
                  <c:v>BMW</c:v>
                </c:pt>
                <c:pt idx="28">
                  <c:v>Land Rover</c:v>
                </c:pt>
                <c:pt idx="29">
                  <c:v>Jaguar</c:v>
                </c:pt>
                <c:pt idx="30">
                  <c:v>Lexus</c:v>
                </c:pt>
                <c:pt idx="31">
                  <c:v>Porsche</c:v>
                </c:pt>
                <c:pt idx="32">
                  <c:v>Mercedes-Benz</c:v>
                </c:pt>
                <c:pt idx="33">
                  <c:v>Maserati</c:v>
                </c:pt>
                <c:pt idx="34">
                  <c:v>Land Rover Rover</c:v>
                </c:pt>
                <c:pt idx="35">
                  <c:v>Aston Martin</c:v>
                </c:pt>
                <c:pt idx="36">
                  <c:v>Lamborghini</c:v>
                </c:pt>
                <c:pt idx="37">
                  <c:v>Bentley</c:v>
                </c:pt>
                <c:pt idx="38">
                  <c:v>Ferrari</c:v>
                </c:pt>
              </c:strCache>
            </c:strRef>
          </c:cat>
          <c:val>
            <c:numRef>
              <c:f>Analysis!$B$4:$B$43</c:f>
              <c:numCache>
                <c:formatCode>"₹"\ 0.0,,"L"</c:formatCode>
                <c:ptCount val="39"/>
                <c:pt idx="0">
                  <c:v>273000</c:v>
                </c:pt>
                <c:pt idx="1">
                  <c:v>450907.66666666669</c:v>
                </c:pt>
                <c:pt idx="2">
                  <c:v>515128.71428571426</c:v>
                </c:pt>
                <c:pt idx="3">
                  <c:v>637603.83333333337</c:v>
                </c:pt>
                <c:pt idx="4">
                  <c:v>688808.36241610744</c:v>
                </c:pt>
                <c:pt idx="5">
                  <c:v>779556.34782608692</c:v>
                </c:pt>
                <c:pt idx="6">
                  <c:v>801107.75</c:v>
                </c:pt>
                <c:pt idx="7">
                  <c:v>937114.57</c:v>
                </c:pt>
                <c:pt idx="8">
                  <c:v>970082.90909090906</c:v>
                </c:pt>
                <c:pt idx="9">
                  <c:v>987476.5461538462</c:v>
                </c:pt>
                <c:pt idx="10">
                  <c:v>1059604.3</c:v>
                </c:pt>
                <c:pt idx="11">
                  <c:v>1123853.8139534884</c:v>
                </c:pt>
                <c:pt idx="12">
                  <c:v>1150500</c:v>
                </c:pt>
                <c:pt idx="13">
                  <c:v>1206136.5625</c:v>
                </c:pt>
                <c:pt idx="14">
                  <c:v>1321923.5294117648</c:v>
                </c:pt>
                <c:pt idx="15">
                  <c:v>1610307.6923076923</c:v>
                </c:pt>
                <c:pt idx="16">
                  <c:v>1653056.0975609757</c:v>
                </c:pt>
                <c:pt idx="17">
                  <c:v>1695369.1724137932</c:v>
                </c:pt>
                <c:pt idx="18">
                  <c:v>1701142.857142857</c:v>
                </c:pt>
                <c:pt idx="19">
                  <c:v>1973879.465116279</c:v>
                </c:pt>
                <c:pt idx="20">
                  <c:v>2225392.7999999998</c:v>
                </c:pt>
                <c:pt idx="21">
                  <c:v>3203428.0714285714</c:v>
                </c:pt>
                <c:pt idx="22">
                  <c:v>3407407</c:v>
                </c:pt>
                <c:pt idx="23">
                  <c:v>3456192.8571428573</c:v>
                </c:pt>
                <c:pt idx="24">
                  <c:v>3792000</c:v>
                </c:pt>
                <c:pt idx="25">
                  <c:v>5834750</c:v>
                </c:pt>
                <c:pt idx="26">
                  <c:v>7240430.6451612907</c:v>
                </c:pt>
                <c:pt idx="27">
                  <c:v>8256216.2162162159</c:v>
                </c:pt>
                <c:pt idx="28">
                  <c:v>8457079.8000000007</c:v>
                </c:pt>
                <c:pt idx="29">
                  <c:v>10464503.045454545</c:v>
                </c:pt>
                <c:pt idx="30">
                  <c:v>15015300</c:v>
                </c:pt>
                <c:pt idx="31">
                  <c:v>15346000</c:v>
                </c:pt>
                <c:pt idx="32">
                  <c:v>15408224.720000001</c:v>
                </c:pt>
                <c:pt idx="33">
                  <c:v>15696889.888888888</c:v>
                </c:pt>
                <c:pt idx="34">
                  <c:v>16456465.740740741</c:v>
                </c:pt>
                <c:pt idx="35">
                  <c:v>36267442</c:v>
                </c:pt>
                <c:pt idx="36">
                  <c:v>39053919.230769232</c:v>
                </c:pt>
                <c:pt idx="37">
                  <c:v>40565854.333333336</c:v>
                </c:pt>
                <c:pt idx="38">
                  <c:v>42872495.625</c:v>
                </c:pt>
              </c:numCache>
            </c:numRef>
          </c:val>
          <c:extLst>
            <c:ext xmlns:c16="http://schemas.microsoft.com/office/drawing/2014/chart" uri="{C3380CC4-5D6E-409C-BE32-E72D297353CC}">
              <c16:uniqueId val="{00000000-528E-4B56-822C-C1C4F52722A9}"/>
            </c:ext>
          </c:extLst>
        </c:ser>
        <c:dLbls>
          <c:showLegendKey val="0"/>
          <c:showVal val="0"/>
          <c:showCatName val="0"/>
          <c:showSerName val="0"/>
          <c:showPercent val="0"/>
          <c:showBubbleSize val="0"/>
        </c:dLbls>
        <c:gapWidth val="182"/>
        <c:axId val="478220600"/>
        <c:axId val="478222712"/>
      </c:barChart>
      <c:catAx>
        <c:axId val="478220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22712"/>
        <c:crosses val="autoZero"/>
        <c:auto val="1"/>
        <c:lblAlgn val="ctr"/>
        <c:lblOffset val="100"/>
        <c:noMultiLvlLbl val="0"/>
      </c:catAx>
      <c:valAx>
        <c:axId val="478222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20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Copy.xlsx]Analysis!Avg Price</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EBE97"/>
              </a:gs>
              <a:gs pos="100000">
                <a:srgbClr val="2E8B57"/>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39810681234423"/>
          <c:y val="4.7194031234070163E-2"/>
          <c:w val="0.75017190600919936"/>
          <c:h val="0.83698834184028126"/>
        </c:manualLayout>
      </c:layout>
      <c:barChart>
        <c:barDir val="bar"/>
        <c:grouping val="clustered"/>
        <c:varyColors val="0"/>
        <c:ser>
          <c:idx val="0"/>
          <c:order val="0"/>
          <c:tx>
            <c:strRef>
              <c:f>Analysis!$B$3</c:f>
              <c:strCache>
                <c:ptCount val="1"/>
                <c:pt idx="0">
                  <c:v>Total</c:v>
                </c:pt>
              </c:strCache>
            </c:strRef>
          </c:tx>
          <c:spPr>
            <a:gradFill>
              <a:gsLst>
                <a:gs pos="0">
                  <a:srgbClr val="7EBE97"/>
                </a:gs>
                <a:gs pos="100000">
                  <a:srgbClr val="2E8B57"/>
                </a:gs>
              </a:gsLst>
              <a:lin ang="10800000" scaled="0"/>
            </a:gradFill>
            <a:ln>
              <a:noFill/>
            </a:ln>
            <a:effectLst/>
          </c:spPr>
          <c:invertIfNegative val="0"/>
          <c:cat>
            <c:strRef>
              <c:f>Analysis!$A$4:$A$43</c:f>
              <c:strCache>
                <c:ptCount val="39"/>
                <c:pt idx="0">
                  <c:v>Bajaj</c:v>
                </c:pt>
                <c:pt idx="1">
                  <c:v>Datsun</c:v>
                </c:pt>
                <c:pt idx="2">
                  <c:v>Maruti Suzuki R</c:v>
                </c:pt>
                <c:pt idx="3">
                  <c:v>Premier</c:v>
                </c:pt>
                <c:pt idx="4">
                  <c:v>Maruti Suzuki</c:v>
                </c:pt>
                <c:pt idx="5">
                  <c:v>Fiat</c:v>
                </c:pt>
                <c:pt idx="6">
                  <c:v>Renault</c:v>
                </c:pt>
                <c:pt idx="7">
                  <c:v>Tata</c:v>
                </c:pt>
                <c:pt idx="8">
                  <c:v>Icml</c:v>
                </c:pt>
                <c:pt idx="9">
                  <c:v>Hyundai</c:v>
                </c:pt>
                <c:pt idx="10">
                  <c:v>Mahindra</c:v>
                </c:pt>
                <c:pt idx="11">
                  <c:v>Ford</c:v>
                </c:pt>
                <c:pt idx="12">
                  <c:v>Force</c:v>
                </c:pt>
                <c:pt idx="13">
                  <c:v>Honda</c:v>
                </c:pt>
                <c:pt idx="14">
                  <c:v>Volkswagen</c:v>
                </c:pt>
                <c:pt idx="15">
                  <c:v>Mg</c:v>
                </c:pt>
                <c:pt idx="16">
                  <c:v>Toyota</c:v>
                </c:pt>
                <c:pt idx="17">
                  <c:v>Nissan</c:v>
                </c:pt>
                <c:pt idx="18">
                  <c:v>Kia</c:v>
                </c:pt>
                <c:pt idx="19">
                  <c:v>Skoda</c:v>
                </c:pt>
                <c:pt idx="20">
                  <c:v>Isuzu</c:v>
                </c:pt>
                <c:pt idx="21">
                  <c:v>Jeep</c:v>
                </c:pt>
                <c:pt idx="22">
                  <c:v>Dc</c:v>
                </c:pt>
                <c:pt idx="23">
                  <c:v>Mitsubishi</c:v>
                </c:pt>
                <c:pt idx="24">
                  <c:v>Mini</c:v>
                </c:pt>
                <c:pt idx="25">
                  <c:v>Volvo</c:v>
                </c:pt>
                <c:pt idx="26">
                  <c:v>Audi</c:v>
                </c:pt>
                <c:pt idx="27">
                  <c:v>BMW</c:v>
                </c:pt>
                <c:pt idx="28">
                  <c:v>Land Rover</c:v>
                </c:pt>
                <c:pt idx="29">
                  <c:v>Jaguar</c:v>
                </c:pt>
                <c:pt idx="30">
                  <c:v>Lexus</c:v>
                </c:pt>
                <c:pt idx="31">
                  <c:v>Porsche</c:v>
                </c:pt>
                <c:pt idx="32">
                  <c:v>Mercedes-Benz</c:v>
                </c:pt>
                <c:pt idx="33">
                  <c:v>Maserati</c:v>
                </c:pt>
                <c:pt idx="34">
                  <c:v>Land Rover Rover</c:v>
                </c:pt>
                <c:pt idx="35">
                  <c:v>Aston Martin</c:v>
                </c:pt>
                <c:pt idx="36">
                  <c:v>Lamborghini</c:v>
                </c:pt>
                <c:pt idx="37">
                  <c:v>Bentley</c:v>
                </c:pt>
                <c:pt idx="38">
                  <c:v>Ferrari</c:v>
                </c:pt>
              </c:strCache>
            </c:strRef>
          </c:cat>
          <c:val>
            <c:numRef>
              <c:f>Analysis!$B$4:$B$43</c:f>
              <c:numCache>
                <c:formatCode>"₹"\ 0.0,,"L"</c:formatCode>
                <c:ptCount val="39"/>
                <c:pt idx="0">
                  <c:v>273000</c:v>
                </c:pt>
                <c:pt idx="1">
                  <c:v>450907.66666666669</c:v>
                </c:pt>
                <c:pt idx="2">
                  <c:v>515128.71428571426</c:v>
                </c:pt>
                <c:pt idx="3">
                  <c:v>637603.83333333337</c:v>
                </c:pt>
                <c:pt idx="4">
                  <c:v>688808.36241610744</c:v>
                </c:pt>
                <c:pt idx="5">
                  <c:v>779556.34782608692</c:v>
                </c:pt>
                <c:pt idx="6">
                  <c:v>801107.75</c:v>
                </c:pt>
                <c:pt idx="7">
                  <c:v>937114.57</c:v>
                </c:pt>
                <c:pt idx="8">
                  <c:v>970082.90909090906</c:v>
                </c:pt>
                <c:pt idx="9">
                  <c:v>987476.5461538462</c:v>
                </c:pt>
                <c:pt idx="10">
                  <c:v>1059604.3</c:v>
                </c:pt>
                <c:pt idx="11">
                  <c:v>1123853.8139534884</c:v>
                </c:pt>
                <c:pt idx="12">
                  <c:v>1150500</c:v>
                </c:pt>
                <c:pt idx="13">
                  <c:v>1206136.5625</c:v>
                </c:pt>
                <c:pt idx="14">
                  <c:v>1321923.5294117648</c:v>
                </c:pt>
                <c:pt idx="15">
                  <c:v>1610307.6923076923</c:v>
                </c:pt>
                <c:pt idx="16">
                  <c:v>1653056.0975609757</c:v>
                </c:pt>
                <c:pt idx="17">
                  <c:v>1695369.1724137932</c:v>
                </c:pt>
                <c:pt idx="18">
                  <c:v>1701142.857142857</c:v>
                </c:pt>
                <c:pt idx="19">
                  <c:v>1973879.465116279</c:v>
                </c:pt>
                <c:pt idx="20">
                  <c:v>2225392.7999999998</c:v>
                </c:pt>
                <c:pt idx="21">
                  <c:v>3203428.0714285714</c:v>
                </c:pt>
                <c:pt idx="22">
                  <c:v>3407407</c:v>
                </c:pt>
                <c:pt idx="23">
                  <c:v>3456192.8571428573</c:v>
                </c:pt>
                <c:pt idx="24">
                  <c:v>3792000</c:v>
                </c:pt>
                <c:pt idx="25">
                  <c:v>5834750</c:v>
                </c:pt>
                <c:pt idx="26">
                  <c:v>7240430.6451612907</c:v>
                </c:pt>
                <c:pt idx="27">
                  <c:v>8256216.2162162159</c:v>
                </c:pt>
                <c:pt idx="28">
                  <c:v>8457079.8000000007</c:v>
                </c:pt>
                <c:pt idx="29">
                  <c:v>10464503.045454545</c:v>
                </c:pt>
                <c:pt idx="30">
                  <c:v>15015300</c:v>
                </c:pt>
                <c:pt idx="31">
                  <c:v>15346000</c:v>
                </c:pt>
                <c:pt idx="32">
                  <c:v>15408224.720000001</c:v>
                </c:pt>
                <c:pt idx="33">
                  <c:v>15696889.888888888</c:v>
                </c:pt>
                <c:pt idx="34">
                  <c:v>16456465.740740741</c:v>
                </c:pt>
                <c:pt idx="35">
                  <c:v>36267442</c:v>
                </c:pt>
                <c:pt idx="36">
                  <c:v>39053919.230769232</c:v>
                </c:pt>
                <c:pt idx="37">
                  <c:v>40565854.333333336</c:v>
                </c:pt>
                <c:pt idx="38">
                  <c:v>42872495.625</c:v>
                </c:pt>
              </c:numCache>
            </c:numRef>
          </c:val>
          <c:extLst>
            <c:ext xmlns:c16="http://schemas.microsoft.com/office/drawing/2014/chart" uri="{C3380CC4-5D6E-409C-BE32-E72D297353CC}">
              <c16:uniqueId val="{00000000-1F7A-4E9E-A4BC-7C2FA8FA4595}"/>
            </c:ext>
          </c:extLst>
        </c:ser>
        <c:dLbls>
          <c:showLegendKey val="0"/>
          <c:showVal val="0"/>
          <c:showCatName val="0"/>
          <c:showSerName val="0"/>
          <c:showPercent val="0"/>
          <c:showBubbleSize val="0"/>
        </c:dLbls>
        <c:gapWidth val="45"/>
        <c:axId val="478220600"/>
        <c:axId val="478222712"/>
      </c:barChart>
      <c:catAx>
        <c:axId val="47822060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r>
                  <a:rPr lang="en-US" sz="1000" b="1">
                    <a:solidFill>
                      <a:schemeClr val="tx1">
                        <a:lumMod val="75000"/>
                        <a:lumOff val="25000"/>
                      </a:schemeClr>
                    </a:solidFill>
                  </a:rPr>
                  <a:t>Manufacturer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78222712"/>
        <c:crosses val="autoZero"/>
        <c:auto val="1"/>
        <c:lblAlgn val="ctr"/>
        <c:lblOffset val="100"/>
        <c:noMultiLvlLbl val="0"/>
      </c:catAx>
      <c:valAx>
        <c:axId val="478222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quot;L&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8220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oddFooter>&amp;Rbugatti chiron is excluded from the dataset for better readability</c:oddFooter>
    </c:headerFooter>
    <c:pageMargins b="0.74803149606299213" l="0.70866141732283472" r="0.70866141732283472" t="0.74803149606299213" header="0.31496062992125984" footer="0.31496062992125984"/>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Copy.xlsx]Analysis!Body Type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7EBE97"/>
              </a:gs>
              <a:gs pos="100000">
                <a:srgbClr val="2E8B57"/>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c:f>
              <c:strCache>
                <c:ptCount val="1"/>
                <c:pt idx="0">
                  <c:v>Total</c:v>
                </c:pt>
              </c:strCache>
            </c:strRef>
          </c:tx>
          <c:spPr>
            <a:gradFill>
              <a:gsLst>
                <a:gs pos="0">
                  <a:srgbClr val="7EBE97"/>
                </a:gs>
                <a:gs pos="100000">
                  <a:srgbClr val="2E8B57"/>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Analysis!$A$51:$A$56</c:f>
              <c:strCache>
                <c:ptCount val="5"/>
                <c:pt idx="0">
                  <c:v>SUV</c:v>
                </c:pt>
                <c:pt idx="1">
                  <c:v>Sedan</c:v>
                </c:pt>
                <c:pt idx="2">
                  <c:v>Hatchback</c:v>
                </c:pt>
                <c:pt idx="3">
                  <c:v>Coupe</c:v>
                </c:pt>
                <c:pt idx="4">
                  <c:v>MPV</c:v>
                </c:pt>
              </c:strCache>
            </c:strRef>
          </c:cat>
          <c:val>
            <c:numRef>
              <c:f>Analysis!$B$51:$B$56</c:f>
              <c:numCache>
                <c:formatCode>General</c:formatCode>
                <c:ptCount val="5"/>
                <c:pt idx="0">
                  <c:v>441</c:v>
                </c:pt>
                <c:pt idx="1">
                  <c:v>336</c:v>
                </c:pt>
                <c:pt idx="2">
                  <c:v>316</c:v>
                </c:pt>
                <c:pt idx="3">
                  <c:v>41</c:v>
                </c:pt>
                <c:pt idx="4">
                  <c:v>39</c:v>
                </c:pt>
              </c:numCache>
            </c:numRef>
          </c:val>
          <c:extLst>
            <c:ext xmlns:c16="http://schemas.microsoft.com/office/drawing/2014/chart" uri="{C3380CC4-5D6E-409C-BE32-E72D297353CC}">
              <c16:uniqueId val="{00000000-2319-4E51-AE70-C765BA9ED769}"/>
            </c:ext>
          </c:extLst>
        </c:ser>
        <c:dLbls>
          <c:dLblPos val="outEnd"/>
          <c:showLegendKey val="0"/>
          <c:showVal val="1"/>
          <c:showCatName val="0"/>
          <c:showSerName val="0"/>
          <c:showPercent val="0"/>
          <c:showBubbleSize val="0"/>
        </c:dLbls>
        <c:gapWidth val="80"/>
        <c:overlap val="-27"/>
        <c:axId val="478544184"/>
        <c:axId val="478545944"/>
      </c:barChart>
      <c:catAx>
        <c:axId val="478544184"/>
        <c:scaling>
          <c:orientation val="minMax"/>
        </c:scaling>
        <c:delete val="0"/>
        <c:axPos val="b"/>
        <c:title>
          <c:tx>
            <c:rich>
              <a:bodyPr rot="0" spcFirstLastPara="1" vertOverflow="ellipsis" vert="horz" wrap="square" anchor="ctr" anchorCtr="1"/>
              <a:lstStyle/>
              <a:p>
                <a:pPr>
                  <a:defRPr sz="1000" b="1" i="0" u="none" strike="noStrike" kern="1200" baseline="0">
                    <a:solidFill>
                      <a:srgbClr val="2E3440"/>
                    </a:solidFill>
                    <a:latin typeface="+mn-lt"/>
                    <a:ea typeface="+mn-ea"/>
                    <a:cs typeface="+mn-cs"/>
                  </a:defRPr>
                </a:pPr>
                <a:r>
                  <a:rPr lang="en-US" sz="1000" b="1">
                    <a:solidFill>
                      <a:srgbClr val="2E3440"/>
                    </a:solidFill>
                  </a:rPr>
                  <a:t>Body</a:t>
                </a:r>
                <a:r>
                  <a:rPr lang="en-US" sz="1000" b="1" baseline="0">
                    <a:solidFill>
                      <a:srgbClr val="2E3440"/>
                    </a:solidFill>
                  </a:rPr>
                  <a:t> Type</a:t>
                </a:r>
                <a:endParaRPr lang="en-US" sz="1000" b="1">
                  <a:solidFill>
                    <a:srgbClr val="2E3440"/>
                  </a:solidFill>
                </a:endParaRPr>
              </a:p>
            </c:rich>
          </c:tx>
          <c:layout>
            <c:manualLayout>
              <c:xMode val="edge"/>
              <c:yMode val="edge"/>
              <c:x val="0.43862817467135073"/>
              <c:y val="0.84159221866419465"/>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2E344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78545944"/>
        <c:crosses val="autoZero"/>
        <c:auto val="1"/>
        <c:lblAlgn val="ctr"/>
        <c:lblOffset val="100"/>
        <c:noMultiLvlLbl val="0"/>
      </c:catAx>
      <c:valAx>
        <c:axId val="478545944"/>
        <c:scaling>
          <c:orientation val="minMax"/>
        </c:scaling>
        <c:delete val="1"/>
        <c:axPos val="l"/>
        <c:numFmt formatCode="General" sourceLinked="1"/>
        <c:majorTickMark val="none"/>
        <c:minorTickMark val="none"/>
        <c:tickLblPos val="nextTo"/>
        <c:crossAx val="478544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Copy.xlsx]Analysis!Most Powerful cars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7C528F-9E66-4E48-9A47-D9F1BA6A2F3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C29787-CA96-41C2-945A-F8E3AEA247F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2FB378-CB73-4E4E-98A9-F94417179ED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0EE5E5-B0EC-4D7A-824D-5782A1C866C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0EF41C-B257-4F8C-9D05-94AE4A4C670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A847A3-8E75-4330-A270-17E5ED35566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4309EB-A334-472F-96B3-0B30794DBDC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30AD6-2DB5-439F-8F20-D2010E6F721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BE4764-E59B-4D84-8350-EB7033F0969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C411DB94-B48C-4D29-B569-FE097B87D2E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5B8B5C-F796-48DC-9A1C-B181A7F0BB7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0D2DF7-623E-4425-9B5E-88E528AFBA4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B14594-0043-4B5F-97B0-8240CEDFBAF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51DF85A-870C-4C5A-918B-B4F0AF09BC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7AAD62-31F3-476C-A014-BA1D1A58221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529F63-E2BB-4640-A30C-28187769F12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B1A3CE-AD30-4547-A8B6-3B5AC179788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6A196C-CB84-4827-BC13-6D40E11B1B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EE8D27-B20A-4B9A-BF0A-7B664901FA1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4895F3-FD27-40CB-AF13-0811EF9950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DBA2F7-21A6-4C1C-9CDB-B8D11E1D57E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gradFill>
            <a:gsLst>
              <a:gs pos="0">
                <a:srgbClr val="7EBE97"/>
              </a:gs>
              <a:gs pos="100000">
                <a:srgbClr val="2E8B57"/>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84BC6F59-B03B-4FE5-A5DC-BE12A64FCC8C}"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09754202-A5E4-49C0-8591-1E9D851042A3}"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D216D285-E366-414F-92EC-33CD8E1820E5}"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9170D7DB-D9CD-4AC0-AAC5-8313A2F17522}"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6AADC8C0-8695-4E5D-9253-D3D8A69535D6}"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96A834DC-A807-45F9-830B-F71EDA361E30}"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57B17589-92CC-4C64-AAA4-F18BAE1A381B}"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D6683767-AD86-48F1-9935-C91EAD7B05AF}"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609C973F-4E48-404B-B262-78ADFB16A1A8}"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gradFill>
            <a:gsLst>
              <a:gs pos="0">
                <a:srgbClr val="7EBE97"/>
              </a:gs>
              <a:gs pos="100000">
                <a:srgbClr val="2E8B57"/>
              </a:gs>
            </a:gsLst>
            <a:lin ang="10800000" scaled="0"/>
          </a:gradFill>
          <a:ln>
            <a:noFill/>
          </a:ln>
          <a:effectLst/>
        </c:spPr>
        <c:dLbl>
          <c:idx val="0"/>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15C6CF45-AF3E-4C53-A71E-63310CFFD266}" type="CELLRANGE">
                  <a:rPr lang="en-US"/>
                  <a:pPr>
                    <a:defRPr sz="1100" b="1"/>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pivotFmt>
    </c:pivotFmts>
    <c:plotArea>
      <c:layout/>
      <c:barChart>
        <c:barDir val="bar"/>
        <c:grouping val="clustered"/>
        <c:varyColors val="0"/>
        <c:ser>
          <c:idx val="0"/>
          <c:order val="0"/>
          <c:tx>
            <c:strRef>
              <c:f>Analysis!$B$82:$B$91</c:f>
              <c:strCache>
                <c:ptCount val="1"/>
                <c:pt idx="0">
                  <c:v>Total</c:v>
                </c:pt>
              </c:strCache>
            </c:strRef>
          </c:tx>
          <c:spPr>
            <a:gradFill>
              <a:gsLst>
                <a:gs pos="0">
                  <a:srgbClr val="7EBE97"/>
                </a:gs>
                <a:gs pos="100000">
                  <a:srgbClr val="2E8B57"/>
                </a:gs>
              </a:gsLst>
              <a:lin ang="10800000" scaled="0"/>
            </a:gradFill>
            <a:ln>
              <a:noFill/>
            </a:ln>
            <a:effectLst/>
          </c:spPr>
          <c:invertIfNegative val="0"/>
          <c:dLbls>
            <c:dLbl>
              <c:idx val="0"/>
              <c:tx>
                <c:rich>
                  <a:bodyPr/>
                  <a:lstStyle/>
                  <a:p>
                    <a:fld id="{84BC6F59-B03B-4FE5-A5DC-BE12A64FCC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15E-4BF3-BCA0-E860A9BEEF57}"/>
                </c:ext>
              </c:extLst>
            </c:dLbl>
            <c:dLbl>
              <c:idx val="1"/>
              <c:tx>
                <c:rich>
                  <a:bodyPr/>
                  <a:lstStyle/>
                  <a:p>
                    <a:fld id="{09754202-A5E4-49C0-8591-1E9D851042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15E-4BF3-BCA0-E860A9BEEF57}"/>
                </c:ext>
              </c:extLst>
            </c:dLbl>
            <c:dLbl>
              <c:idx val="2"/>
              <c:tx>
                <c:rich>
                  <a:bodyPr/>
                  <a:lstStyle/>
                  <a:p>
                    <a:fld id="{D216D285-E366-414F-92EC-33CD8E1820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15E-4BF3-BCA0-E860A9BEEF57}"/>
                </c:ext>
              </c:extLst>
            </c:dLbl>
            <c:dLbl>
              <c:idx val="3"/>
              <c:tx>
                <c:rich>
                  <a:bodyPr/>
                  <a:lstStyle/>
                  <a:p>
                    <a:fld id="{9170D7DB-D9CD-4AC0-AAC5-8313A2F175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15E-4BF3-BCA0-E860A9BEEF57}"/>
                </c:ext>
              </c:extLst>
            </c:dLbl>
            <c:dLbl>
              <c:idx val="4"/>
              <c:tx>
                <c:rich>
                  <a:bodyPr/>
                  <a:lstStyle/>
                  <a:p>
                    <a:fld id="{6AADC8C0-8695-4E5D-9253-D3D8A69535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15E-4BF3-BCA0-E860A9BEEF57}"/>
                </c:ext>
              </c:extLst>
            </c:dLbl>
            <c:dLbl>
              <c:idx val="5"/>
              <c:tx>
                <c:rich>
                  <a:bodyPr/>
                  <a:lstStyle/>
                  <a:p>
                    <a:fld id="{96A834DC-A807-45F9-830B-F71EDA361E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15E-4BF3-BCA0-E860A9BEEF57}"/>
                </c:ext>
              </c:extLst>
            </c:dLbl>
            <c:dLbl>
              <c:idx val="6"/>
              <c:tx>
                <c:rich>
                  <a:bodyPr/>
                  <a:lstStyle/>
                  <a:p>
                    <a:fld id="{57B17589-92CC-4C64-AAA4-F18BAE1A38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15E-4BF3-BCA0-E860A9BEEF57}"/>
                </c:ext>
              </c:extLst>
            </c:dLbl>
            <c:dLbl>
              <c:idx val="7"/>
              <c:tx>
                <c:rich>
                  <a:bodyPr/>
                  <a:lstStyle/>
                  <a:p>
                    <a:fld id="{D6683767-AD86-48F1-9935-C91EAD7B05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15E-4BF3-BCA0-E860A9BEEF57}"/>
                </c:ext>
              </c:extLst>
            </c:dLbl>
            <c:dLbl>
              <c:idx val="8"/>
              <c:tx>
                <c:rich>
                  <a:bodyPr/>
                  <a:lstStyle/>
                  <a:p>
                    <a:fld id="{609C973F-4E48-404B-B262-78ADFB16A1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15E-4BF3-BCA0-E860A9BEEF57}"/>
                </c:ext>
              </c:extLst>
            </c:dLbl>
            <c:dLbl>
              <c:idx val="9"/>
              <c:tx>
                <c:rich>
                  <a:bodyPr/>
                  <a:lstStyle/>
                  <a:p>
                    <a:fld id="{15C6CF45-AF3E-4C53-A71E-63310CFFD2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15E-4BF3-BCA0-E860A9BEEF5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Analysis!$B$82:$B$91</c:f>
              <c:strCache>
                <c:ptCount val="10"/>
                <c:pt idx="0">
                  <c:v>R8</c:v>
                </c:pt>
                <c:pt idx="1">
                  <c:v>M5</c:v>
                </c:pt>
                <c:pt idx="2">
                  <c:v>Rolls-Royce Wraith</c:v>
                </c:pt>
                <c:pt idx="3">
                  <c:v>Mercedes-Benz Amg Gt 4-Door Coupe</c:v>
                </c:pt>
                <c:pt idx="4">
                  <c:v>Gtc4 Lusso</c:v>
                </c:pt>
                <c:pt idx="5">
                  <c:v>Urus</c:v>
                </c:pt>
                <c:pt idx="6">
                  <c:v>458 Spider</c:v>
                </c:pt>
                <c:pt idx="7">
                  <c:v>488 Gtb</c:v>
                </c:pt>
                <c:pt idx="8">
                  <c:v>Aventador</c:v>
                </c:pt>
                <c:pt idx="9">
                  <c:v>812 Superfast</c:v>
                </c:pt>
              </c:strCache>
            </c:strRef>
          </c:cat>
          <c:val>
            <c:numRef>
              <c:f>Analysis!$B$82:$B$91</c:f>
              <c:numCache>
                <c:formatCode>0</c:formatCode>
                <c:ptCount val="10"/>
                <c:pt idx="0">
                  <c:v>610</c:v>
                </c:pt>
                <c:pt idx="1">
                  <c:v>625</c:v>
                </c:pt>
                <c:pt idx="2">
                  <c:v>625</c:v>
                </c:pt>
                <c:pt idx="3">
                  <c:v>639</c:v>
                </c:pt>
                <c:pt idx="4">
                  <c:v>645.5</c:v>
                </c:pt>
                <c:pt idx="5">
                  <c:v>650</c:v>
                </c:pt>
                <c:pt idx="6">
                  <c:v>669</c:v>
                </c:pt>
                <c:pt idx="7">
                  <c:v>670</c:v>
                </c:pt>
                <c:pt idx="8">
                  <c:v>713.33333333333337</c:v>
                </c:pt>
                <c:pt idx="9">
                  <c:v>789</c:v>
                </c:pt>
              </c:numCache>
            </c:numRef>
          </c:val>
          <c:extLst>
            <c:ext xmlns:c15="http://schemas.microsoft.com/office/drawing/2012/chart" uri="{02D57815-91ED-43cb-92C2-25804820EDAC}">
              <c15:datalabelsRange>
                <c15:f>Analysis!$B$82:$B$91</c15:f>
                <c15:dlblRangeCache>
                  <c:ptCount val="10"/>
                  <c:pt idx="0">
                    <c:v>610</c:v>
                  </c:pt>
                  <c:pt idx="1">
                    <c:v>625</c:v>
                  </c:pt>
                  <c:pt idx="2">
                    <c:v>625</c:v>
                  </c:pt>
                  <c:pt idx="3">
                    <c:v>639</c:v>
                  </c:pt>
                  <c:pt idx="4">
                    <c:v>646</c:v>
                  </c:pt>
                  <c:pt idx="5">
                    <c:v>650</c:v>
                  </c:pt>
                  <c:pt idx="6">
                    <c:v>669</c:v>
                  </c:pt>
                  <c:pt idx="7">
                    <c:v>670</c:v>
                  </c:pt>
                  <c:pt idx="8">
                    <c:v>713</c:v>
                  </c:pt>
                  <c:pt idx="9">
                    <c:v>789</c:v>
                  </c:pt>
                </c15:dlblRangeCache>
              </c15:datalabelsRange>
            </c:ext>
            <c:ext xmlns:c16="http://schemas.microsoft.com/office/drawing/2014/chart" uri="{C3380CC4-5D6E-409C-BE32-E72D297353CC}">
              <c16:uniqueId val="{0000000A-515E-4BF3-BCA0-E860A9BEEF57}"/>
            </c:ext>
          </c:extLst>
        </c:ser>
        <c:dLbls>
          <c:dLblPos val="outEnd"/>
          <c:showLegendKey val="0"/>
          <c:showVal val="1"/>
          <c:showCatName val="0"/>
          <c:showSerName val="0"/>
          <c:showPercent val="0"/>
          <c:showBubbleSize val="0"/>
        </c:dLbls>
        <c:gapWidth val="70"/>
        <c:axId val="478218488"/>
        <c:axId val="478222360"/>
      </c:barChart>
      <c:catAx>
        <c:axId val="478218488"/>
        <c:scaling>
          <c:orientation val="minMax"/>
        </c:scaling>
        <c:delete val="0"/>
        <c:axPos val="l"/>
        <c:title>
          <c:tx>
            <c:rich>
              <a:bodyPr rot="-5400000" spcFirstLastPara="1" vertOverflow="ellipsis" vert="horz" wrap="square" anchor="ctr" anchorCtr="1"/>
              <a:lstStyle/>
              <a:p>
                <a:pPr algn="ctr" rtl="0">
                  <a:defRPr lang="en-US" sz="1000" b="1" i="0" u="none" strike="noStrike" kern="1200" baseline="0">
                    <a:solidFill>
                      <a:schemeClr val="tx1">
                        <a:lumMod val="75000"/>
                        <a:lumOff val="25000"/>
                      </a:schemeClr>
                    </a:solidFill>
                    <a:latin typeface="+mn-lt"/>
                    <a:ea typeface="+mn-ea"/>
                    <a:cs typeface="+mn-cs"/>
                  </a:defRPr>
                </a:pPr>
                <a:r>
                  <a:rPr lang="en-US" sz="1000" b="1" i="0" u="none" strike="noStrike" kern="1200" baseline="0">
                    <a:solidFill>
                      <a:schemeClr val="tx1">
                        <a:lumMod val="75000"/>
                        <a:lumOff val="25000"/>
                      </a:schemeClr>
                    </a:solidFill>
                    <a:latin typeface="+mn-lt"/>
                    <a:ea typeface="+mn-ea"/>
                    <a:cs typeface="+mn-cs"/>
                  </a:rPr>
                  <a:t>Model</a:t>
                </a:r>
              </a:p>
            </c:rich>
          </c:tx>
          <c:overlay val="0"/>
          <c:spPr>
            <a:noFill/>
            <a:ln>
              <a:noFill/>
            </a:ln>
            <a:effectLst/>
          </c:spPr>
          <c:txPr>
            <a:bodyPr rot="-5400000" spcFirstLastPara="1" vertOverflow="ellipsis" vert="horz" wrap="square" anchor="ctr" anchorCtr="1"/>
            <a:lstStyle/>
            <a:p>
              <a:pPr algn="ctr" rtl="0">
                <a:defRPr lang="en-US" sz="100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78222360"/>
        <c:crosses val="autoZero"/>
        <c:auto val="1"/>
        <c:lblAlgn val="ctr"/>
        <c:lblOffset val="100"/>
        <c:noMultiLvlLbl val="0"/>
      </c:catAx>
      <c:valAx>
        <c:axId val="478222360"/>
        <c:scaling>
          <c:orientation val="minMax"/>
        </c:scaling>
        <c:delete val="1"/>
        <c:axPos val="b"/>
        <c:title>
          <c:tx>
            <c:rich>
              <a:bodyPr rot="0" spcFirstLastPara="1" vertOverflow="ellipsis" vert="horz" wrap="square" anchor="ctr" anchorCtr="1"/>
              <a:lstStyle/>
              <a:p>
                <a:pPr algn="ctr" rtl="0">
                  <a:defRPr lang="en-US" sz="1000" b="1" i="0" u="none" strike="noStrike" kern="1200" baseline="0">
                    <a:solidFill>
                      <a:schemeClr val="tx1">
                        <a:lumMod val="75000"/>
                        <a:lumOff val="25000"/>
                      </a:schemeClr>
                    </a:solidFill>
                    <a:latin typeface="+mn-lt"/>
                    <a:ea typeface="+mn-ea"/>
                    <a:cs typeface="+mn-cs"/>
                  </a:defRPr>
                </a:pPr>
                <a:r>
                  <a:rPr lang="en-US" sz="1000" b="1" i="0" u="none" strike="noStrike" kern="1200" baseline="0">
                    <a:solidFill>
                      <a:schemeClr val="tx1">
                        <a:lumMod val="75000"/>
                        <a:lumOff val="25000"/>
                      </a:schemeClr>
                    </a:solidFill>
                    <a:latin typeface="+mn-lt"/>
                    <a:ea typeface="+mn-ea"/>
                    <a:cs typeface="+mn-cs"/>
                  </a:rPr>
                  <a:t>Engine Power (BHP)</a:t>
                </a:r>
              </a:p>
            </c:rich>
          </c:tx>
          <c:layout>
            <c:manualLayout>
              <c:xMode val="edge"/>
              <c:yMode val="edge"/>
              <c:x val="0.67679886647996401"/>
              <c:y val="0.86762067425088341"/>
            </c:manualLayout>
          </c:layout>
          <c:overlay val="0"/>
          <c:spPr>
            <a:noFill/>
            <a:ln>
              <a:noFill/>
            </a:ln>
            <a:effectLst/>
          </c:spPr>
          <c:txPr>
            <a:bodyPr rot="0" spcFirstLastPara="1" vertOverflow="ellipsis" vert="horz" wrap="square" anchor="ctr" anchorCtr="1"/>
            <a:lstStyle/>
            <a:p>
              <a:pPr algn="ctr" rtl="0">
                <a:defRPr lang="en-US" sz="1000" b="1" i="0" u="none" strike="noStrike" kern="1200" baseline="0">
                  <a:solidFill>
                    <a:schemeClr val="tx1">
                      <a:lumMod val="75000"/>
                      <a:lumOff val="25000"/>
                    </a:schemeClr>
                  </a:solidFill>
                  <a:latin typeface="+mn-lt"/>
                  <a:ea typeface="+mn-ea"/>
                  <a:cs typeface="+mn-cs"/>
                </a:defRPr>
              </a:pPr>
              <a:endParaRPr lang="en-US"/>
            </a:p>
          </c:txPr>
        </c:title>
        <c:numFmt formatCode="0" sourceLinked="1"/>
        <c:majorTickMark val="none"/>
        <c:minorTickMark val="none"/>
        <c:tickLblPos val="nextTo"/>
        <c:crossAx val="478218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Car Dataset updated - Copy.xlsx]Analysis!Performance Category</c:name>
    <c:fmtId val="4"/>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dLbl>
          <c:idx val="0"/>
          <c:layout>
            <c:manualLayout>
              <c:x val="-5.6918959204173551E-2"/>
              <c:y val="2.9607754437255797E-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layout>
            <c:manualLayout>
              <c:x val="4.0160642570281027E-2"/>
              <c:y val="1.32013201320132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63500" sx="102000" sy="102000" algn="ctr" rotWithShape="0">
              <a:prstClr val="black">
                <a:alpha val="20000"/>
              </a:prstClr>
            </a:outerShdw>
          </a:effectLst>
        </c:spPr>
        <c:dLbl>
          <c:idx val="0"/>
          <c:layout>
            <c:manualLayout>
              <c:x val="2.1419009370816502E-2"/>
              <c:y val="8.800880088008800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63500" sx="102000" sy="102000" algn="ctr" rotWithShape="0">
              <a:prstClr val="black">
                <a:alpha val="20000"/>
              </a:prstClr>
            </a:outerShdw>
          </a:effectLst>
        </c:spPr>
        <c:dLbl>
          <c:idx val="0"/>
          <c:layout>
            <c:manualLayout>
              <c:x val="-1.606425702811244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4.0160642570281027E-2"/>
              <c:y val="1.32013201320132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2.1419009370816502E-2"/>
              <c:y val="8.800880088008800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1.606425702811244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5.6918959204173551E-2"/>
              <c:y val="2.9607754437255797E-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DCEFE5"/>
          </a:solidFill>
          <a:ln>
            <a:noFill/>
          </a:ln>
          <a:effectLst>
            <a:outerShdw blurRad="63500" sx="102000" sy="102000" algn="ctr" rotWithShape="0">
              <a:prstClr val="black">
                <a:alpha val="20000"/>
              </a:prstClr>
            </a:outerShdw>
          </a:effectLst>
        </c:spPr>
        <c:dLbl>
          <c:idx val="0"/>
          <c:layout>
            <c:manualLayout>
              <c:x val="4.0160642570281027E-2"/>
              <c:y val="1.320132013201320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2E8B57"/>
          </a:solidFill>
          <a:ln>
            <a:noFill/>
          </a:ln>
          <a:effectLst>
            <a:outerShdw blurRad="63500" sx="102000" sy="102000" algn="ctr" rotWithShape="0">
              <a:prstClr val="black">
                <a:alpha val="20000"/>
              </a:prstClr>
            </a:outerShdw>
          </a:effectLst>
        </c:spPr>
        <c:dLbl>
          <c:idx val="0"/>
          <c:layout>
            <c:manualLayout>
              <c:x val="7.3944610897100554E-2"/>
              <c:y val="5.264953296488530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7EBE97"/>
          </a:solidFill>
          <a:ln>
            <a:noFill/>
          </a:ln>
          <a:effectLst>
            <a:outerShdw blurRad="63500" sx="102000" sy="102000" algn="ctr" rotWithShape="0">
              <a:prstClr val="black">
                <a:alpha val="20000"/>
              </a:prstClr>
            </a:outerShdw>
          </a:effectLst>
        </c:spPr>
        <c:dLbl>
          <c:idx val="0"/>
          <c:layout>
            <c:manualLayout>
              <c:x val="2.1419009370816502E-2"/>
              <c:y val="8.800880088008800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1F6E45"/>
          </a:solidFill>
          <a:ln>
            <a:noFill/>
          </a:ln>
          <a:effectLst>
            <a:outerShdw blurRad="63500" sx="102000" sy="102000" algn="ctr" rotWithShape="0">
              <a:prstClr val="black">
                <a:alpha val="20000"/>
              </a:prstClr>
            </a:outerShdw>
          </a:effectLst>
        </c:spPr>
        <c:dLbl>
          <c:idx val="0"/>
          <c:layout>
            <c:manualLayout>
              <c:x val="-1.8741633199464525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B7DCC8"/>
          </a:solidFill>
          <a:ln>
            <a:noFill/>
          </a:ln>
          <a:effectLst>
            <a:outerShdw blurRad="63500" sx="102000" sy="102000" algn="ctr" rotWithShape="0">
              <a:prstClr val="black">
                <a:alpha val="20000"/>
              </a:prstClr>
            </a:outerShdw>
          </a:effectLst>
        </c:spPr>
        <c:dLbl>
          <c:idx val="0"/>
          <c:layout>
            <c:manualLayout>
              <c:x val="-1.606425702811244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2E3440"/>
          </a:solidFill>
          <a:ln>
            <a:noFill/>
          </a:ln>
          <a:effectLst>
            <a:outerShdw blurRad="63500" sx="102000" sy="102000" algn="ctr" rotWithShape="0">
              <a:prstClr val="black">
                <a:alpha val="20000"/>
              </a:prstClr>
            </a:outerShdw>
          </a:effectLst>
        </c:spPr>
        <c:dLbl>
          <c:idx val="0"/>
          <c:layout>
            <c:manualLayout>
              <c:x val="-5.6918959204173551E-2"/>
              <c:y val="2.9607754437255797E-1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0"/>
        <c:ser>
          <c:idx val="0"/>
          <c:order val="0"/>
          <c:tx>
            <c:strRef>
              <c:f>Analysis!$B$65</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dPt>
            <c:idx val="0"/>
            <c:bubble3D val="0"/>
            <c:spPr>
              <a:solidFill>
                <a:srgbClr val="DCEFE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EC3-4D34-95CB-94D1D133671A}"/>
              </c:ext>
            </c:extLst>
          </c:dPt>
          <c:dPt>
            <c:idx val="1"/>
            <c:bubble3D val="0"/>
            <c:spPr>
              <a:solidFill>
                <a:srgbClr val="2E8B57"/>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EC3-4D34-95CB-94D1D133671A}"/>
              </c:ext>
            </c:extLst>
          </c:dPt>
          <c:dPt>
            <c:idx val="2"/>
            <c:bubble3D val="0"/>
            <c:spPr>
              <a:solidFill>
                <a:srgbClr val="7EBE97"/>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EC3-4D34-95CB-94D1D133671A}"/>
              </c:ext>
            </c:extLst>
          </c:dPt>
          <c:dPt>
            <c:idx val="3"/>
            <c:bubble3D val="0"/>
            <c:spPr>
              <a:solidFill>
                <a:srgbClr val="1F6E4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EC3-4D34-95CB-94D1D133671A}"/>
              </c:ext>
            </c:extLst>
          </c:dPt>
          <c:dPt>
            <c:idx val="4"/>
            <c:bubble3D val="0"/>
            <c:spPr>
              <a:solidFill>
                <a:srgbClr val="B7DCC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EC3-4D34-95CB-94D1D133671A}"/>
              </c:ext>
            </c:extLst>
          </c:dPt>
          <c:dPt>
            <c:idx val="5"/>
            <c:bubble3D val="0"/>
            <c:spPr>
              <a:solidFill>
                <a:srgbClr val="2E344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EC3-4D34-95CB-94D1D133671A}"/>
              </c:ext>
            </c:extLst>
          </c:dPt>
          <c:dLbls>
            <c:dLbl>
              <c:idx val="0"/>
              <c:layout>
                <c:manualLayout>
                  <c:x val="4.0160642570281027E-2"/>
                  <c:y val="1.32013201320132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C3-4D34-95CB-94D1D133671A}"/>
                </c:ext>
              </c:extLst>
            </c:dLbl>
            <c:dLbl>
              <c:idx val="1"/>
              <c:layout>
                <c:manualLayout>
                  <c:x val="7.3944610897100554E-2"/>
                  <c:y val="5.26495329648853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C3-4D34-95CB-94D1D133671A}"/>
                </c:ext>
              </c:extLst>
            </c:dLbl>
            <c:dLbl>
              <c:idx val="2"/>
              <c:layout>
                <c:manualLayout>
                  <c:x val="2.1419009370816502E-2"/>
                  <c:y val="8.800880088008800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C3-4D34-95CB-94D1D133671A}"/>
                </c:ext>
              </c:extLst>
            </c:dLbl>
            <c:dLbl>
              <c:idx val="3"/>
              <c:layout>
                <c:manualLayout>
                  <c:x val="-1.874163319946452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EC3-4D34-95CB-94D1D133671A}"/>
                </c:ext>
              </c:extLst>
            </c:dLbl>
            <c:dLbl>
              <c:idx val="4"/>
              <c:layout>
                <c:manualLayout>
                  <c:x val="-1.6064257028112448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EC3-4D34-95CB-94D1D133671A}"/>
                </c:ext>
              </c:extLst>
            </c:dLbl>
            <c:dLbl>
              <c:idx val="5"/>
              <c:layout>
                <c:manualLayout>
                  <c:x val="-5.6918959204173551E-2"/>
                  <c:y val="2.9607754437255797E-1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EC3-4D34-95CB-94D1D133671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Analysis!$A$66:$A$72</c:f>
              <c:strCache>
                <c:ptCount val="6"/>
                <c:pt idx="0">
                  <c:v>Economy</c:v>
                </c:pt>
                <c:pt idx="1">
                  <c:v>High Performance</c:v>
                </c:pt>
                <c:pt idx="2">
                  <c:v>Powerful</c:v>
                </c:pt>
                <c:pt idx="3">
                  <c:v>Sports Performance</c:v>
                </c:pt>
                <c:pt idx="4">
                  <c:v>Standard</c:v>
                </c:pt>
                <c:pt idx="5">
                  <c:v>Super Performance</c:v>
                </c:pt>
              </c:strCache>
            </c:strRef>
          </c:cat>
          <c:val>
            <c:numRef>
              <c:f>Analysis!$B$66:$B$72</c:f>
              <c:numCache>
                <c:formatCode>0.00%</c:formatCode>
                <c:ptCount val="6"/>
                <c:pt idx="0">
                  <c:v>8.7747035573122537E-2</c:v>
                </c:pt>
                <c:pt idx="1">
                  <c:v>0.14545454545454545</c:v>
                </c:pt>
                <c:pt idx="2">
                  <c:v>0.30592885375494072</c:v>
                </c:pt>
                <c:pt idx="3">
                  <c:v>9.9604743083003947E-2</c:v>
                </c:pt>
                <c:pt idx="4">
                  <c:v>0.35256916996047433</c:v>
                </c:pt>
                <c:pt idx="5">
                  <c:v>8.6956521739130436E-3</c:v>
                </c:pt>
              </c:numCache>
            </c:numRef>
          </c:val>
          <c:extLst>
            <c:ext xmlns:c16="http://schemas.microsoft.com/office/drawing/2014/chart" uri="{C3380CC4-5D6E-409C-BE32-E72D297353CC}">
              <c16:uniqueId val="{0000000C-6EC3-4D34-95CB-94D1D133671A}"/>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300" b="0" i="0" u="none" strike="noStrike" kern="1200" spc="0" baseline="0">
                <a:solidFill>
                  <a:srgbClr val="2E3440"/>
                </a:solidFill>
                <a:latin typeface="Aptos SemiBold" panose="020B0004020202020204" pitchFamily="34" charset="0"/>
                <a:ea typeface="+mn-ea"/>
                <a:cs typeface="+mn-cs"/>
              </a:defRPr>
            </a:pPr>
            <a:r>
              <a:rPr lang="en-US" sz="1400" b="1" i="0" u="none" strike="noStrike" kern="1200" spc="0" baseline="0">
                <a:solidFill>
                  <a:srgbClr val="2E3440"/>
                </a:solidFill>
                <a:latin typeface="+mn-lt"/>
                <a:ea typeface="+mn-ea"/>
                <a:cs typeface="+mn-cs"/>
              </a:rPr>
              <a:t>Price vs Engine Power</a:t>
            </a:r>
          </a:p>
        </c:rich>
      </c:tx>
      <c:layout>
        <c:manualLayout>
          <c:xMode val="edge"/>
          <c:yMode val="edge"/>
          <c:x val="1.3969803899572676E-2"/>
          <c:y val="1.592676929245922E-2"/>
        </c:manualLayout>
      </c:layout>
      <c:overlay val="0"/>
      <c:spPr>
        <a:noFill/>
        <a:ln>
          <a:noFill/>
        </a:ln>
        <a:effectLst/>
      </c:spPr>
      <c:txPr>
        <a:bodyPr rot="0" spcFirstLastPara="1" vertOverflow="ellipsis" vert="horz" wrap="square" anchor="ctr" anchorCtr="1"/>
        <a:lstStyle/>
        <a:p>
          <a:pPr algn="ctr" rtl="0">
            <a:defRPr lang="en-US" sz="1300" b="0" i="0" u="none" strike="noStrike" kern="1200" spc="0" baseline="0">
              <a:solidFill>
                <a:srgbClr val="2E3440"/>
              </a:solidFill>
              <a:latin typeface="Aptos SemiBold" panose="020B0004020202020204" pitchFamily="34" charset="0"/>
              <a:ea typeface="+mn-ea"/>
              <a:cs typeface="+mn-cs"/>
            </a:defRPr>
          </a:pPr>
          <a:endParaRPr lang="en-US"/>
        </a:p>
      </c:txPr>
    </c:title>
    <c:autoTitleDeleted val="0"/>
    <c:plotArea>
      <c:layout>
        <c:manualLayout>
          <c:layoutTarget val="inner"/>
          <c:xMode val="edge"/>
          <c:yMode val="edge"/>
          <c:x val="9.8101705826259933E-2"/>
          <c:y val="0.13238180953248854"/>
          <c:w val="0.85688369955048593"/>
          <c:h val="0.81952392736721624"/>
        </c:manualLayout>
      </c:layout>
      <c:scatterChart>
        <c:scatterStyle val="lineMarker"/>
        <c:varyColors val="0"/>
        <c:ser>
          <c:idx val="0"/>
          <c:order val="0"/>
          <c:spPr>
            <a:ln w="25400" cap="rnd">
              <a:noFill/>
              <a:round/>
            </a:ln>
            <a:effectLst/>
          </c:spPr>
          <c:marker>
            <c:symbol val="circle"/>
            <c:size val="5"/>
            <c:spPr>
              <a:solidFill>
                <a:srgbClr val="2E8B57"/>
              </a:solidFill>
              <a:ln w="9525">
                <a:solidFill>
                  <a:schemeClr val="accent1"/>
                </a:solidFill>
              </a:ln>
              <a:effectLst/>
            </c:spPr>
          </c:marker>
          <c:dLbls>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2-EA26-4048-B8DF-954239365E31}"/>
                </c:ext>
              </c:extLst>
            </c:dLbl>
            <c:dLbl>
              <c:idx val="1"/>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Audi</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A26-4048-B8DF-954239365E31}"/>
                </c:ext>
              </c:extLst>
            </c:dLbl>
            <c:dLbl>
              <c:idx val="2"/>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Bajaj</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A26-4048-B8DF-954239365E31}"/>
                </c:ext>
              </c:extLst>
            </c:dLbl>
            <c:dLbl>
              <c:idx val="3"/>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Bentley</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A26-4048-B8DF-954239365E31}"/>
                </c:ext>
              </c:extLst>
            </c:dLbl>
            <c:dLbl>
              <c:idx val="4"/>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BMW</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A26-4048-B8DF-954239365E31}"/>
                </c:ext>
              </c:extLst>
            </c:dLbl>
            <c:dLbl>
              <c:idx val="5"/>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7-EA26-4048-B8DF-954239365E31}"/>
                </c:ext>
              </c:extLst>
            </c:dLbl>
            <c:dLbl>
              <c:idx val="6"/>
              <c:layout>
                <c:manualLayout>
                  <c:x val="-5.9705873019577527E-2"/>
                  <c:y val="-1.563670829314371E-2"/>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Dc</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A26-4048-B8DF-954239365E31}"/>
                </c:ext>
              </c:extLst>
            </c:dLbl>
            <c:dLbl>
              <c:idx val="7"/>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Ferrari</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A26-4048-B8DF-954239365E31}"/>
                </c:ext>
              </c:extLst>
            </c:dLbl>
            <c:dLbl>
              <c:idx val="8"/>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A-EA26-4048-B8DF-954239365E31}"/>
                </c:ext>
              </c:extLst>
            </c:dLbl>
            <c:dLbl>
              <c:idx val="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B-EA26-4048-B8DF-954239365E31}"/>
                </c:ext>
              </c:extLst>
            </c:dLbl>
            <c:dLbl>
              <c:idx val="1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C-EA26-4048-B8DF-954239365E31}"/>
                </c:ext>
              </c:extLst>
            </c:dLbl>
            <c:dLbl>
              <c:idx val="1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D-EA26-4048-B8DF-954239365E31}"/>
                </c:ext>
              </c:extLst>
            </c:dLbl>
            <c:dLbl>
              <c:idx val="12"/>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Hyundai</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A26-4048-B8DF-954239365E31}"/>
                </c:ext>
              </c:extLst>
            </c:dLbl>
            <c:dLbl>
              <c:idx val="1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0F-EA26-4048-B8DF-954239365E31}"/>
                </c:ext>
              </c:extLst>
            </c:dLbl>
            <c:dLbl>
              <c:idx val="14"/>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0-EA26-4048-B8DF-954239365E31}"/>
                </c:ext>
              </c:extLst>
            </c:dLbl>
            <c:dLbl>
              <c:idx val="15"/>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Jaguar</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A26-4048-B8DF-954239365E31}"/>
                </c:ext>
              </c:extLst>
            </c:dLbl>
            <c:dLbl>
              <c:idx val="16"/>
              <c:layout>
                <c:manualLayout>
                  <c:x val="-5.544116780389341E-2"/>
                  <c:y val="-3.127341658628742E-2"/>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Jeep</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A26-4048-B8DF-954239365E31}"/>
                </c:ext>
              </c:extLst>
            </c:dLbl>
            <c:dLbl>
              <c:idx val="17"/>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3-EA26-4048-B8DF-954239365E31}"/>
                </c:ext>
              </c:extLst>
            </c:dLbl>
            <c:dLbl>
              <c:idx val="18"/>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Lamborghini</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A26-4048-B8DF-954239365E31}"/>
                </c:ext>
              </c:extLst>
            </c:dLbl>
            <c:dLbl>
              <c:idx val="1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5-EA26-4048-B8DF-954239365E31}"/>
                </c:ext>
              </c:extLst>
            </c:dLbl>
            <c:dLbl>
              <c:idx val="2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6-EA26-4048-B8DF-954239365E31}"/>
                </c:ext>
              </c:extLst>
            </c:dLbl>
            <c:dLbl>
              <c:idx val="2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7-EA26-4048-B8DF-954239365E31}"/>
                </c:ext>
              </c:extLst>
            </c:dLbl>
            <c:dLbl>
              <c:idx val="2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8-EA26-4048-B8DF-954239365E31}"/>
                </c:ext>
              </c:extLst>
            </c:dLbl>
            <c:dLbl>
              <c:idx val="2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9-EA26-4048-B8DF-954239365E31}"/>
                </c:ext>
              </c:extLst>
            </c:dLbl>
            <c:dLbl>
              <c:idx val="24"/>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A-EA26-4048-B8DF-954239365E31}"/>
                </c:ext>
              </c:extLst>
            </c:dLbl>
            <c:dLbl>
              <c:idx val="25"/>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Maserati</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A26-4048-B8DF-954239365E31}"/>
                </c:ext>
              </c:extLst>
            </c:dLbl>
            <c:dLbl>
              <c:idx val="26"/>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Mercedes-Benz</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A26-4048-B8DF-954239365E31}"/>
                </c:ext>
              </c:extLst>
            </c:dLbl>
            <c:dLbl>
              <c:idx val="27"/>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D-EA26-4048-B8DF-954239365E31}"/>
                </c:ext>
              </c:extLst>
            </c:dLbl>
            <c:dLbl>
              <c:idx val="28"/>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E-EA26-4048-B8DF-954239365E31}"/>
                </c:ext>
              </c:extLst>
            </c:dLbl>
            <c:dLbl>
              <c:idx val="2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1F-EA26-4048-B8DF-954239365E31}"/>
                </c:ext>
              </c:extLst>
            </c:dLbl>
            <c:dLbl>
              <c:idx val="3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0-EA26-4048-B8DF-954239365E31}"/>
                </c:ext>
              </c:extLst>
            </c:dLbl>
            <c:dLbl>
              <c:idx val="31"/>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Porsche</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A26-4048-B8DF-954239365E31}"/>
                </c:ext>
              </c:extLst>
            </c:dLbl>
            <c:dLbl>
              <c:idx val="3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2-EA26-4048-B8DF-954239365E31}"/>
                </c:ext>
              </c:extLst>
            </c:dLbl>
            <c:dLbl>
              <c:idx val="3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3-EA26-4048-B8DF-954239365E31}"/>
                </c:ext>
              </c:extLst>
            </c:dLbl>
            <c:dLbl>
              <c:idx val="34"/>
              <c:tx>
                <c:rich>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r>
                      <a:rPr lang="en-US" sz="1100">
                        <a:latin typeface="Amasis MT Pro" panose="020F0502020204030204" pitchFamily="18" charset="0"/>
                      </a:rPr>
                      <a:t>Skoda</a:t>
                    </a: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A26-4048-B8DF-954239365E31}"/>
                </c:ext>
              </c:extLst>
            </c:dLbl>
            <c:dLbl>
              <c:idx val="35"/>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5-EA26-4048-B8DF-954239365E31}"/>
                </c:ext>
              </c:extLst>
            </c:dLbl>
            <c:dLbl>
              <c:idx val="36"/>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6-EA26-4048-B8DF-954239365E31}"/>
                </c:ext>
              </c:extLst>
            </c:dLbl>
            <c:dLbl>
              <c:idx val="37"/>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7-EA26-4048-B8DF-954239365E31}"/>
                </c:ext>
              </c:extLst>
            </c:dLbl>
            <c:dLbl>
              <c:idx val="38"/>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8-EA26-4048-B8DF-954239365E31}"/>
                </c:ext>
              </c:extLst>
            </c:dLbl>
            <c:dLbl>
              <c:idx val="39"/>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44444"/>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6="http://schemas.microsoft.com/office/drawing/2014/chart" uri="{C3380CC4-5D6E-409C-BE32-E72D297353CC}">
                  <c16:uniqueId val="{00000029-EA26-4048-B8DF-954239365E3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333333"/>
                    </a:solidFill>
                    <a:latin typeface="Amasis MT Pro" panose="020F0502020204030204" pitchFamily="18" charset="0"/>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xVal>
            <c:numRef>
              <c:f>Analysis!$F$101:$F$140</c:f>
              <c:numCache>
                <c:formatCode>"₹"\ 0.0,,"L"</c:formatCode>
                <c:ptCount val="40"/>
                <c:pt idx="0">
                  <c:v>36267442</c:v>
                </c:pt>
                <c:pt idx="1">
                  <c:v>7240430.6451612907</c:v>
                </c:pt>
                <c:pt idx="2">
                  <c:v>273000</c:v>
                </c:pt>
                <c:pt idx="3">
                  <c:v>40565854.333333336</c:v>
                </c:pt>
                <c:pt idx="4">
                  <c:v>8256216.2162162159</c:v>
                </c:pt>
                <c:pt idx="5">
                  <c:v>450907.66666666669</c:v>
                </c:pt>
                <c:pt idx="6">
                  <c:v>3407407</c:v>
                </c:pt>
                <c:pt idx="7">
                  <c:v>42872495.625</c:v>
                </c:pt>
                <c:pt idx="8">
                  <c:v>779556.34782608692</c:v>
                </c:pt>
                <c:pt idx="9">
                  <c:v>1150500</c:v>
                </c:pt>
                <c:pt idx="10">
                  <c:v>1123853.8139534884</c:v>
                </c:pt>
                <c:pt idx="11">
                  <c:v>1206136.5625</c:v>
                </c:pt>
                <c:pt idx="12">
                  <c:v>987476.5461538462</c:v>
                </c:pt>
                <c:pt idx="13">
                  <c:v>970082.90909090906</c:v>
                </c:pt>
                <c:pt idx="14">
                  <c:v>2225392.7999999998</c:v>
                </c:pt>
                <c:pt idx="15">
                  <c:v>10464503.045454545</c:v>
                </c:pt>
                <c:pt idx="16">
                  <c:v>3203428.0714285714</c:v>
                </c:pt>
                <c:pt idx="17">
                  <c:v>1701142.857142857</c:v>
                </c:pt>
                <c:pt idx="18">
                  <c:v>39053919.230769232</c:v>
                </c:pt>
                <c:pt idx="19">
                  <c:v>8457079.8000000007</c:v>
                </c:pt>
                <c:pt idx="20">
                  <c:v>16456465.740740741</c:v>
                </c:pt>
                <c:pt idx="21">
                  <c:v>15015300</c:v>
                </c:pt>
                <c:pt idx="22">
                  <c:v>1059604.3</c:v>
                </c:pt>
                <c:pt idx="23">
                  <c:v>688808.36241610744</c:v>
                </c:pt>
                <c:pt idx="24">
                  <c:v>515128.71428571426</c:v>
                </c:pt>
                <c:pt idx="25">
                  <c:v>15696889.888888888</c:v>
                </c:pt>
                <c:pt idx="26">
                  <c:v>15408224.720000001</c:v>
                </c:pt>
                <c:pt idx="27">
                  <c:v>1610307.6923076923</c:v>
                </c:pt>
                <c:pt idx="28">
                  <c:v>3792000</c:v>
                </c:pt>
                <c:pt idx="29">
                  <c:v>3456192.8571428573</c:v>
                </c:pt>
                <c:pt idx="30">
                  <c:v>1695369.1724137932</c:v>
                </c:pt>
                <c:pt idx="31">
                  <c:v>15346000</c:v>
                </c:pt>
                <c:pt idx="32">
                  <c:v>637603.83333333337</c:v>
                </c:pt>
                <c:pt idx="33">
                  <c:v>801107.75</c:v>
                </c:pt>
                <c:pt idx="34">
                  <c:v>1973879.465116279</c:v>
                </c:pt>
                <c:pt idx="35">
                  <c:v>937114.57</c:v>
                </c:pt>
                <c:pt idx="36">
                  <c:v>1653056.0975609757</c:v>
                </c:pt>
                <c:pt idx="37">
                  <c:v>1321923.5294117648</c:v>
                </c:pt>
                <c:pt idx="38">
                  <c:v>5834750</c:v>
                </c:pt>
              </c:numCache>
            </c:numRef>
          </c:xVal>
          <c:yVal>
            <c:numRef>
              <c:f>Analysis!$G$101:$G$140</c:f>
              <c:numCache>
                <c:formatCode>0.0</c:formatCode>
                <c:ptCount val="40"/>
                <c:pt idx="0">
                  <c:v>557.66666666666663</c:v>
                </c:pt>
                <c:pt idx="1">
                  <c:v>244.12903225806451</c:v>
                </c:pt>
                <c:pt idx="2">
                  <c:v>12.5</c:v>
                </c:pt>
                <c:pt idx="3">
                  <c:v>563.83333333333337</c:v>
                </c:pt>
                <c:pt idx="4">
                  <c:v>277.94594594594594</c:v>
                </c:pt>
                <c:pt idx="5">
                  <c:v>65.599999999999994</c:v>
                </c:pt>
                <c:pt idx="6">
                  <c:v>250</c:v>
                </c:pt>
                <c:pt idx="7">
                  <c:v>656.75</c:v>
                </c:pt>
                <c:pt idx="8">
                  <c:v>94.521739130434781</c:v>
                </c:pt>
                <c:pt idx="9">
                  <c:v>103.33333333333333</c:v>
                </c:pt>
                <c:pt idx="10">
                  <c:v>114.02325581395348</c:v>
                </c:pt>
                <c:pt idx="11">
                  <c:v>104.375</c:v>
                </c:pt>
                <c:pt idx="12">
                  <c:v>99.390769230769223</c:v>
                </c:pt>
                <c:pt idx="13">
                  <c:v>116.38181818181816</c:v>
                </c:pt>
                <c:pt idx="14">
                  <c:v>154.4</c:v>
                </c:pt>
                <c:pt idx="15">
                  <c:v>297.18181818181819</c:v>
                </c:pt>
                <c:pt idx="16">
                  <c:v>193.03571428571428</c:v>
                </c:pt>
                <c:pt idx="17">
                  <c:v>139.95238095238096</c:v>
                </c:pt>
                <c:pt idx="18">
                  <c:v>636.46153846153845</c:v>
                </c:pt>
                <c:pt idx="19">
                  <c:v>296.60000000000002</c:v>
                </c:pt>
                <c:pt idx="20">
                  <c:v>326.66666666666669</c:v>
                </c:pt>
                <c:pt idx="21">
                  <c:v>266.3</c:v>
                </c:pt>
                <c:pt idx="22">
                  <c:v>100.86818181818182</c:v>
                </c:pt>
                <c:pt idx="23">
                  <c:v>78.265100671140971</c:v>
                </c:pt>
                <c:pt idx="24">
                  <c:v>74.428571428571431</c:v>
                </c:pt>
                <c:pt idx="25">
                  <c:v>340.55555555555554</c:v>
                </c:pt>
                <c:pt idx="26">
                  <c:v>286.66399999999999</c:v>
                </c:pt>
                <c:pt idx="27">
                  <c:v>149.57846153846154</c:v>
                </c:pt>
                <c:pt idx="28">
                  <c:v>180.5</c:v>
                </c:pt>
                <c:pt idx="29">
                  <c:v>179.85714285714286</c:v>
                </c:pt>
                <c:pt idx="30">
                  <c:v>108.62068965517241</c:v>
                </c:pt>
                <c:pt idx="31">
                  <c:v>418.71428571428572</c:v>
                </c:pt>
                <c:pt idx="32">
                  <c:v>69.533333333333346</c:v>
                </c:pt>
                <c:pt idx="33">
                  <c:v>84.805555555555557</c:v>
                </c:pt>
                <c:pt idx="34">
                  <c:v>139.74418604651163</c:v>
                </c:pt>
                <c:pt idx="35">
                  <c:v>99.156565656565661</c:v>
                </c:pt>
                <c:pt idx="36">
                  <c:v>114.49756097560974</c:v>
                </c:pt>
                <c:pt idx="37">
                  <c:v>110.52941176470588</c:v>
                </c:pt>
                <c:pt idx="38">
                  <c:v>222.94444444444446</c:v>
                </c:pt>
              </c:numCache>
            </c:numRef>
          </c:yVal>
          <c:smooth val="0"/>
          <c:extLst>
            <c:ext xmlns:c16="http://schemas.microsoft.com/office/drawing/2014/chart" uri="{C3380CC4-5D6E-409C-BE32-E72D297353CC}">
              <c16:uniqueId val="{00000000-B682-4AE3-8EC8-F77FC3DEA70C}"/>
            </c:ext>
          </c:extLst>
        </c:ser>
        <c:dLbls>
          <c:showLegendKey val="0"/>
          <c:showVal val="0"/>
          <c:showCatName val="0"/>
          <c:showSerName val="0"/>
          <c:showPercent val="0"/>
          <c:showBubbleSize val="0"/>
        </c:dLbls>
        <c:axId val="669272888"/>
        <c:axId val="669271128"/>
      </c:scatterChart>
      <c:scatterChart>
        <c:scatterStyle val="lineMarker"/>
        <c:varyColors val="0"/>
        <c:ser>
          <c:idx val="1"/>
          <c:order val="1"/>
          <c:tx>
            <c:v>Avg Price Line</c:v>
          </c:tx>
          <c:spPr>
            <a:ln w="19050" cap="rnd">
              <a:solidFill>
                <a:srgbClr val="B0B8C5"/>
              </a:solidFill>
              <a:prstDash val="lgDash"/>
              <a:round/>
            </a:ln>
            <a:effectLst/>
          </c:spPr>
          <c:marker>
            <c:symbol val="none"/>
          </c:marker>
          <c:xVal>
            <c:numRef>
              <c:f>Analysis!$I$146:$I$147</c:f>
              <c:numCache>
                <c:formatCode>General</c:formatCode>
                <c:ptCount val="2"/>
                <c:pt idx="0">
                  <c:v>4305027.0023715412</c:v>
                </c:pt>
                <c:pt idx="1">
                  <c:v>4305027.0023715412</c:v>
                </c:pt>
              </c:numCache>
            </c:numRef>
          </c:xVal>
          <c:yVal>
            <c:numRef>
              <c:f>Analysis!$J$146:$J$147</c:f>
              <c:numCache>
                <c:formatCode>General</c:formatCode>
                <c:ptCount val="2"/>
                <c:pt idx="0">
                  <c:v>0</c:v>
                </c:pt>
                <c:pt idx="1">
                  <c:v>700</c:v>
                </c:pt>
              </c:numCache>
            </c:numRef>
          </c:yVal>
          <c:smooth val="0"/>
          <c:extLst>
            <c:ext xmlns:c16="http://schemas.microsoft.com/office/drawing/2014/chart" uri="{C3380CC4-5D6E-409C-BE32-E72D297353CC}">
              <c16:uniqueId val="{00000000-EA26-4048-B8DF-954239365E31}"/>
            </c:ext>
          </c:extLst>
        </c:ser>
        <c:ser>
          <c:idx val="2"/>
          <c:order val="2"/>
          <c:tx>
            <c:v>Avg Power Line</c:v>
          </c:tx>
          <c:spPr>
            <a:ln w="19050" cap="rnd">
              <a:solidFill>
                <a:srgbClr val="B0B8C5"/>
              </a:solidFill>
              <a:prstDash val="lgDash"/>
              <a:round/>
            </a:ln>
            <a:effectLst/>
          </c:spPr>
          <c:marker>
            <c:symbol val="none"/>
          </c:marker>
          <c:xVal>
            <c:numRef>
              <c:f>Analysis!$K$146:$K$147</c:f>
              <c:numCache>
                <c:formatCode>General</c:formatCode>
                <c:ptCount val="2"/>
                <c:pt idx="0">
                  <c:v>0</c:v>
                </c:pt>
                <c:pt idx="1">
                  <c:v>50000000</c:v>
                </c:pt>
              </c:numCache>
            </c:numRef>
          </c:xVal>
          <c:yVal>
            <c:numRef>
              <c:f>Analysis!$L$146:$L$147</c:f>
              <c:numCache>
                <c:formatCode>General</c:formatCode>
                <c:ptCount val="2"/>
                <c:pt idx="0">
                  <c:v>154.44289556962025</c:v>
                </c:pt>
                <c:pt idx="1">
                  <c:v>154.44289556962025</c:v>
                </c:pt>
              </c:numCache>
            </c:numRef>
          </c:yVal>
          <c:smooth val="0"/>
          <c:extLst>
            <c:ext xmlns:c16="http://schemas.microsoft.com/office/drawing/2014/chart" uri="{C3380CC4-5D6E-409C-BE32-E72D297353CC}">
              <c16:uniqueId val="{00000001-EA26-4048-B8DF-954239365E31}"/>
            </c:ext>
          </c:extLst>
        </c:ser>
        <c:dLbls>
          <c:showLegendKey val="0"/>
          <c:showVal val="0"/>
          <c:showCatName val="0"/>
          <c:showSerName val="0"/>
          <c:showPercent val="0"/>
          <c:showBubbleSize val="0"/>
        </c:dLbls>
        <c:axId val="720836984"/>
        <c:axId val="720829240"/>
      </c:scatterChart>
      <c:valAx>
        <c:axId val="669272888"/>
        <c:scaling>
          <c:orientation val="minMax"/>
        </c:scaling>
        <c:delete val="0"/>
        <c:axPos val="b"/>
        <c:majorGridlines>
          <c:spPr>
            <a:ln w="9525" cap="flat" cmpd="sng" algn="ctr">
              <a:solidFill>
                <a:schemeClr val="bg1">
                  <a:lumMod val="95000"/>
                </a:schemeClr>
              </a:solidFill>
              <a:prstDash val="sysDash"/>
              <a:round/>
            </a:ln>
            <a:effectLst/>
          </c:spPr>
        </c:majorGridlines>
        <c:numFmt formatCode="&quot;₹&quot;\ 0.0,,&quot;L&quot;" sourceLinked="1"/>
        <c:majorTickMark val="none"/>
        <c:minorTickMark val="none"/>
        <c:tickLblPos val="nextTo"/>
        <c:spPr>
          <a:noFill/>
          <a:ln w="6350" cap="flat" cmpd="sng" algn="ctr">
            <a:solidFill>
              <a:schemeClr val="bg1">
                <a:lumMod val="65000"/>
              </a:schemeClr>
            </a:solidFill>
            <a:prstDash val="sysDot"/>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69271128"/>
        <c:crosses val="autoZero"/>
        <c:crossBetween val="midCat"/>
      </c:valAx>
      <c:valAx>
        <c:axId val="669271128"/>
        <c:scaling>
          <c:orientation val="minMax"/>
        </c:scaling>
        <c:delete val="0"/>
        <c:axPos val="l"/>
        <c:majorGridlines>
          <c:spPr>
            <a:ln w="9525" cap="flat" cmpd="sng" algn="ctr">
              <a:solidFill>
                <a:schemeClr val="bg1">
                  <a:lumMod val="95000"/>
                </a:schemeClr>
              </a:solidFill>
              <a:prstDash val="sysDash"/>
              <a:round/>
            </a:ln>
            <a:effectLst/>
          </c:spPr>
        </c:majorGridlines>
        <c:numFmt formatCode="0.0" sourceLinked="1"/>
        <c:majorTickMark val="none"/>
        <c:minorTickMark val="none"/>
        <c:tickLblPos val="nextTo"/>
        <c:spPr>
          <a:noFill/>
          <a:ln w="6350" cap="flat" cmpd="sng" algn="ctr">
            <a:solidFill>
              <a:schemeClr val="bg1">
                <a:lumMod val="65000"/>
              </a:schemeClr>
            </a:solidFill>
            <a:prstDash val="sysDot"/>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69272888"/>
        <c:crosses val="autoZero"/>
        <c:crossBetween val="midCat"/>
      </c:valAx>
      <c:valAx>
        <c:axId val="720829240"/>
        <c:scaling>
          <c:orientation val="minMax"/>
        </c:scaling>
        <c:delete val="1"/>
        <c:axPos val="r"/>
        <c:numFmt formatCode="General" sourceLinked="1"/>
        <c:majorTickMark val="out"/>
        <c:minorTickMark val="none"/>
        <c:tickLblPos val="nextTo"/>
        <c:crossAx val="720836984"/>
        <c:crosses val="max"/>
        <c:crossBetween val="midCat"/>
      </c:valAx>
      <c:valAx>
        <c:axId val="720836984"/>
        <c:scaling>
          <c:orientation val="minMax"/>
        </c:scaling>
        <c:delete val="1"/>
        <c:axPos val="b"/>
        <c:numFmt formatCode="General" sourceLinked="1"/>
        <c:majorTickMark val="out"/>
        <c:minorTickMark val="none"/>
        <c:tickLblPos val="nextTo"/>
        <c:crossAx val="720829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17" Type="http://schemas.openxmlformats.org/officeDocument/2006/relationships/image" Target="../media/image10.png"/><Relationship Id="rId2" Type="http://schemas.openxmlformats.org/officeDocument/2006/relationships/image" Target="../media/image2.svg"/><Relationship Id="rId16" Type="http://schemas.openxmlformats.org/officeDocument/2006/relationships/hyperlink" Target="#Analysis!A1"/><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hyperlink" Target="#car_dataset!A1"/><Relationship Id="rId10" Type="http://schemas.openxmlformats.org/officeDocument/2006/relationships/image" Target="../media/image9.emf"/><Relationship Id="rId19" Type="http://schemas.openxmlformats.org/officeDocument/2006/relationships/image" Target="../media/image12.png"/><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476250</xdr:colOff>
      <xdr:row>1</xdr:row>
      <xdr:rowOff>38100</xdr:rowOff>
    </xdr:from>
    <xdr:to>
      <xdr:col>17</xdr:col>
      <xdr:colOff>114300</xdr:colOff>
      <xdr:row>2</xdr:row>
      <xdr:rowOff>161925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6EF2C58-3C52-5FA6-0A62-2CC4D867BD11}"/>
            </a:ext>
          </a:extLst>
        </xdr:cNvPr>
        <xdr:cNvSpPr/>
      </xdr:nvSpPr>
      <xdr:spPr>
        <a:xfrm>
          <a:off x="16906875" y="228600"/>
          <a:ext cx="1466850" cy="314325"/>
        </a:xfrm>
        <a:prstGeom prst="roundRect">
          <a:avLst/>
        </a:prstGeom>
        <a:solidFill>
          <a:srgbClr val="7EBE9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Aptos SemiBold" panose="020B00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476250</xdr:colOff>
      <xdr:row>119</xdr:row>
      <xdr:rowOff>95250</xdr:rowOff>
    </xdr:from>
    <xdr:to>
      <xdr:col>10</xdr:col>
      <xdr:colOff>1343025</xdr:colOff>
      <xdr:row>134</xdr:row>
      <xdr:rowOff>171450</xdr:rowOff>
    </xdr:to>
    <xdr:graphicFrame macro="">
      <xdr:nvGraphicFramePr>
        <xdr:cNvPr id="5" name="Chart 4">
          <a:extLst>
            <a:ext uri="{FF2B5EF4-FFF2-40B4-BE49-F238E27FC236}">
              <a16:creationId xmlns:a16="http://schemas.microsoft.com/office/drawing/2014/main" id="{BA746861-CC40-FE16-3598-3F258D8BA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133350</xdr:colOff>
      <xdr:row>59</xdr:row>
      <xdr:rowOff>123825</xdr:rowOff>
    </xdr:from>
    <xdr:to>
      <xdr:col>8</xdr:col>
      <xdr:colOff>962025</xdr:colOff>
      <xdr:row>73</xdr:row>
      <xdr:rowOff>85725</xdr:rowOff>
    </xdr:to>
    <mc:AlternateContent xmlns:mc="http://schemas.openxmlformats.org/markup-compatibility/2006" xmlns:a14="http://schemas.microsoft.com/office/drawing/2010/main">
      <mc:Choice Requires="a14">
        <xdr:graphicFrame macro="">
          <xdr:nvGraphicFramePr>
            <xdr:cNvPr id="8" name="Make">
              <a:extLst>
                <a:ext uri="{FF2B5EF4-FFF2-40B4-BE49-F238E27FC236}">
                  <a16:creationId xmlns:a16="http://schemas.microsoft.com/office/drawing/2014/main" id="{74C94A5E-0E8E-C5D5-0169-2B2700C7D2CE}"/>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12306300" y="1143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361949</xdr:colOff>
      <xdr:row>63</xdr:row>
      <xdr:rowOff>123825</xdr:rowOff>
    </xdr:from>
    <xdr:to>
      <xdr:col>6</xdr:col>
      <xdr:colOff>342899</xdr:colOff>
      <xdr:row>76</xdr:row>
      <xdr:rowOff>76200</xdr:rowOff>
    </xdr:to>
    <xdr:graphicFrame macro="">
      <xdr:nvGraphicFramePr>
        <xdr:cNvPr id="9" name="Chart 8">
          <a:extLst>
            <a:ext uri="{FF2B5EF4-FFF2-40B4-BE49-F238E27FC236}">
              <a16:creationId xmlns:a16="http://schemas.microsoft.com/office/drawing/2014/main" id="{511A11E5-2BEC-7109-D700-DFED76973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828674</xdr:colOff>
      <xdr:row>48</xdr:row>
      <xdr:rowOff>57149</xdr:rowOff>
    </xdr:from>
    <xdr:to>
      <xdr:col>5</xdr:col>
      <xdr:colOff>1228724</xdr:colOff>
      <xdr:row>58</xdr:row>
      <xdr:rowOff>66675</xdr:rowOff>
    </xdr:to>
    <xdr:graphicFrame macro="">
      <xdr:nvGraphicFramePr>
        <xdr:cNvPr id="10" name="Chart 9">
          <a:extLst>
            <a:ext uri="{FF2B5EF4-FFF2-40B4-BE49-F238E27FC236}">
              <a16:creationId xmlns:a16="http://schemas.microsoft.com/office/drawing/2014/main" id="{B4D708DF-5557-F852-3168-CBFFB6889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1076325</xdr:colOff>
      <xdr:row>80</xdr:row>
      <xdr:rowOff>4762</xdr:rowOff>
    </xdr:from>
    <xdr:to>
      <xdr:col>6</xdr:col>
      <xdr:colOff>142875</xdr:colOff>
      <xdr:row>91</xdr:row>
      <xdr:rowOff>114300</xdr:rowOff>
    </xdr:to>
    <xdr:graphicFrame macro="">
      <xdr:nvGraphicFramePr>
        <xdr:cNvPr id="12" name="Chart 11">
          <a:extLst>
            <a:ext uri="{FF2B5EF4-FFF2-40B4-BE49-F238E27FC236}">
              <a16:creationId xmlns:a16="http://schemas.microsoft.com/office/drawing/2014/main" id="{9D05B8FA-59B9-9822-9B39-F7992F505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233362</xdr:colOff>
      <xdr:row>9</xdr:row>
      <xdr:rowOff>138112</xdr:rowOff>
    </xdr:from>
    <xdr:to>
      <xdr:col>4</xdr:col>
      <xdr:colOff>1095375</xdr:colOff>
      <xdr:row>24</xdr:row>
      <xdr:rowOff>23812</xdr:rowOff>
    </xdr:to>
    <xdr:graphicFrame macro="">
      <xdr:nvGraphicFramePr>
        <xdr:cNvPr id="14" name="Chart 13">
          <a:extLst>
            <a:ext uri="{FF2B5EF4-FFF2-40B4-BE49-F238E27FC236}">
              <a16:creationId xmlns:a16="http://schemas.microsoft.com/office/drawing/2014/main" id="{71F69403-DA7C-334E-0553-1993EBADD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0</xdr:row>
      <xdr:rowOff>66675</xdr:rowOff>
    </xdr:from>
    <xdr:to>
      <xdr:col>6</xdr:col>
      <xdr:colOff>200025</xdr:colOff>
      <xdr:row>1</xdr:row>
      <xdr:rowOff>180975</xdr:rowOff>
    </xdr:to>
    <xdr:sp macro="" textlink="">
      <xdr:nvSpPr>
        <xdr:cNvPr id="2" name="Rectangle: Rounded Corners 1">
          <a:hlinkClick xmlns:r="http://schemas.openxmlformats.org/officeDocument/2006/relationships" r:id="rId6"/>
          <a:extLst>
            <a:ext uri="{FF2B5EF4-FFF2-40B4-BE49-F238E27FC236}">
              <a16:creationId xmlns:a16="http://schemas.microsoft.com/office/drawing/2014/main" id="{09DB2F5D-0270-42E0-B4FA-05AEDF888416}"/>
            </a:ext>
          </a:extLst>
        </xdr:cNvPr>
        <xdr:cNvSpPr/>
      </xdr:nvSpPr>
      <xdr:spPr>
        <a:xfrm>
          <a:off x="8639175" y="66675"/>
          <a:ext cx="1466850" cy="314325"/>
        </a:xfrm>
        <a:prstGeom prst="roundRect">
          <a:avLst/>
        </a:prstGeom>
        <a:solidFill>
          <a:srgbClr val="7EBE9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Aptos SemiBold" panose="020B0004020202020204" pitchFamily="34" charset="0"/>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396875</xdr:colOff>
      <xdr:row>1</xdr:row>
      <xdr:rowOff>57725</xdr:rowOff>
    </xdr:from>
    <xdr:to>
      <xdr:col>28</xdr:col>
      <xdr:colOff>288637</xdr:colOff>
      <xdr:row>47</xdr:row>
      <xdr:rowOff>174624</xdr:rowOff>
    </xdr:to>
    <xdr:sp macro="" textlink="">
      <xdr:nvSpPr>
        <xdr:cNvPr id="26" name="Rectangle 25">
          <a:extLst>
            <a:ext uri="{FF2B5EF4-FFF2-40B4-BE49-F238E27FC236}">
              <a16:creationId xmlns:a16="http://schemas.microsoft.com/office/drawing/2014/main" id="{5695BA41-8548-4227-A30A-8F80EBAAC0DD}"/>
            </a:ext>
          </a:extLst>
        </xdr:cNvPr>
        <xdr:cNvSpPr/>
      </xdr:nvSpPr>
      <xdr:spPr>
        <a:xfrm>
          <a:off x="2809875" y="248225"/>
          <a:ext cx="14369762" cy="8879899"/>
        </a:xfrm>
        <a:prstGeom prst="rect">
          <a:avLst/>
        </a:prstGeom>
        <a:solidFill>
          <a:srgbClr val="F7F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4</xdr:col>
      <xdr:colOff>460375</xdr:colOff>
      <xdr:row>5</xdr:row>
      <xdr:rowOff>158751</xdr:rowOff>
    </xdr:from>
    <xdr:to>
      <xdr:col>10</xdr:col>
      <xdr:colOff>269875</xdr:colOff>
      <xdr:row>8</xdr:row>
      <xdr:rowOff>1</xdr:rowOff>
    </xdr:to>
    <xdr:sp macro="" textlink="">
      <xdr:nvSpPr>
        <xdr:cNvPr id="62" name="Flowchart: Stored Data 1">
          <a:extLst>
            <a:ext uri="{FF2B5EF4-FFF2-40B4-BE49-F238E27FC236}">
              <a16:creationId xmlns:a16="http://schemas.microsoft.com/office/drawing/2014/main" id="{9BDF4A5B-2AEA-4854-BB03-06BE34ED02C2}"/>
            </a:ext>
          </a:extLst>
        </xdr:cNvPr>
        <xdr:cNvSpPr>
          <a:spLocks/>
        </xdr:cNvSpPr>
      </xdr:nvSpPr>
      <xdr:spPr>
        <a:xfrm>
          <a:off x="2873375" y="1111251"/>
          <a:ext cx="3429000" cy="412750"/>
        </a:xfrm>
        <a:prstGeom prst="roundRect">
          <a:avLst/>
        </a:prstGeom>
        <a:noFill/>
        <a:ln w="9525">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lang="en-IN" sz="1950" b="0" cap="none" spc="0">
              <a:ln w="0"/>
              <a:solidFill>
                <a:schemeClr val="tx1"/>
              </a:solidFill>
              <a:effectLst>
                <a:outerShdw blurRad="38100" dist="25400" dir="5400000" algn="ctr" rotWithShape="0">
                  <a:srgbClr val="6E747A">
                    <a:alpha val="43000"/>
                  </a:srgbClr>
                </a:outerShdw>
              </a:effectLst>
              <a:latin typeface="Aptos SemiBold" panose="020B0004020202020204" pitchFamily="34" charset="0"/>
            </a:rPr>
            <a:t>Car</a:t>
          </a:r>
          <a:r>
            <a:rPr lang="en-IN" sz="1950" b="0" cap="none" spc="0" baseline="0">
              <a:ln w="0"/>
              <a:solidFill>
                <a:schemeClr val="tx1"/>
              </a:solidFill>
              <a:effectLst>
                <a:outerShdw blurRad="38100" dist="25400" dir="5400000" algn="ctr" rotWithShape="0">
                  <a:srgbClr val="6E747A">
                    <a:alpha val="43000"/>
                  </a:srgbClr>
                </a:outerShdw>
              </a:effectLst>
              <a:latin typeface="Aptos SemiBold" panose="020B0004020202020204" pitchFamily="34" charset="0"/>
            </a:rPr>
            <a:t> Specification Dashboard</a:t>
          </a:r>
          <a:endParaRPr lang="en-IN" sz="1950" b="0" cap="none" spc="0">
            <a:ln w="0"/>
            <a:solidFill>
              <a:schemeClr val="tx1"/>
            </a:solidFill>
            <a:effectLst>
              <a:outerShdw blurRad="38100" dist="25400" dir="5400000" algn="ctr" rotWithShape="0">
                <a:srgbClr val="6E747A">
                  <a:alpha val="43000"/>
                </a:srgbClr>
              </a:outerShdw>
            </a:effectLst>
            <a:latin typeface="Aptos SemiBold" panose="020B0004020202020204" pitchFamily="34" charset="0"/>
          </a:endParaRPr>
        </a:p>
      </xdr:txBody>
    </xdr:sp>
    <xdr:clientData/>
  </xdr:twoCellAnchor>
  <xdr:twoCellAnchor>
    <xdr:from>
      <xdr:col>10</xdr:col>
      <xdr:colOff>389591</xdr:colOff>
      <xdr:row>2</xdr:row>
      <xdr:rowOff>13136</xdr:rowOff>
    </xdr:from>
    <xdr:to>
      <xdr:col>13</xdr:col>
      <xdr:colOff>539753</xdr:colOff>
      <xdr:row>7</xdr:row>
      <xdr:rowOff>142153</xdr:rowOff>
    </xdr:to>
    <xdr:grpSp>
      <xdr:nvGrpSpPr>
        <xdr:cNvPr id="53" name="Group 52">
          <a:extLst>
            <a:ext uri="{FF2B5EF4-FFF2-40B4-BE49-F238E27FC236}">
              <a16:creationId xmlns:a16="http://schemas.microsoft.com/office/drawing/2014/main" id="{E14E6E68-7A67-0D75-5083-41FE8C98DA78}"/>
            </a:ext>
          </a:extLst>
        </xdr:cNvPr>
        <xdr:cNvGrpSpPr/>
      </xdr:nvGrpSpPr>
      <xdr:grpSpPr>
        <a:xfrm>
          <a:off x="6422091" y="394136"/>
          <a:ext cx="1959912" cy="1081517"/>
          <a:chOff x="5816336" y="394857"/>
          <a:chExt cx="1696707" cy="1081517"/>
        </a:xfrm>
      </xdr:grpSpPr>
      <xdr:sp macro="" textlink="">
        <xdr:nvSpPr>
          <xdr:cNvPr id="30" name="Flowchart: Stored Data 1">
            <a:extLst>
              <a:ext uri="{FF2B5EF4-FFF2-40B4-BE49-F238E27FC236}">
                <a16:creationId xmlns:a16="http://schemas.microsoft.com/office/drawing/2014/main" id="{1C77CD25-3875-26C6-E585-2197F283936A}"/>
              </a:ext>
            </a:extLst>
          </xdr:cNvPr>
          <xdr:cNvSpPr>
            <a:spLocks/>
          </xdr:cNvSpPr>
        </xdr:nvSpPr>
        <xdr:spPr>
          <a:xfrm>
            <a:off x="5816336" y="394857"/>
            <a:ext cx="1696707" cy="1081517"/>
          </a:xfrm>
          <a:prstGeom prst="roundRect">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pic>
        <xdr:nvPicPr>
          <xdr:cNvPr id="31" name="Graphic 4" descr="Car with solid fill">
            <a:extLst>
              <a:ext uri="{FF2B5EF4-FFF2-40B4-BE49-F238E27FC236}">
                <a16:creationId xmlns:a16="http://schemas.microsoft.com/office/drawing/2014/main" id="{0803F454-7FA0-DE99-20BC-28FE35F0E4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96402" y="430152"/>
            <a:ext cx="611790" cy="450092"/>
          </a:xfrm>
          <a:prstGeom prst="roundRect">
            <a:avLst/>
          </a:prstGeom>
        </xdr:spPr>
      </xdr:pic>
      <xdr:sp macro="" textlink="Analysis!H4">
        <xdr:nvSpPr>
          <xdr:cNvPr id="37" name="TextBox 5">
            <a:extLst>
              <a:ext uri="{FF2B5EF4-FFF2-40B4-BE49-F238E27FC236}">
                <a16:creationId xmlns:a16="http://schemas.microsoft.com/office/drawing/2014/main" id="{8283BF76-54E5-B751-54BD-F5C167CDD260}"/>
              </a:ext>
            </a:extLst>
          </xdr:cNvPr>
          <xdr:cNvSpPr txBox="1"/>
        </xdr:nvSpPr>
        <xdr:spPr>
          <a:xfrm>
            <a:off x="6325022" y="641605"/>
            <a:ext cx="1151079" cy="356413"/>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73BDCBC-157F-4314-A09A-423BAB7C4A97}" type="TxLink">
              <a:rPr lang="en-US" sz="2400" b="0" i="0" u="none" strike="noStrike">
                <a:solidFill>
                  <a:srgbClr val="2E3440"/>
                </a:solidFill>
                <a:latin typeface="Aptos SemiBold" panose="020B0004020202020204" pitchFamily="34" charset="0"/>
              </a:rPr>
              <a:pPr algn="ctr"/>
              <a:t>1265</a:t>
            </a:fld>
            <a:endParaRPr lang="en-US" sz="2400" b="0" i="0" u="none" strike="noStrike">
              <a:solidFill>
                <a:srgbClr val="2E3440"/>
              </a:solidFill>
              <a:latin typeface="Aptos SemiBold" panose="020B0004020202020204" pitchFamily="34" charset="0"/>
            </a:endParaRPr>
          </a:p>
        </xdr:txBody>
      </xdr:sp>
      <xdr:sp macro="" textlink="">
        <xdr:nvSpPr>
          <xdr:cNvPr id="44" name="TextBox 6">
            <a:extLst>
              <a:ext uri="{FF2B5EF4-FFF2-40B4-BE49-F238E27FC236}">
                <a16:creationId xmlns:a16="http://schemas.microsoft.com/office/drawing/2014/main" id="{8769B62E-1CA3-0676-3F3F-009F951F3B1D}"/>
              </a:ext>
            </a:extLst>
          </xdr:cNvPr>
          <xdr:cNvSpPr txBox="1"/>
        </xdr:nvSpPr>
        <xdr:spPr>
          <a:xfrm>
            <a:off x="6332075" y="1059126"/>
            <a:ext cx="1100701" cy="29149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400" b="1" i="0" u="none" strike="noStrike">
                <a:solidFill>
                  <a:srgbClr val="6B7280"/>
                </a:solidFill>
                <a:latin typeface="Aptos Narrow"/>
              </a:rPr>
              <a:t> Total Cars</a:t>
            </a:r>
          </a:p>
        </xdr:txBody>
      </xdr:sp>
    </xdr:grpSp>
    <xdr:clientData/>
  </xdr:twoCellAnchor>
  <xdr:twoCellAnchor>
    <xdr:from>
      <xdr:col>14</xdr:col>
      <xdr:colOff>90555</xdr:colOff>
      <xdr:row>2</xdr:row>
      <xdr:rowOff>10659</xdr:rowOff>
    </xdr:from>
    <xdr:to>
      <xdr:col>17</xdr:col>
      <xdr:colOff>245996</xdr:colOff>
      <xdr:row>7</xdr:row>
      <xdr:rowOff>144630</xdr:rowOff>
    </xdr:to>
    <xdr:grpSp>
      <xdr:nvGrpSpPr>
        <xdr:cNvPr id="54" name="Group 53">
          <a:extLst>
            <a:ext uri="{FF2B5EF4-FFF2-40B4-BE49-F238E27FC236}">
              <a16:creationId xmlns:a16="http://schemas.microsoft.com/office/drawing/2014/main" id="{D43A6822-E4BC-25CB-E811-4D8AE10A7B0C}"/>
            </a:ext>
          </a:extLst>
        </xdr:cNvPr>
        <xdr:cNvGrpSpPr/>
      </xdr:nvGrpSpPr>
      <xdr:grpSpPr>
        <a:xfrm>
          <a:off x="8536055" y="391659"/>
          <a:ext cx="1965191" cy="1086471"/>
          <a:chOff x="7600989" y="402819"/>
          <a:chExt cx="1965191" cy="1086471"/>
        </a:xfrm>
      </xdr:grpSpPr>
      <xdr:sp macro="" textlink="">
        <xdr:nvSpPr>
          <xdr:cNvPr id="58" name="Flowchart: Stored Data 1">
            <a:extLst>
              <a:ext uri="{FF2B5EF4-FFF2-40B4-BE49-F238E27FC236}">
                <a16:creationId xmlns:a16="http://schemas.microsoft.com/office/drawing/2014/main" id="{D234BDC4-6090-C18C-091E-D955CE08C7D9}"/>
              </a:ext>
            </a:extLst>
          </xdr:cNvPr>
          <xdr:cNvSpPr>
            <a:spLocks/>
          </xdr:cNvSpPr>
        </xdr:nvSpPr>
        <xdr:spPr>
          <a:xfrm>
            <a:off x="7607780" y="409290"/>
            <a:ext cx="1958400" cy="1080000"/>
          </a:xfrm>
          <a:prstGeom prst="roundRect">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IN" sz="1100">
              <a:solidFill>
                <a:schemeClr val="lt1"/>
              </a:solidFill>
              <a:latin typeface="+mn-lt"/>
              <a:ea typeface="+mn-ea"/>
              <a:cs typeface="+mn-cs"/>
            </a:endParaRPr>
          </a:p>
        </xdr:txBody>
      </xdr:sp>
      <xdr:sp macro="" textlink="Analysis!I4">
        <xdr:nvSpPr>
          <xdr:cNvPr id="59" name="TextBox 58">
            <a:extLst>
              <a:ext uri="{FF2B5EF4-FFF2-40B4-BE49-F238E27FC236}">
                <a16:creationId xmlns:a16="http://schemas.microsoft.com/office/drawing/2014/main" id="{715A348B-D8D8-5F4A-2DEB-9B17DE362E69}"/>
              </a:ext>
            </a:extLst>
          </xdr:cNvPr>
          <xdr:cNvSpPr txBox="1"/>
        </xdr:nvSpPr>
        <xdr:spPr>
          <a:xfrm>
            <a:off x="8184569" y="652359"/>
            <a:ext cx="1146110" cy="36376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fld id="{CE7EC939-FFE0-4C5A-A6C8-C7A8618A23DE}" type="TxLink">
              <a:rPr lang="en-US" sz="2400" b="0" i="0" u="none" strike="noStrike">
                <a:solidFill>
                  <a:srgbClr val="2E3440"/>
                </a:solidFill>
                <a:latin typeface="Aptos SemiBold" panose="020B0004020202020204" pitchFamily="34" charset="0"/>
                <a:ea typeface="+mn-ea"/>
                <a:cs typeface="+mn-cs"/>
              </a:rPr>
              <a:pPr marL="0" indent="0" algn="ctr"/>
              <a:t>39</a:t>
            </a:fld>
            <a:endParaRPr lang="en-US" sz="2400" b="0" i="0" u="none" strike="noStrike">
              <a:solidFill>
                <a:srgbClr val="2E3440"/>
              </a:solidFill>
              <a:latin typeface="Aptos SemiBold" panose="020B0004020202020204" pitchFamily="34" charset="0"/>
              <a:ea typeface="+mn-ea"/>
              <a:cs typeface="+mn-cs"/>
            </a:endParaRPr>
          </a:p>
        </xdr:txBody>
      </xdr:sp>
      <xdr:sp macro="" textlink="">
        <xdr:nvSpPr>
          <xdr:cNvPr id="60" name="TextBox 59">
            <a:extLst>
              <a:ext uri="{FF2B5EF4-FFF2-40B4-BE49-F238E27FC236}">
                <a16:creationId xmlns:a16="http://schemas.microsoft.com/office/drawing/2014/main" id="{F0758F8C-551D-F007-5CE7-A207CCE0E295}"/>
              </a:ext>
            </a:extLst>
          </xdr:cNvPr>
          <xdr:cNvSpPr txBox="1"/>
        </xdr:nvSpPr>
        <xdr:spPr>
          <a:xfrm>
            <a:off x="7749497" y="1007875"/>
            <a:ext cx="1620423" cy="422866"/>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r>
              <a:rPr lang="en-US" sz="1400" b="1" i="0" u="none" strike="noStrike">
                <a:solidFill>
                  <a:srgbClr val="6B7280"/>
                </a:solidFill>
                <a:latin typeface="Aptos Narrow"/>
                <a:ea typeface="+mn-ea"/>
                <a:cs typeface="+mn-cs"/>
              </a:rPr>
              <a:t> Total Manucturers</a:t>
            </a:r>
          </a:p>
        </xdr:txBody>
      </xdr:sp>
      <xdr:pic>
        <xdr:nvPicPr>
          <xdr:cNvPr id="61" name="Graphic 60" descr="Factory with solid fill">
            <a:extLst>
              <a:ext uri="{FF2B5EF4-FFF2-40B4-BE49-F238E27FC236}">
                <a16:creationId xmlns:a16="http://schemas.microsoft.com/office/drawing/2014/main" id="{6567D090-F211-D981-5524-38C1BEE61F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00989" y="402819"/>
            <a:ext cx="789670" cy="482373"/>
          </a:xfrm>
          <a:prstGeom prst="roundRect">
            <a:avLst/>
          </a:prstGeom>
        </xdr:spPr>
      </xdr:pic>
    </xdr:grpSp>
    <xdr:clientData/>
  </xdr:twoCellAnchor>
  <xdr:twoCellAnchor>
    <xdr:from>
      <xdr:col>17</xdr:col>
      <xdr:colOff>415923</xdr:colOff>
      <xdr:row>2</xdr:row>
      <xdr:rowOff>13894</xdr:rowOff>
    </xdr:from>
    <xdr:to>
      <xdr:col>20</xdr:col>
      <xdr:colOff>564573</xdr:colOff>
      <xdr:row>7</xdr:row>
      <xdr:rowOff>141394</xdr:rowOff>
    </xdr:to>
    <xdr:grpSp>
      <xdr:nvGrpSpPr>
        <xdr:cNvPr id="55" name="Group 54">
          <a:extLst>
            <a:ext uri="{FF2B5EF4-FFF2-40B4-BE49-F238E27FC236}">
              <a16:creationId xmlns:a16="http://schemas.microsoft.com/office/drawing/2014/main" id="{782EC238-55C1-6F96-83D9-82CA009AC551}"/>
            </a:ext>
          </a:extLst>
        </xdr:cNvPr>
        <xdr:cNvGrpSpPr/>
      </xdr:nvGrpSpPr>
      <xdr:grpSpPr>
        <a:xfrm>
          <a:off x="10671173" y="394894"/>
          <a:ext cx="1958400" cy="1080000"/>
          <a:chOff x="9503558" y="409290"/>
          <a:chExt cx="1958400" cy="1080000"/>
        </a:xfrm>
      </xdr:grpSpPr>
      <xdr:sp macro="" textlink="">
        <xdr:nvSpPr>
          <xdr:cNvPr id="68" name="Flowchart: Stored Data 1">
            <a:extLst>
              <a:ext uri="{FF2B5EF4-FFF2-40B4-BE49-F238E27FC236}">
                <a16:creationId xmlns:a16="http://schemas.microsoft.com/office/drawing/2014/main" id="{715AA97B-1230-9CEC-08D6-3729A0456527}"/>
              </a:ext>
            </a:extLst>
          </xdr:cNvPr>
          <xdr:cNvSpPr>
            <a:spLocks/>
          </xdr:cNvSpPr>
        </xdr:nvSpPr>
        <xdr:spPr>
          <a:xfrm>
            <a:off x="9503558" y="409290"/>
            <a:ext cx="1958400" cy="1080000"/>
          </a:xfrm>
          <a:prstGeom prst="roundRect">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IN" sz="1100">
              <a:solidFill>
                <a:schemeClr val="lt1"/>
              </a:solidFill>
              <a:latin typeface="+mn-lt"/>
              <a:ea typeface="+mn-ea"/>
              <a:cs typeface="+mn-cs"/>
            </a:endParaRPr>
          </a:p>
        </xdr:txBody>
      </xdr:sp>
      <xdr:sp macro="" textlink="Analysis!J4">
        <xdr:nvSpPr>
          <xdr:cNvPr id="69" name="TextBox 68">
            <a:extLst>
              <a:ext uri="{FF2B5EF4-FFF2-40B4-BE49-F238E27FC236}">
                <a16:creationId xmlns:a16="http://schemas.microsoft.com/office/drawing/2014/main" id="{6A9E90EB-6503-3AA6-7A78-ED4F358957C7}"/>
              </a:ext>
            </a:extLst>
          </xdr:cNvPr>
          <xdr:cNvSpPr txBox="1"/>
        </xdr:nvSpPr>
        <xdr:spPr>
          <a:xfrm>
            <a:off x="10032355" y="656038"/>
            <a:ext cx="1355328" cy="356412"/>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fld id="{E12F85BC-7FBC-4355-964B-DED7945A23BC}" type="TxLink">
              <a:rPr lang="en-US" sz="2400" b="0" i="0" u="none" strike="noStrike">
                <a:solidFill>
                  <a:srgbClr val="2E3440"/>
                </a:solidFill>
                <a:latin typeface="Aptos SemiBold" panose="020B0004020202020204" pitchFamily="34" charset="0"/>
                <a:ea typeface="+mn-ea"/>
                <a:cs typeface="+mn-cs"/>
              </a:rPr>
              <a:pPr marL="0" indent="0" algn="ctr"/>
              <a:t>₹ 4.3L</a:t>
            </a:fld>
            <a:endParaRPr lang="en-US" sz="2400" b="0" i="0" u="none" strike="noStrike">
              <a:solidFill>
                <a:srgbClr val="2E3440"/>
              </a:solidFill>
              <a:latin typeface="Aptos SemiBold" panose="020B0004020202020204" pitchFamily="34" charset="0"/>
              <a:ea typeface="+mn-ea"/>
              <a:cs typeface="+mn-cs"/>
            </a:endParaRPr>
          </a:p>
        </xdr:txBody>
      </xdr:sp>
      <xdr:sp macro="" textlink="">
        <xdr:nvSpPr>
          <xdr:cNvPr id="70" name="TextBox 69">
            <a:extLst>
              <a:ext uri="{FF2B5EF4-FFF2-40B4-BE49-F238E27FC236}">
                <a16:creationId xmlns:a16="http://schemas.microsoft.com/office/drawing/2014/main" id="{677CD02E-8396-62A5-41AE-A9074ADC866C}"/>
              </a:ext>
            </a:extLst>
          </xdr:cNvPr>
          <xdr:cNvSpPr txBox="1"/>
        </xdr:nvSpPr>
        <xdr:spPr>
          <a:xfrm>
            <a:off x="9676962" y="1073343"/>
            <a:ext cx="1208948" cy="29193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6B7280"/>
                </a:solidFill>
                <a:latin typeface="Aptos Narrow"/>
                <a:ea typeface="+mn-ea"/>
                <a:cs typeface="+mn-cs"/>
              </a:rPr>
              <a:t>Avg</a:t>
            </a:r>
            <a:r>
              <a:rPr lang="en-US" sz="1400" b="1" i="0" u="none" strike="noStrike" baseline="0">
                <a:solidFill>
                  <a:srgbClr val="6B7280"/>
                </a:solidFill>
                <a:latin typeface="Aptos Narrow"/>
              </a:rPr>
              <a:t> Price</a:t>
            </a:r>
            <a:endParaRPr lang="en-US" sz="1400" b="1" i="0" u="none" strike="noStrike">
              <a:solidFill>
                <a:srgbClr val="6B7280"/>
              </a:solidFill>
              <a:latin typeface="Aptos Narrow"/>
            </a:endParaRPr>
          </a:p>
        </xdr:txBody>
      </xdr:sp>
      <xdr:pic>
        <xdr:nvPicPr>
          <xdr:cNvPr id="71" name="Graphic 70" descr="Coins with solid fill">
            <a:extLst>
              <a:ext uri="{FF2B5EF4-FFF2-40B4-BE49-F238E27FC236}">
                <a16:creationId xmlns:a16="http://schemas.microsoft.com/office/drawing/2014/main" id="{A0BFADFD-862E-9F9A-D7F4-98CAEF9C0C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93252" y="433505"/>
            <a:ext cx="552401" cy="514665"/>
          </a:xfrm>
          <a:prstGeom prst="roundRect">
            <a:avLst/>
          </a:prstGeom>
        </xdr:spPr>
      </xdr:pic>
    </xdr:grpSp>
    <xdr:clientData/>
  </xdr:twoCellAnchor>
  <xdr:twoCellAnchor>
    <xdr:from>
      <xdr:col>20</xdr:col>
      <xdr:colOff>591625</xdr:colOff>
      <xdr:row>2</xdr:row>
      <xdr:rowOff>13894</xdr:rowOff>
    </xdr:from>
    <xdr:to>
      <xdr:col>24</xdr:col>
      <xdr:colOff>342315</xdr:colOff>
      <xdr:row>7</xdr:row>
      <xdr:rowOff>141394</xdr:rowOff>
    </xdr:to>
    <xdr:grpSp>
      <xdr:nvGrpSpPr>
        <xdr:cNvPr id="56" name="Group 55">
          <a:extLst>
            <a:ext uri="{FF2B5EF4-FFF2-40B4-BE49-F238E27FC236}">
              <a16:creationId xmlns:a16="http://schemas.microsoft.com/office/drawing/2014/main" id="{32C7E756-64D5-4062-580C-1B9CEA1ED396}"/>
            </a:ext>
          </a:extLst>
        </xdr:cNvPr>
        <xdr:cNvGrpSpPr/>
      </xdr:nvGrpSpPr>
      <xdr:grpSpPr>
        <a:xfrm>
          <a:off x="12656625" y="394894"/>
          <a:ext cx="2163690" cy="1080000"/>
          <a:chOff x="11186796" y="409289"/>
          <a:chExt cx="2144778" cy="1080000"/>
        </a:xfrm>
      </xdr:grpSpPr>
      <xdr:sp macro="" textlink="">
        <xdr:nvSpPr>
          <xdr:cNvPr id="73" name="Flowchart: Stored Data 1">
            <a:extLst>
              <a:ext uri="{FF2B5EF4-FFF2-40B4-BE49-F238E27FC236}">
                <a16:creationId xmlns:a16="http://schemas.microsoft.com/office/drawing/2014/main" id="{65557CCC-9F22-A1EC-EB89-9BD21A5FCFD5}"/>
              </a:ext>
            </a:extLst>
          </xdr:cNvPr>
          <xdr:cNvSpPr>
            <a:spLocks/>
          </xdr:cNvSpPr>
        </xdr:nvSpPr>
        <xdr:spPr>
          <a:xfrm>
            <a:off x="11390292" y="409289"/>
            <a:ext cx="1941282" cy="1080000"/>
          </a:xfrm>
          <a:prstGeom prst="roundRect">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IN" sz="1100">
              <a:solidFill>
                <a:schemeClr val="lt1"/>
              </a:solidFill>
              <a:latin typeface="+mn-lt"/>
              <a:ea typeface="+mn-ea"/>
              <a:cs typeface="+mn-cs"/>
            </a:endParaRPr>
          </a:p>
        </xdr:txBody>
      </xdr:sp>
      <xdr:sp macro="" textlink="Analysis!K4">
        <xdr:nvSpPr>
          <xdr:cNvPr id="77" name="TextBox 76">
            <a:extLst>
              <a:ext uri="{FF2B5EF4-FFF2-40B4-BE49-F238E27FC236}">
                <a16:creationId xmlns:a16="http://schemas.microsoft.com/office/drawing/2014/main" id="{D236260E-68FC-26B0-5891-BE47A7B14E1A}"/>
              </a:ext>
            </a:extLst>
          </xdr:cNvPr>
          <xdr:cNvSpPr txBox="1"/>
        </xdr:nvSpPr>
        <xdr:spPr>
          <a:xfrm>
            <a:off x="12077431" y="656037"/>
            <a:ext cx="1146997" cy="356412"/>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fld id="{7F079A6B-AF91-422C-A0A3-B4AEA868682F}" type="TxLink">
              <a:rPr lang="en-US" sz="2400" b="0" i="0" u="none" strike="noStrike">
                <a:solidFill>
                  <a:srgbClr val="2E3440"/>
                </a:solidFill>
                <a:latin typeface="Aptos SemiBold" panose="020B0004020202020204" pitchFamily="34" charset="0"/>
                <a:ea typeface="+mn-ea"/>
                <a:cs typeface="+mn-cs"/>
              </a:rPr>
              <a:pPr marL="0" indent="0" algn="ctr"/>
              <a:t>154.4</a:t>
            </a:fld>
            <a:endParaRPr lang="en-US" sz="2400" b="0" i="0" u="none" strike="noStrike">
              <a:solidFill>
                <a:srgbClr val="2E3440"/>
              </a:solidFill>
              <a:latin typeface="Aptos SemiBold" panose="020B0004020202020204" pitchFamily="34" charset="0"/>
              <a:ea typeface="+mn-ea"/>
              <a:cs typeface="+mn-cs"/>
            </a:endParaRPr>
          </a:p>
        </xdr:txBody>
      </xdr:sp>
      <xdr:sp macro="" textlink="">
        <xdr:nvSpPr>
          <xdr:cNvPr id="79" name="TextBox 78">
            <a:extLst>
              <a:ext uri="{FF2B5EF4-FFF2-40B4-BE49-F238E27FC236}">
                <a16:creationId xmlns:a16="http://schemas.microsoft.com/office/drawing/2014/main" id="{2E5B918B-9C2C-F2F4-6287-A92BF4BDCD3E}"/>
              </a:ext>
            </a:extLst>
          </xdr:cNvPr>
          <xdr:cNvSpPr txBox="1"/>
        </xdr:nvSpPr>
        <xdr:spPr>
          <a:xfrm>
            <a:off x="11186796" y="1061809"/>
            <a:ext cx="1929897" cy="314996"/>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6B7280"/>
                </a:solidFill>
                <a:latin typeface="Aptos Narrow"/>
              </a:rPr>
              <a:t>Avg</a:t>
            </a:r>
            <a:r>
              <a:rPr lang="en-US" sz="1400" b="1" i="0" u="none" strike="noStrike" baseline="0">
                <a:solidFill>
                  <a:srgbClr val="6B7280"/>
                </a:solidFill>
                <a:latin typeface="Aptos Narrow"/>
              </a:rPr>
              <a:t> </a:t>
            </a:r>
            <a:r>
              <a:rPr lang="en-US" sz="1400" b="1" i="0" u="none" strike="noStrike">
                <a:solidFill>
                  <a:srgbClr val="6B7280"/>
                </a:solidFill>
                <a:latin typeface="Aptos Narrow"/>
                <a:ea typeface="+mn-ea"/>
                <a:cs typeface="+mn-cs"/>
              </a:rPr>
              <a:t>Engine</a:t>
            </a:r>
            <a:r>
              <a:rPr lang="en-US" sz="1400" b="1" i="0" u="none" strike="noStrike" baseline="0">
                <a:solidFill>
                  <a:srgbClr val="6B7280"/>
                </a:solidFill>
                <a:latin typeface="Aptos Narrow"/>
              </a:rPr>
              <a:t> Power</a:t>
            </a:r>
            <a:endParaRPr lang="en-US" sz="1400" b="1" i="0" u="none" strike="noStrike">
              <a:solidFill>
                <a:srgbClr val="6B7280"/>
              </a:solidFill>
              <a:latin typeface="Aptos Narrow"/>
            </a:endParaRPr>
          </a:p>
        </xdr:txBody>
      </xdr:sp>
      <xdr:pic>
        <xdr:nvPicPr>
          <xdr:cNvPr id="82" name="Graphic 81" descr="High voltage with solid fill">
            <a:extLst>
              <a:ext uri="{FF2B5EF4-FFF2-40B4-BE49-F238E27FC236}">
                <a16:creationId xmlns:a16="http://schemas.microsoft.com/office/drawing/2014/main" id="{B0D8A3D3-4FA6-2EEF-F6BB-D4995BF2BB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08279" y="476347"/>
            <a:ext cx="450366" cy="464790"/>
          </a:xfrm>
          <a:prstGeom prst="roundRect">
            <a:avLst/>
          </a:prstGeom>
        </xdr:spPr>
      </xdr:pic>
    </xdr:grpSp>
    <xdr:clientData/>
  </xdr:twoCellAnchor>
  <xdr:twoCellAnchor>
    <xdr:from>
      <xdr:col>23</xdr:col>
      <xdr:colOff>45712</xdr:colOff>
      <xdr:row>3</xdr:row>
      <xdr:rowOff>83512</xdr:rowOff>
    </xdr:from>
    <xdr:to>
      <xdr:col>24</xdr:col>
      <xdr:colOff>589459</xdr:colOff>
      <xdr:row>5</xdr:row>
      <xdr:rowOff>58924</xdr:rowOff>
    </xdr:to>
    <xdr:sp macro="" textlink="">
      <xdr:nvSpPr>
        <xdr:cNvPr id="76" name="TextBox 75">
          <a:extLst>
            <a:ext uri="{FF2B5EF4-FFF2-40B4-BE49-F238E27FC236}">
              <a16:creationId xmlns:a16="http://schemas.microsoft.com/office/drawing/2014/main" id="{D6885E19-5A21-E346-6C1B-8F98483497F6}"/>
            </a:ext>
          </a:extLst>
        </xdr:cNvPr>
        <xdr:cNvSpPr txBox="1"/>
      </xdr:nvSpPr>
      <xdr:spPr>
        <a:xfrm>
          <a:off x="13986848" y="646353"/>
          <a:ext cx="1149884" cy="35063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endParaRPr lang="en-US" sz="2400" b="0" i="0" u="none" strike="noStrike">
            <a:solidFill>
              <a:srgbClr val="2E3440"/>
            </a:solidFill>
            <a:latin typeface="Aptos SemiBold" panose="020B0004020202020204" pitchFamily="34" charset="0"/>
            <a:ea typeface="+mn-ea"/>
            <a:cs typeface="+mn-cs"/>
          </a:endParaRPr>
        </a:p>
      </xdr:txBody>
    </xdr:sp>
    <xdr:clientData/>
  </xdr:twoCellAnchor>
  <xdr:twoCellAnchor>
    <xdr:from>
      <xdr:col>22</xdr:col>
      <xdr:colOff>149479</xdr:colOff>
      <xdr:row>5</xdr:row>
      <xdr:rowOff>99077</xdr:rowOff>
    </xdr:from>
    <xdr:to>
      <xdr:col>24</xdr:col>
      <xdr:colOff>351195</xdr:colOff>
      <xdr:row>7</xdr:row>
      <xdr:rowOff>51487</xdr:rowOff>
    </xdr:to>
    <xdr:sp macro="" textlink="">
      <xdr:nvSpPr>
        <xdr:cNvPr id="80" name="TextBox 79">
          <a:extLst>
            <a:ext uri="{FF2B5EF4-FFF2-40B4-BE49-F238E27FC236}">
              <a16:creationId xmlns:a16="http://schemas.microsoft.com/office/drawing/2014/main" id="{A8904DAF-CF91-9E77-E4FC-DB373BEEA5AF}"/>
            </a:ext>
          </a:extLst>
        </xdr:cNvPr>
        <xdr:cNvSpPr txBox="1"/>
      </xdr:nvSpPr>
      <xdr:spPr>
        <a:xfrm>
          <a:off x="13484479" y="1037145"/>
          <a:ext cx="1413989" cy="32763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400" b="1" i="0" u="none" strike="noStrike">
            <a:solidFill>
              <a:srgbClr val="6B7280"/>
            </a:solidFill>
            <a:latin typeface="Aptos Narrow"/>
          </a:endParaRPr>
        </a:p>
      </xdr:txBody>
    </xdr:sp>
    <xdr:clientData/>
  </xdr:twoCellAnchor>
  <xdr:twoCellAnchor>
    <xdr:from>
      <xdr:col>24</xdr:col>
      <xdr:colOff>543993</xdr:colOff>
      <xdr:row>2</xdr:row>
      <xdr:rowOff>13894</xdr:rowOff>
    </xdr:from>
    <xdr:to>
      <xdr:col>28</xdr:col>
      <xdr:colOff>89393</xdr:colOff>
      <xdr:row>7</xdr:row>
      <xdr:rowOff>141394</xdr:rowOff>
    </xdr:to>
    <xdr:sp macro="" textlink="">
      <xdr:nvSpPr>
        <xdr:cNvPr id="75" name="Flowchart: Stored Data 1">
          <a:extLst>
            <a:ext uri="{FF2B5EF4-FFF2-40B4-BE49-F238E27FC236}">
              <a16:creationId xmlns:a16="http://schemas.microsoft.com/office/drawing/2014/main" id="{D0DC6D85-8006-6175-AA8C-232BF7AA3A27}"/>
            </a:ext>
          </a:extLst>
        </xdr:cNvPr>
        <xdr:cNvSpPr>
          <a:spLocks/>
        </xdr:cNvSpPr>
      </xdr:nvSpPr>
      <xdr:spPr>
        <a:xfrm>
          <a:off x="15021993" y="394894"/>
          <a:ext cx="1958400" cy="1080000"/>
        </a:xfrm>
        <a:prstGeom prst="roundRect">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IN" sz="1100">
            <a:solidFill>
              <a:schemeClr val="lt1"/>
            </a:solidFill>
            <a:latin typeface="+mn-lt"/>
            <a:ea typeface="+mn-ea"/>
            <a:cs typeface="+mn-cs"/>
          </a:endParaRPr>
        </a:p>
      </xdr:txBody>
    </xdr:sp>
    <xdr:clientData/>
  </xdr:twoCellAnchor>
  <xdr:twoCellAnchor>
    <xdr:from>
      <xdr:col>24</xdr:col>
      <xdr:colOff>469032</xdr:colOff>
      <xdr:row>2</xdr:row>
      <xdr:rowOff>70106</xdr:rowOff>
    </xdr:from>
    <xdr:to>
      <xdr:col>28</xdr:col>
      <xdr:colOff>180397</xdr:colOff>
      <xdr:row>4</xdr:row>
      <xdr:rowOff>45517</xdr:rowOff>
    </xdr:to>
    <xdr:sp macro="" textlink="Analysis!U3">
      <xdr:nvSpPr>
        <xdr:cNvPr id="78" name="TextBox 77">
          <a:extLst>
            <a:ext uri="{FF2B5EF4-FFF2-40B4-BE49-F238E27FC236}">
              <a16:creationId xmlns:a16="http://schemas.microsoft.com/office/drawing/2014/main" id="{2528F9FC-1F56-8795-695E-3F5F07E7BD5C}"/>
            </a:ext>
          </a:extLst>
        </xdr:cNvPr>
        <xdr:cNvSpPr txBox="1"/>
      </xdr:nvSpPr>
      <xdr:spPr>
        <a:xfrm>
          <a:off x="14947032" y="451106"/>
          <a:ext cx="2124365" cy="356411"/>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fld id="{68E9CAFA-3792-4847-A856-E600886E2EB4}" type="TxLink">
            <a:rPr lang="en-US" sz="1500" b="0" i="0" u="none" strike="noStrike">
              <a:solidFill>
                <a:srgbClr val="C00000"/>
              </a:solidFill>
              <a:latin typeface="Aptos SemiBold" panose="020B0004020202020204" pitchFamily="34" charset="0"/>
              <a:ea typeface="+mn-ea"/>
              <a:cs typeface="+mn-cs"/>
            </a:rPr>
            <a:pPr marL="0" indent="0" algn="ctr"/>
            <a:t>Bugatti Chiron Sport</a:t>
          </a:fld>
          <a:endParaRPr lang="en-US" sz="1500" b="0" i="0" u="none" strike="noStrike">
            <a:solidFill>
              <a:srgbClr val="C00000"/>
            </a:solidFill>
            <a:latin typeface="Aptos SemiBold" panose="020B0004020202020204" pitchFamily="34" charset="0"/>
            <a:ea typeface="+mn-ea"/>
            <a:cs typeface="+mn-cs"/>
          </a:endParaRPr>
        </a:p>
      </xdr:txBody>
    </xdr:sp>
    <xdr:clientData/>
  </xdr:twoCellAnchor>
  <xdr:twoCellAnchor>
    <xdr:from>
      <xdr:col>24</xdr:col>
      <xdr:colOff>533978</xdr:colOff>
      <xdr:row>5</xdr:row>
      <xdr:rowOff>175060</xdr:rowOff>
    </xdr:from>
    <xdr:to>
      <xdr:col>28</xdr:col>
      <xdr:colOff>219903</xdr:colOff>
      <xdr:row>7</xdr:row>
      <xdr:rowOff>14433</xdr:rowOff>
    </xdr:to>
    <xdr:sp macro="" textlink="">
      <xdr:nvSpPr>
        <xdr:cNvPr id="81" name="TextBox 80">
          <a:extLst>
            <a:ext uri="{FF2B5EF4-FFF2-40B4-BE49-F238E27FC236}">
              <a16:creationId xmlns:a16="http://schemas.microsoft.com/office/drawing/2014/main" id="{9BE14940-DD3D-EF80-FB0C-F9BBB561DC02}"/>
            </a:ext>
          </a:extLst>
        </xdr:cNvPr>
        <xdr:cNvSpPr txBox="1"/>
      </xdr:nvSpPr>
      <xdr:spPr>
        <a:xfrm>
          <a:off x="15081251" y="1113128"/>
          <a:ext cx="2110470" cy="2146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6B7280"/>
              </a:solidFill>
              <a:latin typeface="Aptos Narrow"/>
            </a:rPr>
            <a:t>Extreme</a:t>
          </a:r>
          <a:r>
            <a:rPr lang="en-US" sz="1400" b="1" i="0" u="none" strike="noStrike" baseline="0">
              <a:solidFill>
                <a:srgbClr val="6B7280"/>
              </a:solidFill>
              <a:latin typeface="Aptos Narrow"/>
            </a:rPr>
            <a:t> Performance</a:t>
          </a:r>
          <a:endParaRPr lang="en-US" sz="1400" b="1" i="0" u="none" strike="noStrike">
            <a:solidFill>
              <a:srgbClr val="6B7280"/>
            </a:solidFill>
            <a:latin typeface="Aptos Narrow"/>
          </a:endParaRPr>
        </a:p>
      </xdr:txBody>
    </xdr:sp>
    <xdr:clientData/>
  </xdr:twoCellAnchor>
  <xdr:twoCellAnchor>
    <xdr:from>
      <xdr:col>10</xdr:col>
      <xdr:colOff>375227</xdr:colOff>
      <xdr:row>35</xdr:row>
      <xdr:rowOff>11880</xdr:rowOff>
    </xdr:from>
    <xdr:to>
      <xdr:col>17</xdr:col>
      <xdr:colOff>562841</xdr:colOff>
      <xdr:row>45</xdr:row>
      <xdr:rowOff>187612</xdr:rowOff>
    </xdr:to>
    <xdr:sp macro="" textlink="">
      <xdr:nvSpPr>
        <xdr:cNvPr id="5" name="Flowchart: Stored Data 1">
          <a:extLst>
            <a:ext uri="{FF2B5EF4-FFF2-40B4-BE49-F238E27FC236}">
              <a16:creationId xmlns:a16="http://schemas.microsoft.com/office/drawing/2014/main" id="{DEBA475F-EE9E-42DD-A770-7412EFE77380}"/>
            </a:ext>
          </a:extLst>
        </xdr:cNvPr>
        <xdr:cNvSpPr>
          <a:spLocks/>
        </xdr:cNvSpPr>
      </xdr:nvSpPr>
      <xdr:spPr>
        <a:xfrm>
          <a:off x="6436591" y="6578357"/>
          <a:ext cx="4430568" cy="2051869"/>
        </a:xfrm>
        <a:prstGeom prst="roundRect">
          <a:avLst>
            <a:gd name="adj" fmla="val 6023"/>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10</xdr:col>
      <xdr:colOff>418522</xdr:colOff>
      <xdr:row>34</xdr:row>
      <xdr:rowOff>183215</xdr:rowOff>
    </xdr:from>
    <xdr:to>
      <xdr:col>16</xdr:col>
      <xdr:colOff>346363</xdr:colOff>
      <xdr:row>36</xdr:row>
      <xdr:rowOff>144318</xdr:rowOff>
    </xdr:to>
    <xdr:sp macro="" textlink="">
      <xdr:nvSpPr>
        <xdr:cNvPr id="7" name="TextBox 6">
          <a:extLst>
            <a:ext uri="{FF2B5EF4-FFF2-40B4-BE49-F238E27FC236}">
              <a16:creationId xmlns:a16="http://schemas.microsoft.com/office/drawing/2014/main" id="{AB03E649-B7BC-48CA-BBE2-C8BBDC0335A7}"/>
            </a:ext>
          </a:extLst>
        </xdr:cNvPr>
        <xdr:cNvSpPr txBox="1"/>
      </xdr:nvSpPr>
      <xdr:spPr>
        <a:xfrm>
          <a:off x="6479886" y="6562079"/>
          <a:ext cx="3564659" cy="33633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400" b="1" i="0" u="none" strike="noStrike">
              <a:solidFill>
                <a:schemeClr val="bg2">
                  <a:lumMod val="50000"/>
                </a:schemeClr>
              </a:solidFill>
              <a:latin typeface="Aptos Narrow"/>
            </a:rPr>
            <a:t> </a:t>
          </a:r>
          <a:r>
            <a:rPr lang="en-US" sz="1400" b="1" i="0" u="none" strike="noStrike">
              <a:solidFill>
                <a:srgbClr val="2E3440"/>
              </a:solidFill>
              <a:latin typeface="Aptos Narrow"/>
            </a:rPr>
            <a:t>Distribution</a:t>
          </a:r>
          <a:r>
            <a:rPr lang="en-US" sz="1400" b="1" i="0" u="none" strike="noStrike" baseline="0">
              <a:solidFill>
                <a:srgbClr val="2E3440"/>
              </a:solidFill>
              <a:latin typeface="Aptos Narrow"/>
            </a:rPr>
            <a:t> by Performance Category</a:t>
          </a:r>
          <a:endParaRPr lang="en-US" sz="1400" b="1" i="0" u="none" strike="noStrike">
            <a:solidFill>
              <a:srgbClr val="2E3440"/>
            </a:solidFill>
            <a:latin typeface="Aptos Narrow"/>
          </a:endParaRPr>
        </a:p>
      </xdr:txBody>
    </xdr:sp>
    <xdr:clientData/>
  </xdr:twoCellAnchor>
  <xdr:twoCellAnchor>
    <xdr:from>
      <xdr:col>10</xdr:col>
      <xdr:colOff>404091</xdr:colOff>
      <xdr:row>8</xdr:row>
      <xdr:rowOff>101023</xdr:rowOff>
    </xdr:from>
    <xdr:to>
      <xdr:col>20</xdr:col>
      <xdr:colOff>360796</xdr:colOff>
      <xdr:row>22</xdr:row>
      <xdr:rowOff>115455</xdr:rowOff>
    </xdr:to>
    <xdr:sp macro="" textlink="">
      <xdr:nvSpPr>
        <xdr:cNvPr id="6" name="Flowchart: Stored Data 1">
          <a:extLst>
            <a:ext uri="{FF2B5EF4-FFF2-40B4-BE49-F238E27FC236}">
              <a16:creationId xmlns:a16="http://schemas.microsoft.com/office/drawing/2014/main" id="{02351B9C-A7DC-46F4-9EF5-70768176F1C2}"/>
            </a:ext>
          </a:extLst>
        </xdr:cNvPr>
        <xdr:cNvSpPr>
          <a:spLocks/>
        </xdr:cNvSpPr>
      </xdr:nvSpPr>
      <xdr:spPr>
        <a:xfrm>
          <a:off x="6465455" y="1601932"/>
          <a:ext cx="6018068" cy="2641023"/>
        </a:xfrm>
        <a:prstGeom prst="roundRect">
          <a:avLst>
            <a:gd name="adj" fmla="val 6023"/>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10</xdr:col>
      <xdr:colOff>562841</xdr:colOff>
      <xdr:row>10</xdr:row>
      <xdr:rowOff>72159</xdr:rowOff>
    </xdr:from>
    <xdr:to>
      <xdr:col>20</xdr:col>
      <xdr:colOff>173182</xdr:colOff>
      <xdr:row>22</xdr:row>
      <xdr:rowOff>86590</xdr:rowOff>
    </xdr:to>
    <xdr:graphicFrame macro="">
      <xdr:nvGraphicFramePr>
        <xdr:cNvPr id="9" name="Chart 8">
          <a:extLst>
            <a:ext uri="{FF2B5EF4-FFF2-40B4-BE49-F238E27FC236}">
              <a16:creationId xmlns:a16="http://schemas.microsoft.com/office/drawing/2014/main" id="{325E8A34-8383-4139-BB4D-32629884C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31</xdr:col>
      <xdr:colOff>0</xdr:colOff>
      <xdr:row>15</xdr:row>
      <xdr:rowOff>0</xdr:rowOff>
    </xdr:from>
    <xdr:to>
      <xdr:col>32</xdr:col>
      <xdr:colOff>9525</xdr:colOff>
      <xdr:row>16</xdr:row>
      <xdr:rowOff>9525</xdr:rowOff>
    </xdr:to>
    <xdr:pic>
      <xdr:nvPicPr>
        <xdr:cNvPr id="10" name="Picture 9">
          <a:extLst>
            <a:ext uri="{FF2B5EF4-FFF2-40B4-BE49-F238E27FC236}">
              <a16:creationId xmlns:a16="http://schemas.microsoft.com/office/drawing/2014/main" id="{7224782B-6185-A8A2-5F38-FC07EE484DA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897600" y="2857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465798</xdr:colOff>
      <xdr:row>8</xdr:row>
      <xdr:rowOff>115453</xdr:rowOff>
    </xdr:from>
    <xdr:to>
      <xdr:col>15</xdr:col>
      <xdr:colOff>359800</xdr:colOff>
      <xdr:row>10</xdr:row>
      <xdr:rowOff>47692</xdr:rowOff>
    </xdr:to>
    <xdr:sp macro="" textlink="">
      <xdr:nvSpPr>
        <xdr:cNvPr id="11" name="TextBox 10">
          <a:extLst>
            <a:ext uri="{FF2B5EF4-FFF2-40B4-BE49-F238E27FC236}">
              <a16:creationId xmlns:a16="http://schemas.microsoft.com/office/drawing/2014/main" id="{A8E0E4DE-E073-497A-BFC7-F94D543C795C}"/>
            </a:ext>
          </a:extLst>
        </xdr:cNvPr>
        <xdr:cNvSpPr txBox="1"/>
      </xdr:nvSpPr>
      <xdr:spPr>
        <a:xfrm>
          <a:off x="6527162" y="1616362"/>
          <a:ext cx="2924683" cy="307466"/>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400" b="1" i="0" u="none" strike="noStrike">
              <a:solidFill>
                <a:srgbClr val="2E3440"/>
              </a:solidFill>
              <a:latin typeface="Aptos Narrow"/>
            </a:rPr>
            <a:t>Average</a:t>
          </a:r>
          <a:r>
            <a:rPr lang="en-US" sz="1400" b="1" i="0" u="none" strike="noStrike" baseline="0">
              <a:solidFill>
                <a:srgbClr val="2E3440"/>
              </a:solidFill>
              <a:latin typeface="Aptos Narrow"/>
            </a:rPr>
            <a:t> Price by Manufacturer</a:t>
          </a:r>
          <a:endParaRPr lang="en-US" sz="1400" b="1" i="0" u="none" strike="noStrike">
            <a:solidFill>
              <a:srgbClr val="2E3440"/>
            </a:solidFill>
            <a:latin typeface="Aptos Narrow"/>
          </a:endParaRPr>
        </a:p>
      </xdr:txBody>
    </xdr:sp>
    <xdr:clientData/>
  </xdr:twoCellAnchor>
  <xdr:twoCellAnchor>
    <xdr:from>
      <xdr:col>20</xdr:col>
      <xdr:colOff>533978</xdr:colOff>
      <xdr:row>8</xdr:row>
      <xdr:rowOff>101021</xdr:rowOff>
    </xdr:from>
    <xdr:to>
      <xdr:col>28</xdr:col>
      <xdr:colOff>90572</xdr:colOff>
      <xdr:row>22</xdr:row>
      <xdr:rowOff>129886</xdr:rowOff>
    </xdr:to>
    <xdr:sp macro="" textlink="">
      <xdr:nvSpPr>
        <xdr:cNvPr id="12" name="Flowchart: Stored Data 1">
          <a:extLst>
            <a:ext uri="{FF2B5EF4-FFF2-40B4-BE49-F238E27FC236}">
              <a16:creationId xmlns:a16="http://schemas.microsoft.com/office/drawing/2014/main" id="{1A3165D4-9D2B-489B-9135-496D9B35E14D}"/>
            </a:ext>
          </a:extLst>
        </xdr:cNvPr>
        <xdr:cNvSpPr>
          <a:spLocks/>
        </xdr:cNvSpPr>
      </xdr:nvSpPr>
      <xdr:spPr>
        <a:xfrm>
          <a:off x="12656705" y="1601930"/>
          <a:ext cx="4405685" cy="2655456"/>
        </a:xfrm>
        <a:prstGeom prst="roundRect">
          <a:avLst>
            <a:gd name="adj" fmla="val 6023"/>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10</xdr:col>
      <xdr:colOff>393640</xdr:colOff>
      <xdr:row>23</xdr:row>
      <xdr:rowOff>57726</xdr:rowOff>
    </xdr:from>
    <xdr:to>
      <xdr:col>17</xdr:col>
      <xdr:colOff>548409</xdr:colOff>
      <xdr:row>34</xdr:row>
      <xdr:rowOff>45845</xdr:rowOff>
    </xdr:to>
    <xdr:sp macro="" textlink="">
      <xdr:nvSpPr>
        <xdr:cNvPr id="14" name="Flowchart: Stored Data 1">
          <a:extLst>
            <a:ext uri="{FF2B5EF4-FFF2-40B4-BE49-F238E27FC236}">
              <a16:creationId xmlns:a16="http://schemas.microsoft.com/office/drawing/2014/main" id="{8CD8DF0E-7E24-4A1C-89E8-2BC0A88468D9}"/>
            </a:ext>
          </a:extLst>
        </xdr:cNvPr>
        <xdr:cNvSpPr>
          <a:spLocks/>
        </xdr:cNvSpPr>
      </xdr:nvSpPr>
      <xdr:spPr>
        <a:xfrm>
          <a:off x="6455004" y="4372840"/>
          <a:ext cx="4397723" cy="2051869"/>
        </a:xfrm>
        <a:prstGeom prst="roundRect">
          <a:avLst>
            <a:gd name="adj" fmla="val 6023"/>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10</xdr:col>
      <xdr:colOff>480229</xdr:colOff>
      <xdr:row>24</xdr:row>
      <xdr:rowOff>158750</xdr:rowOff>
    </xdr:from>
    <xdr:to>
      <xdr:col>17</xdr:col>
      <xdr:colOff>432954</xdr:colOff>
      <xdr:row>33</xdr:row>
      <xdr:rowOff>144318</xdr:rowOff>
    </xdr:to>
    <xdr:graphicFrame macro="">
      <xdr:nvGraphicFramePr>
        <xdr:cNvPr id="13" name="Chart 12">
          <a:extLst>
            <a:ext uri="{FF2B5EF4-FFF2-40B4-BE49-F238E27FC236}">
              <a16:creationId xmlns:a16="http://schemas.microsoft.com/office/drawing/2014/main" id="{2DAB1C0A-FCE2-45BC-9BBD-310BE9A21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577273</xdr:colOff>
      <xdr:row>10</xdr:row>
      <xdr:rowOff>28863</xdr:rowOff>
    </xdr:from>
    <xdr:to>
      <xdr:col>28</xdr:col>
      <xdr:colOff>0</xdr:colOff>
      <xdr:row>22</xdr:row>
      <xdr:rowOff>86590</xdr:rowOff>
    </xdr:to>
    <xdr:graphicFrame macro="">
      <xdr:nvGraphicFramePr>
        <xdr:cNvPr id="15" name="Chart 14">
          <a:extLst>
            <a:ext uri="{FF2B5EF4-FFF2-40B4-BE49-F238E27FC236}">
              <a16:creationId xmlns:a16="http://schemas.microsoft.com/office/drawing/2014/main" id="{27254BAE-81DE-4F39-B2F3-67B51CD28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566823</xdr:colOff>
      <xdr:row>8</xdr:row>
      <xdr:rowOff>115453</xdr:rowOff>
    </xdr:from>
    <xdr:to>
      <xdr:col>25</xdr:col>
      <xdr:colOff>460824</xdr:colOff>
      <xdr:row>10</xdr:row>
      <xdr:rowOff>47692</xdr:rowOff>
    </xdr:to>
    <xdr:sp macro="" textlink="">
      <xdr:nvSpPr>
        <xdr:cNvPr id="16" name="TextBox 15">
          <a:extLst>
            <a:ext uri="{FF2B5EF4-FFF2-40B4-BE49-F238E27FC236}">
              <a16:creationId xmlns:a16="http://schemas.microsoft.com/office/drawing/2014/main" id="{AA562E85-BC55-4DFD-8686-70DAC4568BA3}"/>
            </a:ext>
          </a:extLst>
        </xdr:cNvPr>
        <xdr:cNvSpPr txBox="1"/>
      </xdr:nvSpPr>
      <xdr:spPr>
        <a:xfrm>
          <a:off x="12689550" y="1616362"/>
          <a:ext cx="2924683" cy="307466"/>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400" b="1" i="0" u="none" strike="noStrike">
              <a:solidFill>
                <a:srgbClr val="2E3440"/>
              </a:solidFill>
              <a:latin typeface="Aptos Narrow"/>
            </a:rPr>
            <a:t>Top</a:t>
          </a:r>
          <a:r>
            <a:rPr lang="en-US" sz="1400" b="1" i="0" u="none" strike="noStrike" baseline="0">
              <a:solidFill>
                <a:srgbClr val="2E3440"/>
              </a:solidFill>
              <a:latin typeface="Aptos Narrow"/>
            </a:rPr>
            <a:t> 10 Most Powerful Cars</a:t>
          </a:r>
          <a:endParaRPr lang="en-US" sz="1400" b="1" i="0" u="none" strike="noStrike">
            <a:solidFill>
              <a:srgbClr val="2E3440"/>
            </a:solidFill>
            <a:latin typeface="Aptos Narrow"/>
          </a:endParaRPr>
        </a:p>
      </xdr:txBody>
    </xdr:sp>
    <xdr:clientData/>
  </xdr:twoCellAnchor>
  <xdr:twoCellAnchor>
    <xdr:from>
      <xdr:col>10</xdr:col>
      <xdr:colOff>436935</xdr:colOff>
      <xdr:row>23</xdr:row>
      <xdr:rowOff>72157</xdr:rowOff>
    </xdr:from>
    <xdr:to>
      <xdr:col>15</xdr:col>
      <xdr:colOff>330937</xdr:colOff>
      <xdr:row>25</xdr:row>
      <xdr:rowOff>4396</xdr:rowOff>
    </xdr:to>
    <xdr:sp macro="" textlink="">
      <xdr:nvSpPr>
        <xdr:cNvPr id="17" name="TextBox 16">
          <a:extLst>
            <a:ext uri="{FF2B5EF4-FFF2-40B4-BE49-F238E27FC236}">
              <a16:creationId xmlns:a16="http://schemas.microsoft.com/office/drawing/2014/main" id="{4F492EB3-B8C4-4D19-8B1E-77D719A599D3}"/>
            </a:ext>
          </a:extLst>
        </xdr:cNvPr>
        <xdr:cNvSpPr txBox="1"/>
      </xdr:nvSpPr>
      <xdr:spPr>
        <a:xfrm>
          <a:off x="6498299" y="4387271"/>
          <a:ext cx="2924683" cy="307466"/>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400" b="1" i="0" u="none" strike="noStrike">
              <a:solidFill>
                <a:srgbClr val="2E3440"/>
              </a:solidFill>
              <a:latin typeface="Aptos Narrow"/>
            </a:rPr>
            <a:t>Number</a:t>
          </a:r>
          <a:r>
            <a:rPr lang="en-US" sz="1400" b="1" i="0" u="none" strike="noStrike" baseline="0">
              <a:solidFill>
                <a:srgbClr val="2E3440"/>
              </a:solidFill>
              <a:latin typeface="Aptos Narrow"/>
            </a:rPr>
            <a:t> of Body Type</a:t>
          </a:r>
          <a:endParaRPr lang="en-US" sz="1400" b="1" i="0" u="none" strike="noStrike">
            <a:solidFill>
              <a:srgbClr val="2E3440"/>
            </a:solidFill>
            <a:latin typeface="Aptos Narrow"/>
          </a:endParaRPr>
        </a:p>
      </xdr:txBody>
    </xdr:sp>
    <xdr:clientData/>
  </xdr:twoCellAnchor>
  <xdr:twoCellAnchor>
    <xdr:from>
      <xdr:col>10</xdr:col>
      <xdr:colOff>548409</xdr:colOff>
      <xdr:row>36</xdr:row>
      <xdr:rowOff>129885</xdr:rowOff>
    </xdr:from>
    <xdr:to>
      <xdr:col>17</xdr:col>
      <xdr:colOff>216477</xdr:colOff>
      <xdr:row>45</xdr:row>
      <xdr:rowOff>129886</xdr:rowOff>
    </xdr:to>
    <xdr:graphicFrame macro="">
      <xdr:nvGraphicFramePr>
        <xdr:cNvPr id="18" name="Chart 17">
          <a:extLst>
            <a:ext uri="{FF2B5EF4-FFF2-40B4-BE49-F238E27FC236}">
              <a16:creationId xmlns:a16="http://schemas.microsoft.com/office/drawing/2014/main" id="{F488B2FD-F7B0-4029-BE15-685FFBB61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133866</xdr:colOff>
      <xdr:row>23</xdr:row>
      <xdr:rowOff>86591</xdr:rowOff>
    </xdr:from>
    <xdr:to>
      <xdr:col>28</xdr:col>
      <xdr:colOff>115454</xdr:colOff>
      <xdr:row>46</xdr:row>
      <xdr:rowOff>14431</xdr:rowOff>
    </xdr:to>
    <xdr:sp macro="" textlink="">
      <xdr:nvSpPr>
        <xdr:cNvPr id="19" name="Flowchart: Stored Data 1">
          <a:extLst>
            <a:ext uri="{FF2B5EF4-FFF2-40B4-BE49-F238E27FC236}">
              <a16:creationId xmlns:a16="http://schemas.microsoft.com/office/drawing/2014/main" id="{9F4A318C-B255-4CC5-A256-72595546DC9A}"/>
            </a:ext>
          </a:extLst>
        </xdr:cNvPr>
        <xdr:cNvSpPr>
          <a:spLocks/>
        </xdr:cNvSpPr>
      </xdr:nvSpPr>
      <xdr:spPr>
        <a:xfrm>
          <a:off x="11044321" y="4401705"/>
          <a:ext cx="6042951" cy="4242953"/>
        </a:xfrm>
        <a:prstGeom prst="roundRect">
          <a:avLst>
            <a:gd name="adj" fmla="val 6023"/>
          </a:avLst>
        </a:prstGeom>
        <a:solidFill>
          <a:schemeClr val="bg1"/>
        </a:solidFill>
        <a:ln w="9525">
          <a:solidFill>
            <a:srgbClr val="E5E7EB"/>
          </a:solidFill>
        </a:ln>
        <a:effectLst>
          <a:outerShdw blurRad="50800" dist="38100" dir="27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IN" sz="1100">
            <a:solidFill>
              <a:schemeClr val="lt1"/>
            </a:solidFill>
            <a:latin typeface="+mn-lt"/>
            <a:ea typeface="+mn-ea"/>
            <a:cs typeface="+mn-cs"/>
          </a:endParaRPr>
        </a:p>
      </xdr:txBody>
    </xdr:sp>
    <xdr:clientData/>
  </xdr:twoCellAnchor>
  <xdr:twoCellAnchor>
    <xdr:from>
      <xdr:col>18</xdr:col>
      <xdr:colOff>216477</xdr:colOff>
      <xdr:row>23</xdr:row>
      <xdr:rowOff>86592</xdr:rowOff>
    </xdr:from>
    <xdr:to>
      <xdr:col>27</xdr:col>
      <xdr:colOff>519545</xdr:colOff>
      <xdr:row>45</xdr:row>
      <xdr:rowOff>115458</xdr:rowOff>
    </xdr:to>
    <xdr:graphicFrame macro="">
      <xdr:nvGraphicFramePr>
        <xdr:cNvPr id="8" name="Chart 7">
          <a:extLst>
            <a:ext uri="{FF2B5EF4-FFF2-40B4-BE49-F238E27FC236}">
              <a16:creationId xmlns:a16="http://schemas.microsoft.com/office/drawing/2014/main" id="{3AF7B1E7-1DD6-43F3-A834-43C552462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18</xdr:col>
      <xdr:colOff>499097</xdr:colOff>
      <xdr:row>30</xdr:row>
      <xdr:rowOff>45462</xdr:rowOff>
    </xdr:from>
    <xdr:to>
      <xdr:col>20</xdr:col>
      <xdr:colOff>120189</xdr:colOff>
      <xdr:row>33</xdr:row>
      <xdr:rowOff>130327</xdr:rowOff>
    </xdr:to>
    <xdr:sp macro="" textlink="">
      <xdr:nvSpPr>
        <xdr:cNvPr id="21" name="Q1_ValuePerformance">
          <a:extLst>
            <a:ext uri="{FF2B5EF4-FFF2-40B4-BE49-F238E27FC236}">
              <a16:creationId xmlns:a16="http://schemas.microsoft.com/office/drawing/2014/main" id="{31EF7AA6-2E7B-076F-D80E-01FE2C250550}"/>
            </a:ext>
          </a:extLst>
        </xdr:cNvPr>
        <xdr:cNvSpPr txBox="1"/>
      </xdr:nvSpPr>
      <xdr:spPr>
        <a:xfrm>
          <a:off x="11409552" y="5673871"/>
          <a:ext cx="833364" cy="647706"/>
        </a:xfrm>
        <a:prstGeom prst="rect">
          <a:avLst/>
        </a:prstGeom>
        <a:solidFill>
          <a:prstClr val="white">
            <a:alpha val="0"/>
          </a:prstClr>
        </a:solidFill>
        <a:ln>
          <a:noFill/>
        </a:ln>
      </xdr:spPr>
      <xdr:txBody>
        <a:bodyPr vertOverflow="clip" horzOverflow="clip" vert="horz" wrap="square" rtlCol="0" anchor="t">
          <a:noAutofit/>
        </a:bodyPr>
        <a:lstStyle/>
        <a:p>
          <a:pPr algn="l"/>
          <a:r>
            <a:rPr kumimoji="0" lang="en-US" sz="1300" b="1" i="0" u="none" strike="noStrike" kern="0" cap="none" spc="0" normalizeH="0" baseline="0" noProof="0">
              <a:ln>
                <a:noFill/>
              </a:ln>
              <a:solidFill>
                <a:srgbClr val="2E7D32"/>
              </a:solidFill>
              <a:effectLst/>
              <a:uLnTx/>
              <a:uFillTx/>
              <a:latin typeface="Aptos Narrow" panose="02110004020202020204"/>
            </a:rPr>
            <a:t>Value for Money</a:t>
          </a:r>
        </a:p>
      </xdr:txBody>
    </xdr:sp>
    <xdr:clientData/>
  </xdr:twoCellAnchor>
  <xdr:twoCellAnchor editAs="absolute">
    <xdr:from>
      <xdr:col>22</xdr:col>
      <xdr:colOff>178111</xdr:colOff>
      <xdr:row>31</xdr:row>
      <xdr:rowOff>6809</xdr:rowOff>
    </xdr:from>
    <xdr:to>
      <xdr:col>24</xdr:col>
      <xdr:colOff>117953</xdr:colOff>
      <xdr:row>33</xdr:row>
      <xdr:rowOff>130949</xdr:rowOff>
    </xdr:to>
    <xdr:sp macro="" textlink="">
      <xdr:nvSpPr>
        <xdr:cNvPr id="22" name="Q2_LuxuryPerformance">
          <a:extLst>
            <a:ext uri="{FF2B5EF4-FFF2-40B4-BE49-F238E27FC236}">
              <a16:creationId xmlns:a16="http://schemas.microsoft.com/office/drawing/2014/main" id="{7CE50B58-F3EE-F9EA-4942-1D3D816CA3C5}"/>
            </a:ext>
          </a:extLst>
        </xdr:cNvPr>
        <xdr:cNvSpPr txBox="1"/>
      </xdr:nvSpPr>
      <xdr:spPr>
        <a:xfrm>
          <a:off x="13513111" y="5822832"/>
          <a:ext cx="1152115" cy="499367"/>
        </a:xfrm>
        <a:prstGeom prst="rect">
          <a:avLst/>
        </a:prstGeom>
        <a:solidFill>
          <a:prstClr val="white">
            <a:alpha val="0"/>
          </a:prstClr>
        </a:solidFill>
        <a:ln>
          <a:noFill/>
        </a:ln>
      </xdr:spPr>
      <xdr:txBody>
        <a:bodyPr vertOverflow="overflow" vert="horz" wrap="square" rtlCol="0" anchor="t">
          <a:spAutoFit/>
        </a:bodyPr>
        <a:lstStyle/>
        <a:p>
          <a:pPr algn="l"/>
          <a:r>
            <a:rPr kumimoji="0" lang="en-US" sz="1300" b="1" i="0" u="none" strike="noStrike" kern="0" cap="none" spc="0" normalizeH="0" baseline="0" noProof="0">
              <a:ln>
                <a:noFill/>
              </a:ln>
              <a:solidFill>
                <a:srgbClr val="1565C0"/>
              </a:solidFill>
              <a:effectLst/>
              <a:uLnTx/>
              <a:uFillTx/>
              <a:latin typeface="Aptos Narrow" panose="02110004020202020204"/>
            </a:rPr>
            <a:t>Premium
Performance</a:t>
          </a:r>
        </a:p>
      </xdr:txBody>
    </xdr:sp>
    <xdr:clientData/>
  </xdr:twoCellAnchor>
  <xdr:twoCellAnchor editAs="absolute">
    <xdr:from>
      <xdr:col>19</xdr:col>
      <xdr:colOff>184259</xdr:colOff>
      <xdr:row>42</xdr:row>
      <xdr:rowOff>23924</xdr:rowOff>
    </xdr:from>
    <xdr:to>
      <xdr:col>21</xdr:col>
      <xdr:colOff>393970</xdr:colOff>
      <xdr:row>43</xdr:row>
      <xdr:rowOff>132161</xdr:rowOff>
    </xdr:to>
    <xdr:sp macro="" textlink="">
      <xdr:nvSpPr>
        <xdr:cNvPr id="24" name="Q3_Economy">
          <a:extLst>
            <a:ext uri="{FF2B5EF4-FFF2-40B4-BE49-F238E27FC236}">
              <a16:creationId xmlns:a16="http://schemas.microsoft.com/office/drawing/2014/main" id="{E1D4EC28-3BBF-B7E3-4B5D-ADF36F465CC1}"/>
            </a:ext>
          </a:extLst>
        </xdr:cNvPr>
        <xdr:cNvSpPr txBox="1"/>
      </xdr:nvSpPr>
      <xdr:spPr>
        <a:xfrm>
          <a:off x="11700850" y="7903697"/>
          <a:ext cx="1421984" cy="295850"/>
        </a:xfrm>
        <a:prstGeom prst="rect">
          <a:avLst/>
        </a:prstGeom>
        <a:solidFill>
          <a:prstClr val="white">
            <a:alpha val="0"/>
          </a:prstClr>
        </a:solidFill>
        <a:ln>
          <a:noFill/>
        </a:ln>
      </xdr:spPr>
      <xdr:txBody>
        <a:bodyPr vertOverflow="overflow" vert="horz" wrap="square" rtlCol="0" anchor="t">
          <a:spAutoFit/>
        </a:bodyPr>
        <a:lstStyle/>
        <a:p>
          <a:pPr algn="l"/>
          <a:r>
            <a:rPr kumimoji="0" lang="en-US" sz="1300" b="1" i="0" u="none" strike="noStrike" kern="0" cap="none" spc="0" normalizeH="0" baseline="0" noProof="0">
              <a:ln>
                <a:noFill/>
              </a:ln>
              <a:solidFill>
                <a:srgbClr val="F57C00"/>
              </a:solidFill>
              <a:effectLst/>
              <a:uLnTx/>
              <a:uFillTx/>
              <a:latin typeface="Aptos Narrow" panose="02110004020202020204"/>
            </a:rPr>
            <a:t>Budget Cars</a:t>
          </a:r>
        </a:p>
      </xdr:txBody>
    </xdr:sp>
    <xdr:clientData/>
  </xdr:twoCellAnchor>
  <xdr:twoCellAnchor>
    <xdr:from>
      <xdr:col>4</xdr:col>
      <xdr:colOff>492125</xdr:colOff>
      <xdr:row>8</xdr:row>
      <xdr:rowOff>111124</xdr:rowOff>
    </xdr:from>
    <xdr:to>
      <xdr:col>10</xdr:col>
      <xdr:colOff>206375</xdr:colOff>
      <xdr:row>46</xdr:row>
      <xdr:rowOff>31750</xdr:rowOff>
    </xdr:to>
    <xdr:sp macro="" textlink="">
      <xdr:nvSpPr>
        <xdr:cNvPr id="33" name="Rectangle 32">
          <a:extLst>
            <a:ext uri="{FF2B5EF4-FFF2-40B4-BE49-F238E27FC236}">
              <a16:creationId xmlns:a16="http://schemas.microsoft.com/office/drawing/2014/main" id="{DC951008-E972-ED5A-16AC-37D47FF54F2D}"/>
            </a:ext>
          </a:extLst>
        </xdr:cNvPr>
        <xdr:cNvSpPr/>
      </xdr:nvSpPr>
      <xdr:spPr>
        <a:xfrm>
          <a:off x="2905125" y="1635124"/>
          <a:ext cx="3333750" cy="715962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587375</xdr:colOff>
      <xdr:row>15</xdr:row>
      <xdr:rowOff>187613</xdr:rowOff>
    </xdr:from>
    <xdr:to>
      <xdr:col>10</xdr:col>
      <xdr:colOff>95251</xdr:colOff>
      <xdr:row>23</xdr:row>
      <xdr:rowOff>142875</xdr:rowOff>
    </xdr:to>
    <mc:AlternateContent xmlns:mc="http://schemas.openxmlformats.org/markup-compatibility/2006" xmlns:a14="http://schemas.microsoft.com/office/drawing/2010/main">
      <mc:Choice Requires="a14">
        <xdr:graphicFrame macro="">
          <xdr:nvGraphicFramePr>
            <xdr:cNvPr id="20" name="Make 2">
              <a:extLst>
                <a:ext uri="{FF2B5EF4-FFF2-40B4-BE49-F238E27FC236}">
                  <a16:creationId xmlns:a16="http://schemas.microsoft.com/office/drawing/2014/main" id="{403686CF-9CFA-4FCB-9864-99716C977EEB}"/>
                </a:ext>
              </a:extLst>
            </xdr:cNvPr>
            <xdr:cNvGraphicFramePr/>
          </xdr:nvGraphicFramePr>
          <xdr:xfrm>
            <a:off x="0" y="0"/>
            <a:ext cx="0" cy="0"/>
          </xdr:xfrm>
          <a:graphic>
            <a:graphicData uri="http://schemas.microsoft.com/office/drawing/2010/slicer">
              <sle:slicer xmlns:sle="http://schemas.microsoft.com/office/drawing/2010/slicer" name="Make 2"/>
            </a:graphicData>
          </a:graphic>
        </xdr:graphicFrame>
      </mc:Choice>
      <mc:Fallback xmlns="">
        <xdr:sp macro="" textlink="">
          <xdr:nvSpPr>
            <xdr:cNvPr id="0" name=""/>
            <xdr:cNvSpPr>
              <a:spLocks noTextEdit="1"/>
            </xdr:cNvSpPr>
          </xdr:nvSpPr>
          <xdr:spPr>
            <a:xfrm>
              <a:off x="3000375" y="3045113"/>
              <a:ext cx="3127376" cy="1479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581974</xdr:colOff>
      <xdr:row>24</xdr:row>
      <xdr:rowOff>121949</xdr:rowOff>
    </xdr:from>
    <xdr:to>
      <xdr:col>10</xdr:col>
      <xdr:colOff>119642</xdr:colOff>
      <xdr:row>30</xdr:row>
      <xdr:rowOff>158750</xdr:rowOff>
    </xdr:to>
    <mc:AlternateContent xmlns:mc="http://schemas.openxmlformats.org/markup-compatibility/2006" xmlns:a14="http://schemas.microsoft.com/office/drawing/2010/main">
      <mc:Choice Requires="a14">
        <xdr:graphicFrame macro="">
          <xdr:nvGraphicFramePr>
            <xdr:cNvPr id="23" name="Fuel_Type 1">
              <a:extLst>
                <a:ext uri="{FF2B5EF4-FFF2-40B4-BE49-F238E27FC236}">
                  <a16:creationId xmlns:a16="http://schemas.microsoft.com/office/drawing/2014/main" id="{3CB6149D-C162-4A7E-A1C8-B539EEEB0F33}"/>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2994974" y="4693949"/>
              <a:ext cx="3157168" cy="117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569851</xdr:colOff>
      <xdr:row>39</xdr:row>
      <xdr:rowOff>141864</xdr:rowOff>
    </xdr:from>
    <xdr:to>
      <xdr:col>10</xdr:col>
      <xdr:colOff>110982</xdr:colOff>
      <xdr:row>45</xdr:row>
      <xdr:rowOff>19915</xdr:rowOff>
    </xdr:to>
    <mc:AlternateContent xmlns:mc="http://schemas.openxmlformats.org/markup-compatibility/2006" xmlns:a14="http://schemas.microsoft.com/office/drawing/2010/main">
      <mc:Choice Requires="a14">
        <xdr:graphicFrame macro="">
          <xdr:nvGraphicFramePr>
            <xdr:cNvPr id="29" name="Transmission 1">
              <a:extLst>
                <a:ext uri="{FF2B5EF4-FFF2-40B4-BE49-F238E27FC236}">
                  <a16:creationId xmlns:a16="http://schemas.microsoft.com/office/drawing/2014/main" id="{563846BA-2463-4870-BCB9-8792FA8D13DE}"/>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2982851" y="7571364"/>
              <a:ext cx="3160631" cy="1021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577273</xdr:colOff>
      <xdr:row>31</xdr:row>
      <xdr:rowOff>138544</xdr:rowOff>
    </xdr:from>
    <xdr:to>
      <xdr:col>10</xdr:col>
      <xdr:colOff>89477</xdr:colOff>
      <xdr:row>38</xdr:row>
      <xdr:rowOff>109680</xdr:rowOff>
    </xdr:to>
    <mc:AlternateContent xmlns:mc="http://schemas.openxmlformats.org/markup-compatibility/2006" xmlns:a14="http://schemas.microsoft.com/office/drawing/2010/main">
      <mc:Choice Requires="a14">
        <xdr:graphicFrame macro="">
          <xdr:nvGraphicFramePr>
            <xdr:cNvPr id="45" name="Body_Type 1">
              <a:extLst>
                <a:ext uri="{FF2B5EF4-FFF2-40B4-BE49-F238E27FC236}">
                  <a16:creationId xmlns:a16="http://schemas.microsoft.com/office/drawing/2014/main" id="{05542DB0-8A89-4506-B0C2-52DC990327EB}"/>
                </a:ext>
              </a:extLst>
            </xdr:cNvPr>
            <xdr:cNvGraphicFramePr/>
          </xdr:nvGraphicFramePr>
          <xdr:xfrm>
            <a:off x="0" y="0"/>
            <a:ext cx="0" cy="0"/>
          </xdr:xfrm>
          <a:graphic>
            <a:graphicData uri="http://schemas.microsoft.com/office/drawing/2010/slicer">
              <sle:slicer xmlns:sle="http://schemas.microsoft.com/office/drawing/2010/slicer" name="Body_Type 1"/>
            </a:graphicData>
          </a:graphic>
        </xdr:graphicFrame>
      </mc:Choice>
      <mc:Fallback xmlns="">
        <xdr:sp macro="" textlink="">
          <xdr:nvSpPr>
            <xdr:cNvPr id="0" name=""/>
            <xdr:cNvSpPr>
              <a:spLocks noTextEdit="1"/>
            </xdr:cNvSpPr>
          </xdr:nvSpPr>
          <xdr:spPr>
            <a:xfrm>
              <a:off x="2990273" y="6044044"/>
              <a:ext cx="3131704" cy="1304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317501</xdr:colOff>
      <xdr:row>3</xdr:row>
      <xdr:rowOff>95504</xdr:rowOff>
    </xdr:from>
    <xdr:to>
      <xdr:col>28</xdr:col>
      <xdr:colOff>123535</xdr:colOff>
      <xdr:row>5</xdr:row>
      <xdr:rowOff>70916</xdr:rowOff>
    </xdr:to>
    <xdr:sp macro="" textlink="Analysis!U4">
      <xdr:nvSpPr>
        <xdr:cNvPr id="2" name="TextBox 1">
          <a:extLst>
            <a:ext uri="{FF2B5EF4-FFF2-40B4-BE49-F238E27FC236}">
              <a16:creationId xmlns:a16="http://schemas.microsoft.com/office/drawing/2014/main" id="{AFA23EB6-9688-4380-98D5-5C0AC5C5C9AC}"/>
            </a:ext>
          </a:extLst>
        </xdr:cNvPr>
        <xdr:cNvSpPr txBox="1"/>
      </xdr:nvSpPr>
      <xdr:spPr>
        <a:xfrm>
          <a:off x="16002001" y="667004"/>
          <a:ext cx="1012534" cy="356412"/>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fld id="{A467315E-BA55-412E-9319-3C9947B55FF1}" type="TxLink">
            <a:rPr lang="en-US" sz="1400" b="0" i="0" u="none" strike="noStrike">
              <a:solidFill>
                <a:srgbClr val="2E3440"/>
              </a:solidFill>
              <a:latin typeface="Aptos Narrow"/>
              <a:ea typeface="+mn-ea"/>
              <a:cs typeface="+mn-cs"/>
            </a:rPr>
            <a:pPr marL="0" indent="0" algn="ctr"/>
            <a:t>1600 BHP</a:t>
          </a:fld>
          <a:endParaRPr lang="en-US" sz="1400" b="0" i="0" u="none" strike="noStrike">
            <a:solidFill>
              <a:srgbClr val="2E3440"/>
            </a:solidFill>
            <a:latin typeface="Aptos SemiBold" panose="020B0004020202020204" pitchFamily="34" charset="0"/>
            <a:ea typeface="+mn-ea"/>
            <a:cs typeface="+mn-cs"/>
          </a:endParaRPr>
        </a:p>
      </xdr:txBody>
    </xdr:sp>
    <xdr:clientData/>
  </xdr:twoCellAnchor>
  <xdr:twoCellAnchor>
    <xdr:from>
      <xdr:col>26</xdr:col>
      <xdr:colOff>417081</xdr:colOff>
      <xdr:row>4</xdr:row>
      <xdr:rowOff>173181</xdr:rowOff>
    </xdr:from>
    <xdr:to>
      <xdr:col>28</xdr:col>
      <xdr:colOff>117678</xdr:colOff>
      <xdr:row>6</xdr:row>
      <xdr:rowOff>3701</xdr:rowOff>
    </xdr:to>
    <xdr:sp macro="" textlink="Analysis!U5">
      <xdr:nvSpPr>
        <xdr:cNvPr id="3" name="TextBox 2">
          <a:extLst>
            <a:ext uri="{FF2B5EF4-FFF2-40B4-BE49-F238E27FC236}">
              <a16:creationId xmlns:a16="http://schemas.microsoft.com/office/drawing/2014/main" id="{FD261C12-B727-4E72-A66D-201881CE43FF}"/>
            </a:ext>
          </a:extLst>
        </xdr:cNvPr>
        <xdr:cNvSpPr txBox="1"/>
      </xdr:nvSpPr>
      <xdr:spPr>
        <a:xfrm>
          <a:off x="16101581" y="935181"/>
          <a:ext cx="907097" cy="21152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marL="0" indent="0" algn="ctr"/>
          <a:fld id="{7EEB3CD9-9F8B-4F71-8C28-158B1E76A9C3}" type="TxLink">
            <a:rPr lang="en-US" sz="1400" b="0" i="0" u="none" strike="noStrike">
              <a:solidFill>
                <a:srgbClr val="2E3440"/>
              </a:solidFill>
              <a:latin typeface="Aptos Narrow"/>
              <a:ea typeface="+mn-ea"/>
              <a:cs typeface="+mn-cs"/>
            </a:rPr>
            <a:pPr marL="0" indent="0" algn="ctr"/>
            <a:t>₹ 212.2L</a:t>
          </a:fld>
          <a:endParaRPr lang="en-US" sz="1400" b="0" i="0" u="none" strike="noStrike">
            <a:solidFill>
              <a:srgbClr val="2E3440"/>
            </a:solidFill>
            <a:latin typeface="Aptos SemiBold" panose="020B0004020202020204" pitchFamily="34" charset="0"/>
            <a:ea typeface="+mn-ea"/>
            <a:cs typeface="+mn-cs"/>
          </a:endParaRPr>
        </a:p>
      </xdr:txBody>
    </xdr:sp>
    <xdr:clientData/>
  </xdr:twoCellAnchor>
  <xdr:twoCellAnchor>
    <xdr:from>
      <xdr:col>5</xdr:col>
      <xdr:colOff>206376</xdr:colOff>
      <xdr:row>9</xdr:row>
      <xdr:rowOff>47625</xdr:rowOff>
    </xdr:from>
    <xdr:to>
      <xdr:col>9</xdr:col>
      <xdr:colOff>460376</xdr:colOff>
      <xdr:row>11</xdr:row>
      <xdr:rowOff>95250</xdr:rowOff>
    </xdr:to>
    <xdr:sp macro="" textlink="">
      <xdr:nvSpPr>
        <xdr:cNvPr id="41" name="Rectangle: Rounded Corners 40">
          <a:hlinkClick xmlns:r="http://schemas.openxmlformats.org/officeDocument/2006/relationships" r:id="rId15"/>
          <a:extLst>
            <a:ext uri="{FF2B5EF4-FFF2-40B4-BE49-F238E27FC236}">
              <a16:creationId xmlns:a16="http://schemas.microsoft.com/office/drawing/2014/main" id="{65B4A809-8B20-4000-9064-E90849C5006E}"/>
            </a:ext>
          </a:extLst>
        </xdr:cNvPr>
        <xdr:cNvSpPr/>
      </xdr:nvSpPr>
      <xdr:spPr>
        <a:xfrm>
          <a:off x="3222626" y="1762125"/>
          <a:ext cx="2667000" cy="428625"/>
        </a:xfrm>
        <a:prstGeom prst="roundRect">
          <a:avLst/>
        </a:prstGeom>
        <a:solidFill>
          <a:srgbClr val="7EBE9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ptos SemiBold" panose="020B0004020202020204" pitchFamily="34" charset="0"/>
            </a:rPr>
            <a:t>DATA</a:t>
          </a:r>
        </a:p>
      </xdr:txBody>
    </xdr:sp>
    <xdr:clientData/>
  </xdr:twoCellAnchor>
  <xdr:twoCellAnchor>
    <xdr:from>
      <xdr:col>5</xdr:col>
      <xdr:colOff>206375</xdr:colOff>
      <xdr:row>12</xdr:row>
      <xdr:rowOff>63500</xdr:rowOff>
    </xdr:from>
    <xdr:to>
      <xdr:col>9</xdr:col>
      <xdr:colOff>460375</xdr:colOff>
      <xdr:row>14</xdr:row>
      <xdr:rowOff>111125</xdr:rowOff>
    </xdr:to>
    <xdr:sp macro="" textlink="">
      <xdr:nvSpPr>
        <xdr:cNvPr id="42" name="Rectangle: Rounded Corners 41">
          <a:hlinkClick xmlns:r="http://schemas.openxmlformats.org/officeDocument/2006/relationships" r:id="rId16"/>
          <a:extLst>
            <a:ext uri="{FF2B5EF4-FFF2-40B4-BE49-F238E27FC236}">
              <a16:creationId xmlns:a16="http://schemas.microsoft.com/office/drawing/2014/main" id="{75BD1973-A3F3-45E3-95C1-A45221021869}"/>
            </a:ext>
          </a:extLst>
        </xdr:cNvPr>
        <xdr:cNvSpPr/>
      </xdr:nvSpPr>
      <xdr:spPr>
        <a:xfrm>
          <a:off x="3222625" y="2349500"/>
          <a:ext cx="2667000" cy="428625"/>
        </a:xfrm>
        <a:prstGeom prst="roundRect">
          <a:avLst/>
        </a:prstGeom>
        <a:solidFill>
          <a:srgbClr val="7EBE97"/>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ptos SemiBold" panose="020B0004020202020204" pitchFamily="34" charset="0"/>
            </a:rPr>
            <a:t>ANALYSIS</a:t>
          </a:r>
        </a:p>
      </xdr:txBody>
    </xdr:sp>
    <xdr:clientData/>
  </xdr:twoCellAnchor>
  <xdr:twoCellAnchor editAs="oneCell">
    <xdr:from>
      <xdr:col>5</xdr:col>
      <xdr:colOff>476251</xdr:colOff>
      <xdr:row>12</xdr:row>
      <xdr:rowOff>127001</xdr:rowOff>
    </xdr:from>
    <xdr:to>
      <xdr:col>6</xdr:col>
      <xdr:colOff>206375</xdr:colOff>
      <xdr:row>14</xdr:row>
      <xdr:rowOff>79375</xdr:rowOff>
    </xdr:to>
    <xdr:pic>
      <xdr:nvPicPr>
        <xdr:cNvPr id="48" name="Picture 47">
          <a:extLst>
            <a:ext uri="{FF2B5EF4-FFF2-40B4-BE49-F238E27FC236}">
              <a16:creationId xmlns:a16="http://schemas.microsoft.com/office/drawing/2014/main" id="{36B805CC-52AA-08F4-8B3F-0AED080C94F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92501" y="2413001"/>
          <a:ext cx="333374" cy="333374"/>
        </a:xfrm>
        <a:prstGeom prst="rect">
          <a:avLst/>
        </a:prstGeom>
      </xdr:spPr>
    </xdr:pic>
    <xdr:clientData/>
  </xdr:twoCellAnchor>
  <xdr:twoCellAnchor editAs="oneCell">
    <xdr:from>
      <xdr:col>5</xdr:col>
      <xdr:colOff>492125</xdr:colOff>
      <xdr:row>9</xdr:row>
      <xdr:rowOff>127000</xdr:rowOff>
    </xdr:from>
    <xdr:to>
      <xdr:col>6</xdr:col>
      <xdr:colOff>190500</xdr:colOff>
      <xdr:row>11</xdr:row>
      <xdr:rowOff>47625</xdr:rowOff>
    </xdr:to>
    <xdr:pic>
      <xdr:nvPicPr>
        <xdr:cNvPr id="50" name="Picture 49">
          <a:extLst>
            <a:ext uri="{FF2B5EF4-FFF2-40B4-BE49-F238E27FC236}">
              <a16:creationId xmlns:a16="http://schemas.microsoft.com/office/drawing/2014/main" id="{506885BA-702D-5BDA-06B9-98015B71FDE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508375" y="1841500"/>
          <a:ext cx="301625" cy="301625"/>
        </a:xfrm>
        <a:prstGeom prst="rect">
          <a:avLst/>
        </a:prstGeom>
      </xdr:spPr>
    </xdr:pic>
    <xdr:clientData/>
  </xdr:twoCellAnchor>
  <xdr:twoCellAnchor editAs="oneCell">
    <xdr:from>
      <xdr:col>25</xdr:col>
      <xdr:colOff>42069</xdr:colOff>
      <xdr:row>4</xdr:row>
      <xdr:rowOff>31750</xdr:rowOff>
    </xdr:from>
    <xdr:to>
      <xdr:col>26</xdr:col>
      <xdr:colOff>302263</xdr:colOff>
      <xdr:row>5</xdr:row>
      <xdr:rowOff>174626</xdr:rowOff>
    </xdr:to>
    <xdr:pic>
      <xdr:nvPicPr>
        <xdr:cNvPr id="2048" name="Picture 2047">
          <a:extLst>
            <a:ext uri="{FF2B5EF4-FFF2-40B4-BE49-F238E27FC236}">
              <a16:creationId xmlns:a16="http://schemas.microsoft.com/office/drawing/2014/main" id="{1E3AACB4-FBDF-45D8-3B2E-2D25D17C80A1}"/>
            </a:ext>
          </a:extLst>
        </xdr:cNvPr>
        <xdr:cNvPicPr>
          <a:picLocks noChangeAspect="1"/>
        </xdr:cNvPicPr>
      </xdr:nvPicPr>
      <xdr:blipFill>
        <a:blip xmlns:r="http://schemas.openxmlformats.org/officeDocument/2006/relationships" r:embed="rId19"/>
        <a:stretch>
          <a:fillRect/>
        </a:stretch>
      </xdr:blipFill>
      <xdr:spPr>
        <a:xfrm>
          <a:off x="15123319" y="793750"/>
          <a:ext cx="863444" cy="333376"/>
        </a:xfrm>
        <a:prstGeom prst="rect">
          <a:avLst/>
        </a:prstGeom>
      </xdr:spPr>
    </xdr:pic>
    <xdr:clientData/>
  </xdr:twoCellAnchor>
  <xdr:twoCellAnchor>
    <xdr:from>
      <xdr:col>20</xdr:col>
      <xdr:colOff>15874</xdr:colOff>
      <xdr:row>46</xdr:row>
      <xdr:rowOff>95249</xdr:rowOff>
    </xdr:from>
    <xdr:to>
      <xdr:col>28</xdr:col>
      <xdr:colOff>79375</xdr:colOff>
      <xdr:row>47</xdr:row>
      <xdr:rowOff>142874</xdr:rowOff>
    </xdr:to>
    <xdr:sp macro="" textlink="">
      <xdr:nvSpPr>
        <xdr:cNvPr id="2050" name="Rectangle 2049">
          <a:extLst>
            <a:ext uri="{FF2B5EF4-FFF2-40B4-BE49-F238E27FC236}">
              <a16:creationId xmlns:a16="http://schemas.microsoft.com/office/drawing/2014/main" id="{97A975E5-C409-5BEA-F2B9-1A8C8CEEDCCF}"/>
            </a:ext>
          </a:extLst>
        </xdr:cNvPr>
        <xdr:cNvSpPr/>
      </xdr:nvSpPr>
      <xdr:spPr>
        <a:xfrm>
          <a:off x="12080874" y="8858249"/>
          <a:ext cx="4889501"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2E3440"/>
              </a:solidFill>
              <a:latin typeface="Aptos SemiBold" panose="020B0004020202020204" pitchFamily="34" charset="0"/>
            </a:rPr>
            <a:t>***</a:t>
          </a:r>
          <a:r>
            <a:rPr lang="en-US" sz="1100" b="1" baseline="0">
              <a:solidFill>
                <a:srgbClr val="2E3440"/>
              </a:solidFill>
              <a:latin typeface="Aptos SemiBold" panose="020B0004020202020204" pitchFamily="34" charset="0"/>
            </a:rPr>
            <a:t> Bugatti models are excluded from the chart visuals for better readability</a:t>
          </a:r>
          <a:endParaRPr lang="en-US" sz="1100" b="1">
            <a:solidFill>
              <a:srgbClr val="2E3440"/>
            </a:solidFill>
            <a:latin typeface="Aptos SemiBold" panose="020B0004020202020204" pitchFamily="34" charset="0"/>
          </a:endParaRPr>
        </a:p>
      </xdr:txBody>
    </xdr:sp>
    <xdr:clientData/>
  </xdr:twoCellAnchor>
  <xdr:twoCellAnchor editAs="oneCell">
    <xdr:from>
      <xdr:col>5</xdr:col>
      <xdr:colOff>254000</xdr:colOff>
      <xdr:row>1</xdr:row>
      <xdr:rowOff>95249</xdr:rowOff>
    </xdr:from>
    <xdr:to>
      <xdr:col>9</xdr:col>
      <xdr:colOff>428625</xdr:colOff>
      <xdr:row>6</xdr:row>
      <xdr:rowOff>31430</xdr:rowOff>
    </xdr:to>
    <xdr:pic>
      <xdr:nvPicPr>
        <xdr:cNvPr id="25" name="Picture 24">
          <a:extLst>
            <a:ext uri="{FF2B5EF4-FFF2-40B4-BE49-F238E27FC236}">
              <a16:creationId xmlns:a16="http://schemas.microsoft.com/office/drawing/2014/main" id="{F34E7FCE-86C2-E9D3-95CC-5D4E2B21EAD2}"/>
            </a:ext>
          </a:extLst>
        </xdr:cNvPr>
        <xdr:cNvPicPr>
          <a:picLocks noChangeAspect="1"/>
        </xdr:cNvPicPr>
      </xdr:nvPicPr>
      <xdr:blipFill rotWithShape="1">
        <a:blip xmlns:r="http://schemas.openxmlformats.org/officeDocument/2006/relationships" r:embed="rId20" cstate="print">
          <a:duotone>
            <a:prstClr val="black"/>
            <a:srgbClr val="F7F8FA">
              <a:tint val="45000"/>
              <a:satMod val="400000"/>
            </a:srgbClr>
          </a:duotone>
          <a:extLst>
            <a:ext uri="{28A0092B-C50C-407E-A947-70E740481C1C}">
              <a14:useLocalDpi xmlns:a14="http://schemas.microsoft.com/office/drawing/2010/main" val="0"/>
            </a:ext>
          </a:extLst>
        </a:blip>
        <a:srcRect l="12686" t="29546" r="13434" b="31817"/>
        <a:stretch>
          <a:fillRect/>
        </a:stretch>
      </xdr:blipFill>
      <xdr:spPr>
        <a:xfrm>
          <a:off x="3270250" y="285749"/>
          <a:ext cx="2587625" cy="888681"/>
        </a:xfrm>
        <a:prstGeom prst="rect">
          <a:avLst/>
        </a:prstGeom>
        <a:noFill/>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64213310185" backgroundQuery="1" createdVersion="8" refreshedVersion="8" minRefreshableVersion="3" recordCount="0" supportSubquery="1" supportAdvancedDrill="1" xr:uid="{B8D92143-4BAF-4EE2-86ED-B7075538B54E}">
  <cacheSource type="external" connectionId="1"/>
  <cacheFields count="3">
    <cacheField name="[CarData].[Make].[Make]" caption="Make" numFmtId="0" level="1">
      <sharedItems count="39">
        <s v="Aston Martin"/>
        <s v="Audi"/>
        <s v="Bajaj"/>
        <s v="Bentley"/>
        <s v="BMW"/>
        <s v="Datsun"/>
        <s v="Dc"/>
        <s v="Ferrari"/>
        <s v="Fiat"/>
        <s v="Force"/>
        <s v="Ford"/>
        <s v="Honda"/>
        <s v="Hyundai"/>
        <s v="Icml"/>
        <s v="Isuzu"/>
        <s v="Jaguar"/>
        <s v="Jeep"/>
        <s v="Kia"/>
        <s v="Lamborghini"/>
        <s v="Land Rover"/>
        <s v="Land Rover Rover"/>
        <s v="Lexus"/>
        <s v="Mahindra"/>
        <s v="Maruti Suzuki"/>
        <s v="Maruti Suzuki R"/>
        <s v="Maserati"/>
        <s v="Mercedes-Benz"/>
        <s v="Mg"/>
        <s v="Mini"/>
        <s v="Mitsubishi"/>
        <s v="Nissan"/>
        <s v="Porsche"/>
        <s v="Premier"/>
        <s v="Renault"/>
        <s v="Skoda"/>
        <s v="Tata"/>
        <s v="Toyota"/>
        <s v="Volkswagen"/>
        <s v="Volvo"/>
      </sharedItems>
    </cacheField>
    <cacheField name="[Measures].[Average of Price(₹ Lakhs)]" caption="Average of Price(₹ Lakhs)" numFmtId="0" hierarchy="30" level="32767"/>
    <cacheField name="[Measures].[Average of Engine_Power(BHP)]" caption="Average of Engine_Power(BHP)" numFmtId="0" hierarchy="35" level="32767"/>
  </cacheFields>
  <cacheHierarchies count="50">
    <cacheHierarchy uniqueName="[CarData].[Make]" caption="Make" attribute="1" defaultMemberUniqueName="[CarData].[Make].[All]" allUniqueName="[CarData].[Make].[All]" dimensionUniqueName="[CarData]" displayFolder="" count="2" memberValueDatatype="130" unbalanced="0">
      <fieldsUsage count="2">
        <fieldUsage x="-1"/>
        <fieldUsage x="0"/>
      </fieldsUsage>
    </cacheHierarchy>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0"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0" memberValueDatatype="130" unbalanced="0"/>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hidden="1">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646499768518" backgroundQuery="1" createdVersion="8" refreshedVersion="8" minRefreshableVersion="3" recordCount="0" supportSubquery="1" supportAdvancedDrill="1" xr:uid="{9D2378CA-CC7D-4221-961A-0B6A9FDB0487}">
  <cacheSource type="external" connectionId="1"/>
  <cacheFields count="5">
    <cacheField name="[CarData3].[Make].[Make]" caption="Make" numFmtId="0" hierarchy="13" level="1">
      <sharedItems count="1">
        <s v="Bugatti"/>
      </sharedItems>
    </cacheField>
    <cacheField name="[CarData3].[Model].[Model]" caption="Model" numFmtId="0" hierarchy="14" level="1">
      <sharedItems count="1">
        <s v="Chiron"/>
      </sharedItems>
    </cacheField>
    <cacheField name="[Measures].[Max of Engine_Power(BHP) 2]" caption="Max of Engine_Power(BHP) 2" numFmtId="0" hierarchy="47" level="32767"/>
    <cacheField name="[Measures].[Max of Price(₹ Lakhs)]" caption="Max of Price(₹ Lakhs)" numFmtId="0" hierarchy="48" level="32767"/>
    <cacheField name="[CarData3].[Variant].[Variant]" caption="Variant" numFmtId="0" hierarchy="15" level="1">
      <sharedItems count="1">
        <s v="Sport"/>
      </sharedItems>
    </cacheField>
  </cacheFields>
  <cacheHierarchies count="50">
    <cacheHierarchy uniqueName="[CarData].[Make]" caption="Make" attribute="1" defaultMemberUniqueName="[CarData].[Make].[All]" allUniqueName="[CarData].[Make].[All]" dimensionUniqueName="[CarData]" displayFolder="" count="0" memberValueDatatype="130" unbalanced="0"/>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0"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0" memberValueDatatype="130" unbalanced="0"/>
    <cacheHierarchy uniqueName="[CarData3].[Make]" caption="Make" attribute="1" defaultMemberUniqueName="[CarData3].[Make].[All]" allUniqueName="[CarData3].[Make].[All]" dimensionUniqueName="[CarData3]" displayFolder="" count="2" memberValueDatatype="130" unbalanced="0">
      <fieldsUsage count="2">
        <fieldUsage x="-1"/>
        <fieldUsage x="0"/>
      </fieldsUsage>
    </cacheHierarchy>
    <cacheHierarchy uniqueName="[CarData3].[Model]" caption="Model" attribute="1" defaultMemberUniqueName="[CarData3].[Model].[All]" allUniqueName="[CarData3].[Model].[All]" dimensionUniqueName="[CarData3]" displayFolder="" count="2" memberValueDatatype="130" unbalanced="0">
      <fieldsUsage count="2">
        <fieldUsage x="-1"/>
        <fieldUsage x="1"/>
      </fieldsUsage>
    </cacheHierarchy>
    <cacheHierarchy uniqueName="[CarData3].[Variant]" caption="Variant" attribute="1" defaultMemberUniqueName="[CarData3].[Variant].[All]" allUniqueName="[CarData3].[Variant].[All]" dimensionUniqueName="[CarData3]" displayFolder="" count="2" memberValueDatatype="130" unbalanced="0">
      <fieldsUsage count="2">
        <fieldUsage x="-1"/>
        <fieldUsage x="4"/>
      </fieldsUsage>
    </cacheHierarchy>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hidden="1">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oneField="1" hidden="1">
      <fieldsUsage count="1">
        <fieldUsage x="2"/>
      </fieldsUsage>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oneField="1" hidden="1">
      <fieldsUsage count="1">
        <fieldUsage x="3"/>
      </fieldsUsage>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811777199073" backgroundQuery="1" createdVersion="8" refreshedVersion="8" minRefreshableVersion="3" recordCount="0" supportSubquery="1" supportAdvancedDrill="1" xr:uid="{90018B21-EA1A-4BAF-9438-5507F19FF081}">
  <cacheSource type="external" connectionId="1"/>
  <cacheFields count="2">
    <cacheField name="[CarData].[Make].[Make]" caption="Make" numFmtId="0" level="1">
      <sharedItems count="39">
        <s v="Aston Martin"/>
        <s v="Audi"/>
        <s v="Bajaj"/>
        <s v="Bentley"/>
        <s v="BMW"/>
        <s v="Datsun"/>
        <s v="Dc"/>
        <s v="Ferrari"/>
        <s v="Fiat"/>
        <s v="Force"/>
        <s v="Ford"/>
        <s v="Honda"/>
        <s v="Hyundai"/>
        <s v="Icml"/>
        <s v="Isuzu"/>
        <s v="Jaguar"/>
        <s v="Jeep"/>
        <s v="Kia"/>
        <s v="Lamborghini"/>
        <s v="Land Rover"/>
        <s v="Land Rover Rover"/>
        <s v="Lexus"/>
        <s v="Mahindra"/>
        <s v="Maruti Suzuki"/>
        <s v="Maruti Suzuki R"/>
        <s v="Maserati"/>
        <s v="Mercedes-Benz"/>
        <s v="Mg"/>
        <s v="Mini"/>
        <s v="Mitsubishi"/>
        <s v="Nissan"/>
        <s v="Porsche"/>
        <s v="Premier"/>
        <s v="Renault"/>
        <s v="Skoda"/>
        <s v="Tata"/>
        <s v="Toyota"/>
        <s v="Volkswagen"/>
        <s v="Volvo"/>
      </sharedItems>
    </cacheField>
    <cacheField name="[Measures].[Average of Price(₹ Lakhs)]" caption="Average of Price(₹ Lakhs)" numFmtId="0" hierarchy="30" level="32767"/>
  </cacheFields>
  <cacheHierarchies count="50">
    <cacheHierarchy uniqueName="[CarData].[Make]" caption="Make" attribute="1" defaultMemberUniqueName="[CarData].[Make].[All]" allUniqueName="[CarData].[Make].[All]" dimensionUniqueName="[CarData]" displayFolder="" count="2" memberValueDatatype="130" unbalanced="0">
      <fieldsUsage count="2">
        <fieldUsage x="-1"/>
        <fieldUsage x="0"/>
      </fieldsUsage>
    </cacheHierarchy>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2"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0" memberValueDatatype="130" unbalanced="0"/>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hidden="1">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811778240743" backgroundQuery="1" createdVersion="8" refreshedVersion="8" minRefreshableVersion="3" recordCount="0" supportSubquery="1" supportAdvancedDrill="1" xr:uid="{B1D1F02C-F44F-45A4-ABF5-D0917D9C26D4}">
  <cacheSource type="external" connectionId="1"/>
  <cacheFields count="4">
    <cacheField name="[CarData].[Model].[Model]" caption="Model" numFmtId="0" hierarchy="1" level="1">
      <sharedItems count="10">
        <s v="458 Spider"/>
        <s v="488 Gtb"/>
        <s v="812 Superfast"/>
        <s v="Aventador"/>
        <s v="Gtc4 Lusso"/>
        <s v="M5"/>
        <s v="Mercedes-Benz Amg Gt 4-Door Coupe"/>
        <s v="R8"/>
        <s v="Rolls-Royce Wraith"/>
        <s v="Urus"/>
      </sharedItems>
    </cacheField>
    <cacheField name="[Measures].[Average of Engine_Power(BHP)]" caption="Average of Engine_Power(BHP)" numFmtId="0" hierarchy="35" level="32767"/>
    <cacheField name="[CarData].[Performance Category].[Performance Category]" caption="Performance Category" numFmtId="0" hierarchy="12" level="1">
      <sharedItems containsSemiMixedTypes="0" containsNonDate="0" containsString="0"/>
    </cacheField>
    <cacheField name="[CarData].[Make].[Make]" caption="Make" numFmtId="0" level="1">
      <sharedItems containsSemiMixedTypes="0" containsNonDate="0" containsString="0"/>
    </cacheField>
  </cacheFields>
  <cacheHierarchies count="50">
    <cacheHierarchy uniqueName="[CarData].[Make]" caption="Make" attribute="1" defaultMemberUniqueName="[CarData].[Make].[All]" allUniqueName="[CarData].[Make].[All]" dimensionUniqueName="[CarData]" displayFolder="" count="2" memberValueDatatype="130" unbalanced="0">
      <fieldsUsage count="2">
        <fieldUsage x="-1"/>
        <fieldUsage x="3"/>
      </fieldsUsage>
    </cacheHierarchy>
    <cacheHierarchy uniqueName="[CarData].[Model]" caption="Model" attribute="1" defaultMemberUniqueName="[CarData].[Model].[All]" allUniqueName="[CarData].[Model].[All]" dimensionUniqueName="[CarData]" displayFolder="" count="2" memberValueDatatype="130" unbalanced="0">
      <fieldsUsage count="2">
        <fieldUsage x="-1"/>
        <fieldUsage x="0"/>
      </fieldsUsage>
    </cacheHierarchy>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2"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2" memberValueDatatype="130" unbalanced="0">
      <fieldsUsage count="2">
        <fieldUsage x="-1"/>
        <fieldUsage x="2"/>
      </fieldsUsage>
    </cacheHierarchy>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hidden="1">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hidden="1">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811779166666" backgroundQuery="1" createdVersion="8" refreshedVersion="8" minRefreshableVersion="3" recordCount="0" supportSubquery="1" supportAdvancedDrill="1" xr:uid="{531055FE-825B-4278-94F2-0C85072D253F}">
  <cacheSource type="external" connectionId="1"/>
  <cacheFields count="4">
    <cacheField name="[CarData].[Body_Type].[Body_Type]" caption="Body_Type" numFmtId="0" hierarchy="7" level="1">
      <sharedItems count="5">
        <s v="Coupe"/>
        <s v="Hatchback"/>
        <s v="MPV"/>
        <s v="Sedan"/>
        <s v="SUV"/>
      </sharedItems>
    </cacheField>
    <cacheField name="[Measures].[Count of Body_Type]" caption="Count of Body_Type" numFmtId="0" hierarchy="41" level="32767"/>
    <cacheField name="[CarData].[Performance Category].[Performance Category]" caption="Performance Category" numFmtId="0" hierarchy="12" level="1">
      <sharedItems containsSemiMixedTypes="0" containsNonDate="0" containsString="0"/>
    </cacheField>
    <cacheField name="[CarData].[Make].[Make]" caption="Make" numFmtId="0" level="1">
      <sharedItems containsSemiMixedTypes="0" containsNonDate="0" containsString="0"/>
    </cacheField>
  </cacheFields>
  <cacheHierarchies count="50">
    <cacheHierarchy uniqueName="[CarData].[Make]" caption="Make" attribute="1" defaultMemberUniqueName="[CarData].[Make].[All]" allUniqueName="[CarData].[Make].[All]" dimensionUniqueName="[CarData]" displayFolder="" count="2" memberValueDatatype="130" unbalanced="0">
      <fieldsUsage count="2">
        <fieldUsage x="-1"/>
        <fieldUsage x="3"/>
      </fieldsUsage>
    </cacheHierarchy>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2" memberValueDatatype="130" unbalanced="0">
      <fieldsUsage count="2">
        <fieldUsage x="-1"/>
        <fieldUsage x="0"/>
      </fieldsUsage>
    </cacheHierarchy>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2"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2" memberValueDatatype="130" unbalanced="0">
      <fieldsUsage count="2">
        <fieldUsage x="-1"/>
        <fieldUsage x="2"/>
      </fieldsUsage>
    </cacheHierarchy>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hidden="1">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hidden="1">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811779745367" backgroundQuery="1" createdVersion="8" refreshedVersion="8" minRefreshableVersion="3" recordCount="0" supportSubquery="1" supportAdvancedDrill="1" xr:uid="{071D1C7D-01EB-4041-B749-6E45A970858F}">
  <cacheSource type="external" connectionId="1"/>
  <cacheFields count="3">
    <cacheField name="[CarData].[Performance Category].[Performance Category]" caption="Performance Category" numFmtId="0" hierarchy="12" level="1">
      <sharedItems count="6">
        <s v="Economy"/>
        <s v="High Performance"/>
        <s v="Powerful"/>
        <s v="Sports Performance"/>
        <s v="Standard"/>
        <s v="Super Performance"/>
      </sharedItems>
    </cacheField>
    <cacheField name="[Measures].[Count of Performance Category]" caption="Count of Performance Category" numFmtId="0" hierarchy="40" level="32767"/>
    <cacheField name="[CarData].[Make].[Make]" caption="Make" numFmtId="0" level="1">
      <sharedItems containsSemiMixedTypes="0" containsNonDate="0" containsString="0"/>
    </cacheField>
  </cacheFields>
  <cacheHierarchies count="50">
    <cacheHierarchy uniqueName="[CarData].[Make]" caption="Make" attribute="1" defaultMemberUniqueName="[CarData].[Make].[All]" allUniqueName="[CarData].[Make].[All]" dimensionUniqueName="[CarData]" displayFolder="" count="2" memberValueDatatype="130" unbalanced="0">
      <fieldsUsage count="2">
        <fieldUsage x="-1"/>
        <fieldUsage x="2"/>
      </fieldsUsage>
    </cacheHierarchy>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2"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2" memberValueDatatype="130" unbalanced="0">
      <fieldsUsage count="2">
        <fieldUsage x="-1"/>
        <fieldUsage x="0"/>
      </fieldsUsage>
    </cacheHierarchy>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hidden="1">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hidden="1">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811780208336" backgroundQuery="1" createdVersion="8" refreshedVersion="8" minRefreshableVersion="3" recordCount="0" supportSubquery="1" supportAdvancedDrill="1" xr:uid="{810A459D-BF82-418B-B04F-DF3034501AC9}">
  <cacheSource type="external" connectionId="1"/>
  <cacheFields count="7">
    <cacheField name="[Measures].[Average of Price(₹ Lakhs)]" caption="Average of Price(₹ Lakhs)" numFmtId="0" hierarchy="30" level="32767"/>
    <cacheField name="[Measures].[Distinct Count of Make]" caption="Distinct Count of Make" numFmtId="0" hierarchy="32" level="32767"/>
    <cacheField name="[Measures].[Count of Model]" caption="Count of Model" numFmtId="0" hierarchy="33" level="32767"/>
    <cacheField name="[Measures].[Average of Engine_Power(BHP)]" caption="Average of Engine_Power(BHP)" numFmtId="0" hierarchy="35" level="32767"/>
    <cacheField name="[Measures].[Average of Seating_Capacity]" caption="Average of Seating_Capacity" numFmtId="0" hierarchy="39" level="32767"/>
    <cacheField name="[CarData].[Performance Category].[Performance Category]" caption="Performance Category" numFmtId="0" hierarchy="12" level="1">
      <sharedItems containsSemiMixedTypes="0" containsNonDate="0" containsString="0"/>
    </cacheField>
    <cacheField name="[CarData].[Make].[Make]" caption="Make" numFmtId="0" level="1">
      <sharedItems containsSemiMixedTypes="0" containsNonDate="0" containsString="0"/>
    </cacheField>
  </cacheFields>
  <cacheHierarchies count="50">
    <cacheHierarchy uniqueName="[CarData].[Make]" caption="Make" attribute="1" defaultMemberUniqueName="[CarData].[Make].[All]" allUniqueName="[CarData].[Make].[All]" dimensionUniqueName="[CarData]" displayFolder="" count="2" memberValueDatatype="130" unbalanced="0">
      <fieldsUsage count="2">
        <fieldUsage x="-1"/>
        <fieldUsage x="6"/>
      </fieldsUsage>
    </cacheHierarchy>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2"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2" memberValueDatatype="130" unbalanced="0">
      <fieldsUsage count="2">
        <fieldUsage x="-1"/>
        <fieldUsage x="5"/>
      </fieldsUsage>
    </cacheHierarchy>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y uniqueName="[Measures].[Sum of Engine_Power(BHP) 2]" caption="Sum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Sum of Price(₹ Lakhs) 2]" caption="Sum of Price(₹ Lakhs) 2" measure="1" displayFolder="" measureGroup="CarData3" count="0" hidden="1">
      <extLst>
        <ext xmlns:x15="http://schemas.microsoft.com/office/spreadsheetml/2010/11/main" uri="{B97F6D7D-B522-45F9-BDA1-12C45D357490}">
          <x15:cacheHierarchy aggregatedColumn="16"/>
        </ext>
      </extLst>
    </cacheHierarchy>
    <cacheHierarchy uniqueName="[Measures].[Sum of Torque(Nm) 2]" caption="Sum of Torque(Nm) 2" measure="1" displayFolder="" measureGroup="CarData3" count="0" hidden="1">
      <extLst>
        <ext xmlns:x15="http://schemas.microsoft.com/office/spreadsheetml/2010/11/main" uri="{B97F6D7D-B522-45F9-BDA1-12C45D357490}">
          <x15:cacheHierarchy aggregatedColumn="24"/>
        </ext>
      </extLst>
    </cacheHierarchy>
    <cacheHierarchy uniqueName="[Measures].[Max of Engine_Power(BHP) 2]" caption="Max of Engine_Power(BHP) 2" measure="1" displayFolder="" measureGroup="CarData3" count="0" hidden="1">
      <extLst>
        <ext xmlns:x15="http://schemas.microsoft.com/office/spreadsheetml/2010/11/main" uri="{B97F6D7D-B522-45F9-BDA1-12C45D357490}">
          <x15:cacheHierarchy aggregatedColumn="23"/>
        </ext>
      </extLst>
    </cacheHierarchy>
    <cacheHierarchy uniqueName="[Measures].[Max of Price(₹ Lakhs)]" caption="Max of Price(₹ Lakhs)" measure="1" displayFolder="" measureGroup="CarData3" count="0" hidden="1">
      <extLst>
        <ext xmlns:x15="http://schemas.microsoft.com/office/spreadsheetml/2010/11/main" uri="{B97F6D7D-B522-45F9-BDA1-12C45D357490}">
          <x15:cacheHierarchy aggregatedColumn="16"/>
        </ext>
      </extLst>
    </cacheHierarchy>
    <cacheHierarchy uniqueName="[Measures].[Max of Torque(Nm) 2]" caption="Max of Torque(Nm) 2" measure="1" displayFolder="" measureGroup="CarData3" count="0" hidden="1">
      <extLst>
        <ext xmlns:x15="http://schemas.microsoft.com/office/spreadsheetml/2010/11/main" uri="{B97F6D7D-B522-45F9-BDA1-12C45D357490}">
          <x15:cacheHierarchy aggregatedColumn="24"/>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3.642134953705" backgroundQuery="1" createdVersion="3" refreshedVersion="8" minRefreshableVersion="3" recordCount="0" supportSubquery="1" supportAdvancedDrill="1" xr:uid="{14FB0EDF-CB0D-4FA7-AA90-C0AFF14EC802}">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CarData].[Make]" caption="Make" attribute="1" defaultMemberUniqueName="[CarData].[Make].[All]" allUniqueName="[CarData].[Make].[All]" dimensionUniqueName="[CarData]" displayFolder="" count="0" memberValueDatatype="130" unbalanced="0"/>
    <cacheHierarchy uniqueName="[CarData].[Model]" caption="Model" attribute="1" defaultMemberUniqueName="[CarData].[Model].[All]" allUniqueName="[CarData].[Model].[All]" dimensionUniqueName="[CarData]" displayFolder="" count="0" memberValueDatatype="130" unbalanced="0"/>
    <cacheHierarchy uniqueName="[CarData].[Variant]" caption="Variant" attribute="1" defaultMemberUniqueName="[CarData].[Variant].[All]" allUniqueName="[CarData].[Variant].[All]" dimensionUniqueName="[CarData]" displayFolder="" count="0" memberValueDatatype="130" unbalanced="0"/>
    <cacheHierarchy uniqueName="[CarData].[Price(₹ Lakhs)]" caption="Price(₹ Lakhs)" attribute="1" defaultMemberUniqueName="[CarData].[Price(₹ Lakhs)].[All]" allUniqueName="[CarData].[Price(₹ Lakhs)].[All]" dimensionUniqueName="[CarData]" displayFolder="" count="0" memberValueDatatype="20" unbalanced="0"/>
    <cacheHierarchy uniqueName="[CarData].[Engine_Displacement(CC)]" caption="Engine_Displacement(CC)" attribute="1" defaultMemberUniqueName="[CarData].[Engine_Displacement(CC)].[All]" allUniqueName="[CarData].[Engine_Displacement(CC)].[All]" dimensionUniqueName="[CarData]" displayFolder="" count="0" memberValueDatatype="130" unbalanced="0"/>
    <cacheHierarchy uniqueName="[CarData].[Cylinders]" caption="Cylinders" attribute="1" defaultMemberUniqueName="[CarData].[Cylinders].[All]" allUniqueName="[CarData].[Cylinders].[All]" dimensionUniqueName="[CarData]" displayFolder="" count="0" memberValueDatatype="20" unbalanced="0"/>
    <cacheHierarchy uniqueName="[CarData].[Fuel_Type]" caption="Fuel_Type" attribute="1" defaultMemberUniqueName="[CarData].[Fuel_Type].[All]" allUniqueName="[CarData].[Fuel_Type].[All]" dimensionUniqueName="[CarData]" displayFolder="" count="0" memberValueDatatype="130" unbalanced="0"/>
    <cacheHierarchy uniqueName="[CarData].[Body_Type]" caption="Body_Type" attribute="1" defaultMemberUniqueName="[CarData].[Body_Type].[All]" allUniqueName="[CarData].[Body_Type].[All]" dimensionUniqueName="[CarData]" displayFolder="" count="0" memberValueDatatype="130" unbalanced="0"/>
    <cacheHierarchy uniqueName="[CarData].[Seating_Capacity]" caption="Seating_Capacity" attribute="1" defaultMemberUniqueName="[CarData].[Seating_Capacity].[All]" allUniqueName="[CarData].[Seating_Capacity].[All]" dimensionUniqueName="[CarData]" displayFolder="" count="0" memberValueDatatype="20" unbalanced="0"/>
    <cacheHierarchy uniqueName="[CarData].[Transmission]" caption="Transmission" attribute="1" defaultMemberUniqueName="[CarData].[Transmission].[All]" allUniqueName="[CarData].[Transmission].[All]" dimensionUniqueName="[CarData]" displayFolder="" count="0" memberValueDatatype="130" unbalanced="0"/>
    <cacheHierarchy uniqueName="[CarData].[Engine_Power(BHP)]" caption="Engine_Power(BHP)" attribute="1" defaultMemberUniqueName="[CarData].[Engine_Power(BHP)].[All]" allUniqueName="[CarData].[Engine_Power(BHP)].[All]" dimensionUniqueName="[CarData]" displayFolder="" count="0" memberValueDatatype="5" unbalanced="0"/>
    <cacheHierarchy uniqueName="[CarData].[Torque(Nm)]" caption="Torque(Nm)" attribute="1" defaultMemberUniqueName="[CarData].[Torque(Nm)].[All]" allUniqueName="[CarData].[Torque(Nm)].[All]" dimensionUniqueName="[CarData]" displayFolder="" count="0" memberValueDatatype="5" unbalanced="0"/>
    <cacheHierarchy uniqueName="[CarData].[Performance Category]" caption="Performance Category" attribute="1" defaultMemberUniqueName="[CarData].[Performance Category].[All]" allUniqueName="[CarData].[Performance Category].[All]" dimensionUniqueName="[CarData]" displayFolder="" count="0" memberValueDatatype="130" unbalanced="0"/>
    <cacheHierarchy uniqueName="[CarData3].[Make]" caption="Make" attribute="1" defaultMemberUniqueName="[CarData3].[Make].[All]" allUniqueName="[CarData3].[Make].[All]" dimensionUniqueName="[CarData3]" displayFolder="" count="0" memberValueDatatype="130" unbalanced="0"/>
    <cacheHierarchy uniqueName="[CarData3].[Model]" caption="Model" attribute="1" defaultMemberUniqueName="[CarData3].[Model].[All]" allUniqueName="[CarData3].[Model].[All]" dimensionUniqueName="[CarData3]" displayFolder="" count="0" memberValueDatatype="130" unbalanced="0"/>
    <cacheHierarchy uniqueName="[CarData3].[Variant]" caption="Variant" attribute="1" defaultMemberUniqueName="[CarData3].[Variant].[All]" allUniqueName="[CarData3].[Variant].[All]" dimensionUniqueName="[CarData3]" displayFolder="" count="0" memberValueDatatype="130" unbalanced="0"/>
    <cacheHierarchy uniqueName="[CarData3].[Price(₹ Lakhs)]" caption="Price(₹ Lakhs)" attribute="1" defaultMemberUniqueName="[CarData3].[Price(₹ Lakhs)].[All]" allUniqueName="[CarData3].[Price(₹ Lakhs)].[All]" dimensionUniqueName="[CarData3]" displayFolder="" count="0" memberValueDatatype="20" unbalanced="0"/>
    <cacheHierarchy uniqueName="[CarData3].[Engine_Displacement(CC)]" caption="Engine_Displacement(CC)" attribute="1" defaultMemberUniqueName="[CarData3].[Engine_Displacement(CC)].[All]" allUniqueName="[CarData3].[Engine_Displacement(CC)].[All]" dimensionUniqueName="[CarData3]" displayFolder="" count="0" memberValueDatatype="130" unbalanced="0"/>
    <cacheHierarchy uniqueName="[CarData3].[Cylinders]" caption="Cylinders" attribute="1" defaultMemberUniqueName="[CarData3].[Cylinders].[All]" allUniqueName="[CarData3].[Cylinders].[All]" dimensionUniqueName="[CarData3]" displayFolder="" count="0" memberValueDatatype="20" unbalanced="0"/>
    <cacheHierarchy uniqueName="[CarData3].[Fuel_Type]" caption="Fuel_Type" attribute="1" defaultMemberUniqueName="[CarData3].[Fuel_Type].[All]" allUniqueName="[CarData3].[Fuel_Type].[All]" dimensionUniqueName="[CarData3]" displayFolder="" count="0" memberValueDatatype="130" unbalanced="0"/>
    <cacheHierarchy uniqueName="[CarData3].[Body_Type]" caption="Body_Type" attribute="1" defaultMemberUniqueName="[CarData3].[Body_Type].[All]" allUniqueName="[CarData3].[Body_Type].[All]" dimensionUniqueName="[CarData3]" displayFolder="" count="0" memberValueDatatype="130" unbalanced="0"/>
    <cacheHierarchy uniqueName="[CarData3].[Seating_Capacity]" caption="Seating_Capacity" attribute="1" defaultMemberUniqueName="[CarData3].[Seating_Capacity].[All]" allUniqueName="[CarData3].[Seating_Capacity].[All]" dimensionUniqueName="[CarData3]" displayFolder="" count="0" memberValueDatatype="20" unbalanced="0"/>
    <cacheHierarchy uniqueName="[CarData3].[Transmission]" caption="Transmission" attribute="1" defaultMemberUniqueName="[CarData3].[Transmission].[All]" allUniqueName="[CarData3].[Transmission].[All]" dimensionUniqueName="[CarData3]" displayFolder="" count="0" memberValueDatatype="130" unbalanced="0"/>
    <cacheHierarchy uniqueName="[CarData3].[Engine_Power(BHP)]" caption="Engine_Power(BHP)" attribute="1" defaultMemberUniqueName="[CarData3].[Engine_Power(BHP)].[All]" allUniqueName="[CarData3].[Engine_Power(BHP)].[All]" dimensionUniqueName="[CarData3]" displayFolder="" count="0" memberValueDatatype="5" unbalanced="0"/>
    <cacheHierarchy uniqueName="[CarData3].[Torque(Nm)]" caption="Torque(Nm)" attribute="1" defaultMemberUniqueName="[CarData3].[Torque(Nm)].[All]" allUniqueName="[CarData3].[Torque(Nm)].[All]" dimensionUniqueName="[CarData3]" displayFolder="" count="0" memberValueDatatype="5" unbalanced="0"/>
    <cacheHierarchy uniqueName="[CarData3].[Performance Category]" caption="Performance Category" attribute="1" defaultMemberUniqueName="[CarData3].[Performance Category].[All]" allUniqueName="[CarData3].[Performance Category].[All]" dimensionUniqueName="[CarData3]" displayFolder="" count="0" memberValueDatatype="130" unbalanced="0"/>
    <cacheHierarchy uniqueName="[Measures].[__XL_Count CarData]" caption="__XL_Count CarData" measure="1" displayFolder="" measureGroup="CarData" count="0" hidden="1"/>
    <cacheHierarchy uniqueName="[Measures].[__XL_Count CarData3]" caption="__XL_Count CarData3" measure="1" displayFolder="" measureGroup="CarData3" count="0" hidden="1"/>
    <cacheHierarchy uniqueName="[Measures].[__No measures defined]" caption="__No measures defined" measure="1" displayFolder="" count="0" hidden="1"/>
    <cacheHierarchy uniqueName="[Measures].[Sum of Price(₹ Lakhs)]" caption="Sum of Price(₹ Lakhs)" measure="1" displayFolder="" measureGroup="CarData" count="0" hidden="1">
      <extLst>
        <ext xmlns:x15="http://schemas.microsoft.com/office/spreadsheetml/2010/11/main" uri="{B97F6D7D-B522-45F9-BDA1-12C45D357490}">
          <x15:cacheHierarchy aggregatedColumn="3"/>
        </ext>
      </extLst>
    </cacheHierarchy>
    <cacheHierarchy uniqueName="[Measures].[Average of Price(₹ Lakhs)]" caption="Average of Price(₹ Lakhs)" measure="1" displayFolder="" measureGroup="CarData" count="0" hidden="1">
      <extLst>
        <ext xmlns:x15="http://schemas.microsoft.com/office/spreadsheetml/2010/11/main" uri="{B97F6D7D-B522-45F9-BDA1-12C45D357490}">
          <x15:cacheHierarchy aggregatedColumn="3"/>
        </ext>
      </extLst>
    </cacheHierarchy>
    <cacheHierarchy uniqueName="[Measures].[Count of Make]" caption="Count of Make" measure="1" displayFolder="" measureGroup="CarData" count="0" hidden="1">
      <extLst>
        <ext xmlns:x15="http://schemas.microsoft.com/office/spreadsheetml/2010/11/main" uri="{B97F6D7D-B522-45F9-BDA1-12C45D357490}">
          <x15:cacheHierarchy aggregatedColumn="0"/>
        </ext>
      </extLst>
    </cacheHierarchy>
    <cacheHierarchy uniqueName="[Measures].[Distinct Count of Make]" caption="Distinct Count of Make" measure="1" displayFolder="" measureGroup="CarData" count="0" hidden="1">
      <extLst>
        <ext xmlns:x15="http://schemas.microsoft.com/office/spreadsheetml/2010/11/main" uri="{B97F6D7D-B522-45F9-BDA1-12C45D357490}">
          <x15:cacheHierarchy aggregatedColumn="0"/>
        </ext>
      </extLst>
    </cacheHierarchy>
    <cacheHierarchy uniqueName="[Measures].[Count of Model]" caption="Count of Model" measure="1" displayFolder="" measureGroup="CarData" count="0" hidden="1">
      <extLst>
        <ext xmlns:x15="http://schemas.microsoft.com/office/spreadsheetml/2010/11/main" uri="{B97F6D7D-B522-45F9-BDA1-12C45D357490}">
          <x15:cacheHierarchy aggregatedColumn="1"/>
        </ext>
      </extLst>
    </cacheHierarchy>
    <cacheHierarchy uniqueName="[Measures].[Sum of Engine_Power(BHP)]" caption="Sum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Average of Engine_Power(BHP)]" caption="Average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Sum of Torque(Nm)]" caption="Sum of Torque(Nm)" measure="1" displayFolder="" measureGroup="CarData" count="0" hidden="1">
      <extLst>
        <ext xmlns:x15="http://schemas.microsoft.com/office/spreadsheetml/2010/11/main" uri="{B97F6D7D-B522-45F9-BDA1-12C45D357490}">
          <x15:cacheHierarchy aggregatedColumn="11"/>
        </ext>
      </extLst>
    </cacheHierarchy>
    <cacheHierarchy uniqueName="[Measures].[Max of Torque(Nm)]" caption="Max of Torque(Nm)" measure="1" displayFolder="" measureGroup="CarData" count="0" hidden="1">
      <extLst>
        <ext xmlns:x15="http://schemas.microsoft.com/office/spreadsheetml/2010/11/main" uri="{B97F6D7D-B522-45F9-BDA1-12C45D357490}">
          <x15:cacheHierarchy aggregatedColumn="11"/>
        </ext>
      </extLst>
    </cacheHierarchy>
    <cacheHierarchy uniqueName="[Measures].[Sum of Seating_Capacity]" caption="Sum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Average of Seating_Capacity]" caption="Average of Seating_Capacity" measure="1" displayFolder="" measureGroup="CarData" count="0" hidden="1">
      <extLst>
        <ext xmlns:x15="http://schemas.microsoft.com/office/spreadsheetml/2010/11/main" uri="{B97F6D7D-B522-45F9-BDA1-12C45D357490}">
          <x15:cacheHierarchy aggregatedColumn="8"/>
        </ext>
      </extLst>
    </cacheHierarchy>
    <cacheHierarchy uniqueName="[Measures].[Count of Performance Category]" caption="Count of Performance Category" measure="1" displayFolder="" measureGroup="CarData" count="0" hidden="1">
      <extLst>
        <ext xmlns:x15="http://schemas.microsoft.com/office/spreadsheetml/2010/11/main" uri="{B97F6D7D-B522-45F9-BDA1-12C45D357490}">
          <x15:cacheHierarchy aggregatedColumn="12"/>
        </ext>
      </extLst>
    </cacheHierarchy>
    <cacheHierarchy uniqueName="[Measures].[Count of Body_Type]" caption="Count of Body_Type" measure="1" displayFolder="" measureGroup="CarData" count="0" hidden="1">
      <extLst>
        <ext xmlns:x15="http://schemas.microsoft.com/office/spreadsheetml/2010/11/main" uri="{B97F6D7D-B522-45F9-BDA1-12C45D357490}">
          <x15:cacheHierarchy aggregatedColumn="7"/>
        </ext>
      </extLst>
    </cacheHierarchy>
    <cacheHierarchy uniqueName="[Measures].[Max of Engine_Power(BHP)]" caption="Max of Engine_Power(BHP)" measure="1" displayFolder="" measureGroup="CarData" count="0" hidden="1">
      <extLst>
        <ext xmlns:x15="http://schemas.microsoft.com/office/spreadsheetml/2010/11/main" uri="{B97F6D7D-B522-45F9-BDA1-12C45D357490}">
          <x15:cacheHierarchy aggregatedColumn="10"/>
        </ext>
      </extLst>
    </cacheHierarchy>
    <cacheHierarchy uniqueName="[Measures].[Count of Variant]" caption="Count of Variant" measure="1" displayFolder="" measureGroup="CarData" count="0" hidden="1">
      <extLst>
        <ext xmlns:x15="http://schemas.microsoft.com/office/spreadsheetml/2010/11/main" uri="{B97F6D7D-B522-45F9-BDA1-12C45D357490}">
          <x15:cacheHierarchy aggregatedColumn="2"/>
        </ext>
      </extLst>
    </cacheHierarchy>
  </cacheHierarchies>
  <kpis count="0"/>
  <dimensions count="3">
    <dimension name="CarData" uniqueName="[CarData]" caption="CarData"/>
    <dimension name="CarData3" uniqueName="[CarData3]" caption="CarData3"/>
    <dimension measure="1" name="Measures" uniqueName="[Measures]" caption="Measures"/>
  </dimensions>
  <measureGroups count="2">
    <measureGroup name="CarData" caption="CarData"/>
    <measureGroup name="CarData3" caption="CarData3"/>
  </measureGroups>
  <maps count="2">
    <map measureGroup="0" dimension="0"/>
    <map measureGroup="1" dimension="1"/>
  </maps>
  <extLst>
    <ext xmlns:x14="http://schemas.microsoft.com/office/spreadsheetml/2009/9/main" uri="{725AE2AE-9491-48be-B2B4-4EB974FC3084}">
      <x14:pivotCacheDefinition slicerData="1" pivotCacheId="21247200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B10B5-65F9-4AAE-8CCC-C3F19046F88E}"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2:S5" firstHeaderRow="1" firstDataRow="2" firstDataCol="3"/>
  <pivotFields count="5">
    <pivotField axis="axisRow" compact="0" allDrilled="1" outline="0" subtotalTop="0" showAll="0" measureFilter="1"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
        <item s="1" x="0"/>
      </items>
    </pivotField>
  </pivotFields>
  <rowFields count="3">
    <field x="0"/>
    <field x="1"/>
    <field x="4"/>
  </rowFields>
  <rowItems count="2">
    <i>
      <x/>
      <x/>
      <x/>
    </i>
    <i t="grand">
      <x/>
    </i>
  </rowItems>
  <colFields count="1">
    <field x="-2"/>
  </colFields>
  <colItems count="2">
    <i>
      <x/>
    </i>
    <i i="1">
      <x v="1"/>
    </i>
  </colItems>
  <dataFields count="2">
    <dataField name="Max of Engine_Power(BHP)" fld="2" subtotal="max" baseField="0" baseItem="0"/>
    <dataField name="Max of Price(₹ Lakhs)" fld="3" subtotal="max" baseField="0" baseItem="0"/>
  </dataFields>
  <formats count="1">
    <format dxfId="138">
      <pivotArea outline="0" fieldPosition="0">
        <references count="4">
          <reference field="4294967294" count="1" selected="0">
            <x v="1"/>
          </reference>
          <reference field="0" count="0" selected="0"/>
          <reference field="1" count="0" selected="0"/>
          <reference field="4" count="0" selected="0"/>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Engine_Power(BHP)"/>
    <pivotHierarchy dragToData="1" caption="Max of Price(₹ Lakhs)"/>
    <pivotHierarchy dragToData="1" caption="Max of Torque(Nm)"/>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3">
    <rowHierarchyUsage hierarchyUsage="13"/>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 - Copy.xlsx!CarData3">
        <x15:activeTabTopLevelEntity name="[Car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6125E-4F8B-4D42-85C0-7CC22DCADC3C}" name="Body Type" cacheId="46" applyNumberFormats="0" applyBorderFormats="0" applyFontFormats="0" applyPatternFormats="0" applyAlignmentFormats="0" applyWidthHeightFormats="1" dataCaption="Values" tag="1849557f-3caf-43fa-919a-ac19d7442237" updatedVersion="8" minRefreshableVersion="3" itemPrintTitles="1" createdVersion="8" indent="0" outline="1" outlineData="1" multipleFieldFilters="0" chartFormat="8">
  <location ref="A50:B56"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3"/>
    </i>
    <i>
      <x v="1"/>
    </i>
    <i>
      <x/>
    </i>
    <i>
      <x v="2"/>
    </i>
    <i t="grand">
      <x/>
    </i>
  </rowItems>
  <colItems count="1">
    <i/>
  </colItems>
  <dataFields count="1">
    <dataField name="Count of Body_Type" fld="1" subtotal="count" baseField="0" baseItem="0"/>
  </dataFields>
  <formats count="17">
    <format dxfId="155">
      <pivotArea type="all" dataOnly="0" outline="0" fieldPosition="0"/>
    </format>
    <format dxfId="154">
      <pivotArea outline="0" collapsedLevelsAreSubtotals="1" fieldPosition="0"/>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grandRow="1" outline="0" fieldPosition="0"/>
    </format>
    <format dxfId="139">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rData].[Performance Category].&amp;[High Perform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Lakhs)"/>
    <pivotHierarchy dragToData="1"/>
    <pivotHierarchy dragToData="1" caption="Distinct Count of Make"/>
    <pivotHierarchy dragToData="1"/>
    <pivotHierarchy dragToData="1"/>
    <pivotHierarchy dragToData="1" caption="Average of Engine_Power(BHP)"/>
    <pivotHierarchy dragToData="1"/>
    <pivotHierarchy dragToData="1" caption="Max of Torque(Nm)"/>
    <pivotHierarchy dragToData="1"/>
    <pivotHierarchy dragToData="1" caption="Average of Seating_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41">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xlsx!CarData">
        <x15:activeTabTopLevelEntity name="[Ca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79B7B9-6061-4086-8C63-98F0709C931C}" name="Most Powerful cars" cacheId="43" applyNumberFormats="0" applyBorderFormats="0" applyFontFormats="0" applyPatternFormats="0" applyAlignmentFormats="0" applyWidthHeightFormats="1" dataCaption="Values" tag="1849557f-3caf-43fa-919a-ac19d7442237" updatedVersion="8" minRefreshableVersion="3" itemPrintTitles="1" createdVersion="8" indent="0" outline="1" outlineData="1" multipleFieldFilters="0" chartFormat="7">
  <location ref="A81:B9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5"/>
    </i>
    <i>
      <x v="8"/>
    </i>
    <i>
      <x v="6"/>
    </i>
    <i>
      <x v="4"/>
    </i>
    <i>
      <x v="9"/>
    </i>
    <i>
      <x/>
    </i>
    <i>
      <x v="1"/>
    </i>
    <i>
      <x v="3"/>
    </i>
    <i>
      <x v="2"/>
    </i>
    <i t="grand">
      <x/>
    </i>
  </rowItems>
  <colItems count="1">
    <i/>
  </colItems>
  <dataFields count="1">
    <dataField name="Average of Engine_Power(BHP)" fld="1" subtotal="average" baseField="0" baseItem="180" numFmtId="1"/>
  </dataFields>
  <formats count="10">
    <format dxfId="165">
      <pivotArea type="all" dataOnly="0" outline="0" fieldPosition="0"/>
    </format>
    <format dxfId="164">
      <pivotArea collapsedLevelsAreSubtotals="1" fieldPosition="0">
        <references count="1">
          <reference field="0" count="1">
            <x v="3"/>
          </reference>
        </references>
      </pivotArea>
    </format>
    <format dxfId="163">
      <pivotArea collapsedLevelsAreSubtotals="1" fieldPosition="0">
        <references count="1">
          <reference field="0" count="1">
            <x v="4"/>
          </reference>
        </references>
      </pivotArea>
    </format>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fieldPosition="0">
        <references count="1">
          <reference field="0" count="0"/>
        </references>
      </pivotArea>
    </format>
    <format dxfId="158">
      <pivotArea dataOnly="0" labelOnly="1" grandRow="1" outline="0" fieldPosition="0"/>
    </format>
    <format dxfId="157">
      <pivotArea dataOnly="0" labelOnly="1" outline="0" axis="axisValues" fieldPosition="0"/>
    </format>
    <format dxfId="156">
      <pivotArea outline="0" fieldPosition="0">
        <references count="1">
          <reference field="4294967294" count="1">
            <x v="0"/>
          </reference>
        </references>
      </pivotArea>
    </format>
  </formats>
  <chartFormats count="2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8"/>
          </reference>
        </references>
      </pivotArea>
    </chartFormat>
    <chartFormat chart="4" format="2">
      <pivotArea type="data" outline="0" fieldPosition="0">
        <references count="2">
          <reference field="4294967294" count="1" selected="0">
            <x v="0"/>
          </reference>
          <reference field="0" count="1" selected="0">
            <x v="5"/>
          </reference>
        </references>
      </pivotArea>
    </chartFormat>
    <chartFormat chart="4" format="3">
      <pivotArea type="data" outline="0" fieldPosition="0">
        <references count="2">
          <reference field="4294967294" count="1" selected="0">
            <x v="0"/>
          </reference>
          <reference field="0" count="1" selected="0">
            <x v="6"/>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9"/>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3"/>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7"/>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0" count="1" selected="0">
            <x v="7"/>
          </reference>
        </references>
      </pivotArea>
    </chartFormat>
    <chartFormat chart="6" format="25">
      <pivotArea type="data" outline="0" fieldPosition="0">
        <references count="2">
          <reference field="4294967294" count="1" selected="0">
            <x v="0"/>
          </reference>
          <reference field="0" count="1" selected="0">
            <x v="5"/>
          </reference>
        </references>
      </pivotArea>
    </chartFormat>
    <chartFormat chart="6" format="26">
      <pivotArea type="data" outline="0" fieldPosition="0">
        <references count="2">
          <reference field="4294967294" count="1" selected="0">
            <x v="0"/>
          </reference>
          <reference field="0" count="1" selected="0">
            <x v="8"/>
          </reference>
        </references>
      </pivotArea>
    </chartFormat>
    <chartFormat chart="6" format="27">
      <pivotArea type="data" outline="0" fieldPosition="0">
        <references count="2">
          <reference field="4294967294" count="1" selected="0">
            <x v="0"/>
          </reference>
          <reference field="0" count="1" selected="0">
            <x v="6"/>
          </reference>
        </references>
      </pivotArea>
    </chartFormat>
    <chartFormat chart="6" format="28">
      <pivotArea type="data" outline="0" fieldPosition="0">
        <references count="2">
          <reference field="4294967294" count="1" selected="0">
            <x v="0"/>
          </reference>
          <reference field="0" count="1" selected="0">
            <x v="4"/>
          </reference>
        </references>
      </pivotArea>
    </chartFormat>
    <chartFormat chart="6" format="29">
      <pivotArea type="data" outline="0" fieldPosition="0">
        <references count="2">
          <reference field="4294967294" count="1" selected="0">
            <x v="0"/>
          </reference>
          <reference field="0" count="1" selected="0">
            <x v="9"/>
          </reference>
        </references>
      </pivotArea>
    </chartFormat>
    <chartFormat chart="6" format="30">
      <pivotArea type="data" outline="0" fieldPosition="0">
        <references count="2">
          <reference field="4294967294" count="1" selected="0">
            <x v="0"/>
          </reference>
          <reference field="0" count="1" selected="0">
            <x v="0"/>
          </reference>
        </references>
      </pivotArea>
    </chartFormat>
    <chartFormat chart="6" format="31">
      <pivotArea type="data" outline="0" fieldPosition="0">
        <references count="2">
          <reference field="4294967294" count="1" selected="0">
            <x v="0"/>
          </reference>
          <reference field="0" count="1" selected="0">
            <x v="1"/>
          </reference>
        </references>
      </pivotArea>
    </chartFormat>
    <chartFormat chart="6" format="32">
      <pivotArea type="data" outline="0" fieldPosition="0">
        <references count="2">
          <reference field="4294967294" count="1" selected="0">
            <x v="0"/>
          </reference>
          <reference field="0" count="1" selected="0">
            <x v="3"/>
          </reference>
        </references>
      </pivotArea>
    </chartFormat>
    <chartFormat chart="6" format="33">
      <pivotArea type="data" outline="0" fieldPosition="0">
        <references count="2">
          <reference field="4294967294" count="1" selected="0">
            <x v="0"/>
          </reference>
          <reference field="0" count="1" selected="0">
            <x v="2"/>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rData].[Performance Category].&amp;[High Perform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Lakhs)"/>
    <pivotHierarchy dragToData="1"/>
    <pivotHierarchy dragToData="1" caption="Distinct Count of Make"/>
    <pivotHierarchy dragToData="1"/>
    <pivotHierarchy dragToData="1"/>
    <pivotHierarchy dragToData="1" caption="Average of Engine_Power(BHP)"/>
    <pivotHierarchy dragToData="1"/>
    <pivotHierarchy dragToData="1" caption="Max of Torque(Nm)"/>
    <pivotHierarchy dragToData="1"/>
    <pivotHierarchy dragToData="1" caption="Average of Seating_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xlsx!CarData">
        <x15:activeTabTopLevelEntity name="[Ca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9C8F1-70C7-48D9-B49E-2986CCA86EBB}" name="Performance Category" cacheId="49" applyNumberFormats="0" applyBorderFormats="0" applyFontFormats="0" applyPatternFormats="0" applyAlignmentFormats="0" applyWidthHeightFormats="1" dataCaption="Values" tag="1849557f-3caf-43fa-919a-ac19d7442237" updatedVersion="8" minRefreshableVersion="3" useAutoFormatting="1" itemPrintTitles="1" createdVersion="8" indent="0" outline="1" outlineData="1" multipleFieldFilters="0" chartFormat="5">
  <location ref="A65:B7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Performance Category" fld="1" subtotal="count" showDataAs="percentOfTotal" baseField="0" baseItem="2" numFmtId="10"/>
  </dataFields>
  <formats count="18">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 dxfId="16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3"/>
          </reference>
        </references>
      </pivotArea>
    </chartFormat>
    <chartFormat chart="4" format="19">
      <pivotArea type="data" outline="0" fieldPosition="0">
        <references count="2">
          <reference field="4294967294" count="1" selected="0">
            <x v="0"/>
          </reference>
          <reference field="0" count="1" selected="0">
            <x v="4"/>
          </reference>
        </references>
      </pivotArea>
    </chartFormat>
    <chartFormat chart="4" format="20">
      <pivotArea type="data" outline="0" fieldPosition="0">
        <references count="2">
          <reference field="4294967294" count="1" selected="0">
            <x v="0"/>
          </reference>
          <reference field="0" count="1" selected="0">
            <x v="5"/>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Lakhs)"/>
    <pivotHierarchy dragToData="1"/>
    <pivotHierarchy dragToData="1" caption="Distinct Count of Make"/>
    <pivotHierarchy dragToData="1"/>
    <pivotHierarchy dragToData="1"/>
    <pivotHierarchy dragToData="1" caption="Average of Engine_Power(BHP)"/>
    <pivotHierarchy dragToData="1"/>
    <pivotHierarchy dragToData="1" caption="Max of Torque(Nm)"/>
    <pivotHierarchy dragToData="1"/>
    <pivotHierarchy dragToData="1" caption="Average of Seating_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xlsx!CarData">
        <x15:activeTabTopLevelEntity name="[Ca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69C49A-BC99-4728-868E-56A3502F7ADF}" name="Avg Price" cacheId="40" applyNumberFormats="0" applyBorderFormats="0" applyFontFormats="0" applyPatternFormats="0" applyAlignmentFormats="0" applyWidthHeightFormats="1" dataCaption="Values" tag="c8c472e7-576b-4a9e-b838-a8de46c678a6" updatedVersion="8" minRefreshableVersion="3" useAutoFormatting="1" itemPrintTitles="1" createdVersion="8" indent="0" outline="1" outlineData="1" multipleFieldFilters="0" chartFormat="5">
  <location ref="A3:B43" firstHeaderRow="1" firstDataRow="1" firstDataCol="1"/>
  <pivotFields count="2">
    <pivotField axis="axisRow" allDrilled="1" subtotalTop="0" showAll="0" sortType="ascending"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0">
    <i>
      <x v="2"/>
    </i>
    <i>
      <x v="5"/>
    </i>
    <i>
      <x v="24"/>
    </i>
    <i>
      <x v="32"/>
    </i>
    <i>
      <x v="23"/>
    </i>
    <i>
      <x v="8"/>
    </i>
    <i>
      <x v="33"/>
    </i>
    <i>
      <x v="35"/>
    </i>
    <i>
      <x v="13"/>
    </i>
    <i>
      <x v="12"/>
    </i>
    <i>
      <x v="22"/>
    </i>
    <i>
      <x v="10"/>
    </i>
    <i>
      <x v="9"/>
    </i>
    <i>
      <x v="11"/>
    </i>
    <i>
      <x v="37"/>
    </i>
    <i>
      <x v="27"/>
    </i>
    <i>
      <x v="36"/>
    </i>
    <i>
      <x v="30"/>
    </i>
    <i>
      <x v="17"/>
    </i>
    <i>
      <x v="34"/>
    </i>
    <i>
      <x v="14"/>
    </i>
    <i>
      <x v="16"/>
    </i>
    <i>
      <x v="6"/>
    </i>
    <i>
      <x v="29"/>
    </i>
    <i>
      <x v="28"/>
    </i>
    <i>
      <x v="38"/>
    </i>
    <i>
      <x v="1"/>
    </i>
    <i>
      <x v="4"/>
    </i>
    <i>
      <x v="19"/>
    </i>
    <i>
      <x v="15"/>
    </i>
    <i>
      <x v="21"/>
    </i>
    <i>
      <x v="31"/>
    </i>
    <i>
      <x v="26"/>
    </i>
    <i>
      <x v="25"/>
    </i>
    <i>
      <x v="20"/>
    </i>
    <i>
      <x/>
    </i>
    <i>
      <x v="18"/>
    </i>
    <i>
      <x v="3"/>
    </i>
    <i>
      <x v="7"/>
    </i>
    <i t="grand">
      <x/>
    </i>
  </rowItems>
  <colItems count="1">
    <i/>
  </colItems>
  <dataFields count="1">
    <dataField name="Average of Price(₹ Lakhs)" fld="1" subtotal="average" baseField="0" baseItem="0"/>
  </dataFields>
  <formats count="1">
    <format dxfId="184">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Lak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xlsx!CarData">
        <x15:activeTabTopLevelEntity name="[Ca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ABE7BF-C0A8-43A9-A21E-6DE03E8EF35C}" name="KPIs" cacheId="52" applyNumberFormats="0" applyBorderFormats="0" applyFontFormats="0" applyPatternFormats="0" applyAlignmentFormats="0" applyWidthHeightFormats="1" dataCaption="Values" tag="1849557f-3caf-43fa-919a-ac19d7442237" updatedVersion="8" minRefreshableVersion="3" useAutoFormatting="1" itemPrintTitles="1" createdVersion="8" indent="0" outline="1" outlineData="1" multipleFieldFilters="0">
  <location ref="H2:L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Model" fld="2" subtotal="count" baseField="0" baseItem="0"/>
    <dataField name="Distinct Count of Make" fld="1" subtotal="count" baseField="0" baseItem="1">
      <extLst>
        <ext xmlns:x15="http://schemas.microsoft.com/office/spreadsheetml/2010/11/main" uri="{FABC7310-3BB5-11E1-824E-6D434824019B}">
          <x15:dataField isCountDistinct="1"/>
        </ext>
      </extLst>
    </dataField>
    <dataField name="Average of Price(₹ Lakhs)" fld="0" subtotal="average" baseField="0" baseItem="0"/>
    <dataField name="Average of Engine_Power(BHP)" fld="3" subtotal="average" baseField="0" baseItem="2"/>
    <dataField name="Average of Seating_Capacity" fld="4" subtotal="average" baseField="0" baseItem="3"/>
  </dataFields>
  <pivotHierarchies count="50">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CarData].[Performance Category].&amp;[High Perform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Lakhs)"/>
    <pivotHierarchy dragToData="1"/>
    <pivotHierarchy dragToData="1" caption="Distinct Count of Make"/>
    <pivotHierarchy dragToData="1"/>
    <pivotHierarchy dragToData="1"/>
    <pivotHierarchy dragToData="1" caption="Average of Engine_Power(BHP)"/>
    <pivotHierarchy dragToData="1"/>
    <pivotHierarchy dragToData="1" caption="Max of Torque(Nm)"/>
    <pivotHierarchy dragToData="1"/>
    <pivotHierarchy dragToData="1" caption="Average of Seating_Capa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xlsx!CarData">
        <x15:activeTabTopLevelEntity name="[Ca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873793-70D0-47F5-B6B6-A673664CB1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C140" firstHeaderRow="0" firstDataRow="1" firstDataCol="1"/>
  <pivotFields count="3">
    <pivotField axis="axisRow" allDrilled="1" subtotalTop="0" showAll="0" dataSourceSort="1" defaultSubtotal="0" defaultAttributeDrillState="1">
      <items count="3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s>
    </pivotField>
    <pivotField dataField="1" subtotalTop="0" showAll="0" defaultSubtotal="0"/>
    <pivotField dataField="1" subtotalTop="0" showAll="0" defaultSubtota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dataFields count="2">
    <dataField name="Average of Price(₹ Lakhs)" fld="1" subtotal="average" baseField="0" baseItem="0"/>
    <dataField name="Average of Engine_Power(BHP)" fld="2" subtotal="average" baseField="0" baseItem="0"/>
  </dataFields>
  <pivotHierarchies count="5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Lakhs)"/>
    <pivotHierarchy dragToData="1"/>
    <pivotHierarchy dragToData="1"/>
    <pivotHierarchy dragToData="1"/>
    <pivotHierarchy dragToData="1"/>
    <pivotHierarchy dragToData="1" caption="Average of Engine_Power(BH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n Car Dataset updated.xlsx!CarData">
        <x15:activeTabTopLevelEntity name="[Car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1" xr10:uid="{F14BAD71-5A33-4524-AF4B-D08DEF7DD61D}" sourceName="[CarData].[Make]">
  <pivotTables>
    <pivotTable tabId="5" name="Avg Price"/>
    <pivotTable tabId="5" name="Most Powerful cars"/>
    <pivotTable tabId="5" name="Body Type"/>
    <pivotTable tabId="5" name="Performance Category"/>
    <pivotTable tabId="5" name="KPIs"/>
  </pivotTables>
  <data>
    <olap pivotCacheId="2124720017">
      <levels count="2">
        <level uniqueName="[CarData].[Make].[(All)]" sourceCaption="(All)" count="0"/>
        <level uniqueName="[CarData].[Make].[Make]" sourceCaption="Make" count="39">
          <ranges>
            <range startItem="0">
              <i n="[CarData].[Make].&amp;[Aston Martin]" c="Aston Martin"/>
              <i n="[CarData].[Make].&amp;[Audi]" c="Audi"/>
              <i n="[CarData].[Make].&amp;[Bajaj]" c="Bajaj"/>
              <i n="[CarData].[Make].&amp;[Bentley]" c="Bentley"/>
              <i n="[CarData].[Make].&amp;[BMW]" c="BMW"/>
              <i n="[CarData].[Make].&amp;[Datsun]" c="Datsun"/>
              <i n="[CarData].[Make].&amp;[Dc]" c="Dc"/>
              <i n="[CarData].[Make].&amp;[Ferrari]" c="Ferrari"/>
              <i n="[CarData].[Make].&amp;[Fiat]" c="Fiat"/>
              <i n="[CarData].[Make].&amp;[Force]" c="Force"/>
              <i n="[CarData].[Make].&amp;[Ford]" c="Ford"/>
              <i n="[CarData].[Make].&amp;[Honda]" c="Honda"/>
              <i n="[CarData].[Make].&amp;[Hyundai]" c="Hyundai"/>
              <i n="[CarData].[Make].&amp;[Icml]" c="Icml"/>
              <i n="[CarData].[Make].&amp;[Isuzu]" c="Isuzu"/>
              <i n="[CarData].[Make].&amp;[Jaguar]" c="Jaguar"/>
              <i n="[CarData].[Make].&amp;[Jeep]" c="Jeep"/>
              <i n="[CarData].[Make].&amp;[Kia]" c="Kia"/>
              <i n="[CarData].[Make].&amp;[Lamborghini]" c="Lamborghini"/>
              <i n="[CarData].[Make].&amp;[Land Rover]" c="Land Rover"/>
              <i n="[CarData].[Make].&amp;[Land Rover Rover]" c="Land Rover Rover"/>
              <i n="[CarData].[Make].&amp;[Lexus]" c="Lexus"/>
              <i n="[CarData].[Make].&amp;[Mahindra]" c="Mahindra"/>
              <i n="[CarData].[Make].&amp;[Maruti Suzuki]" c="Maruti Suzuki"/>
              <i n="[CarData].[Make].&amp;[Maruti Suzuki R]" c="Maruti Suzuki R"/>
              <i n="[CarData].[Make].&amp;[Maserati]" c="Maserati"/>
              <i n="[CarData].[Make].&amp;[Mercedes-Benz]" c="Mercedes-Benz"/>
              <i n="[CarData].[Make].&amp;[Mg]" c="Mg"/>
              <i n="[CarData].[Make].&amp;[Mini]" c="Mini"/>
              <i n="[CarData].[Make].&amp;[Mitsubishi]" c="Mitsubishi"/>
              <i n="[CarData].[Make].&amp;[Nissan]" c="Nissan"/>
              <i n="[CarData].[Make].&amp;[Porsche]" c="Porsche"/>
              <i n="[CarData].[Make].&amp;[Premier]" c="Premier"/>
              <i n="[CarData].[Make].&amp;[Renault]" c="Renault"/>
              <i n="[CarData].[Make].&amp;[Skoda]" c="Skoda"/>
              <i n="[CarData].[Make].&amp;[Tata]" c="Tata"/>
              <i n="[CarData].[Make].&amp;[Toyota]" c="Toyota"/>
              <i n="[CarData].[Make].&amp;[Volkswagen]" c="Volkswagen"/>
              <i n="[CarData].[Make].&amp;[Volvo]" c="Volvo"/>
            </range>
          </ranges>
        </level>
      </levels>
      <selections count="1">
        <selection n="[CarData].[Mak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2B40F147-FE38-4065-937C-1A322569BBB9}" sourceName="[CarData].[Fuel_Type]">
  <pivotTables>
    <pivotTable tabId="5" name="Avg Price"/>
    <pivotTable tabId="5" name="Body Type"/>
    <pivotTable tabId="5" name="KPIs"/>
    <pivotTable tabId="5" name="Most Powerful cars"/>
    <pivotTable tabId="5" name="Performance Category"/>
  </pivotTables>
  <data>
    <olap pivotCacheId="2124720017">
      <levels count="2">
        <level uniqueName="[CarData].[Fuel_Type].[(All)]" sourceCaption="(All)" count="0"/>
        <level uniqueName="[CarData].[Fuel_Type].[Fuel_Type]" sourceCaption="Fuel_Type" count="6">
          <ranges>
            <range startItem="0">
              <i n="[CarData].[Fuel_Type].&amp;[CNG]" c="CNG"/>
              <i n="[CarData].[Fuel_Type].&amp;[CNG + Petrol]" c="CNG + Petrol"/>
              <i n="[CarData].[Fuel_Type].&amp;[Diesel]" c="Diesel"/>
              <i n="[CarData].[Fuel_Type].&amp;[Electric]" c="Electric"/>
              <i n="[CarData].[Fuel_Type].&amp;[Hybrid]" c="Hybrid"/>
              <i n="[CarData].[Fuel_Type].&amp;[Petrol]" c="Petrol"/>
            </range>
          </ranges>
        </level>
      </levels>
      <selections count="1">
        <selection n="[CarData].[Fuel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2C3E904B-2E0C-4467-93CC-DFC2C46DDD8C}" sourceName="[CarData].[Transmission]">
  <pivotTables>
    <pivotTable tabId="5" name="Avg Price"/>
    <pivotTable tabId="5" name="Body Type"/>
    <pivotTable tabId="5" name="KPIs"/>
    <pivotTable tabId="5" name="Most Powerful cars"/>
    <pivotTable tabId="5" name="Performance Category"/>
  </pivotTables>
  <data>
    <olap pivotCacheId="2124720017">
      <levels count="2">
        <level uniqueName="[CarData].[Transmission].[(All)]" sourceCaption="(All)" count="0"/>
        <level uniqueName="[CarData].[Transmission].[Transmission]" sourceCaption="Transmission" count="5">
          <ranges>
            <range startItem="0">
              <i n="[CarData].[Transmission].&amp;[AMT]" c="AMT"/>
              <i n="[CarData].[Transmission].&amp;[Automatic]" c="Automatic"/>
              <i n="[CarData].[Transmission].&amp;[CVT]" c="CVT"/>
              <i n="[CarData].[Transmission].&amp;[DCT]" c="DCT"/>
              <i n="[CarData].[Transmission].&amp;[Manual]" c="Manual"/>
            </range>
          </ranges>
        </level>
      </levels>
      <selections count="1">
        <selection n="[CarData].[Transmis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Type" xr10:uid="{218C8484-81E4-469F-8E67-637C58E56341}" sourceName="[CarData].[Body_Type]">
  <pivotTables>
    <pivotTable tabId="5" name="Avg Price"/>
  </pivotTables>
  <data>
    <olap pivotCacheId="2124720017">
      <levels count="2">
        <level uniqueName="[CarData].[Body_Type].[(All)]" sourceCaption="(All)" count="0"/>
        <level uniqueName="[CarData].[Body_Type].[Body_Type]" sourceCaption="Body_Type" count="16">
          <ranges>
            <range startItem="0">
              <i n="[CarData].[Body_Type].&amp;[Convertible]" c="Convertible"/>
              <i n="[CarData].[Body_Type].&amp;[Convertible Coupe]" c="Convertible Coupe"/>
              <i n="[CarData].[Body_Type].&amp;[Convertible Sports]" c="Convertible Sports"/>
              <i n="[CarData].[Body_Type].&amp;[Coupe]" c="Coupe"/>
              <i n="[CarData].[Body_Type].&amp;[Coupe Sedan]" c="Coupe Sedan"/>
              <i n="[CarData].[Body_Type].&amp;[Crossover]" c="Crossover"/>
              <i n="[CarData].[Body_Type].&amp;[Crossover Sedan]" c="Crossover Sedan"/>
              <i n="[CarData].[Body_Type].&amp;[Crossover SUV]" c="Crossover SUV"/>
              <i n="[CarData].[Body_Type].&amp;[Hatchback]" c="Hatchback"/>
              <i n="[CarData].[Body_Type].&amp;[Hatchback Sports]" c="Hatchback Sports"/>
              <i n="[CarData].[Body_Type].&amp;[MPV]" c="MPV"/>
              <i n="[CarData].[Body_Type].&amp;[MUV]" c="MUV"/>
              <i n="[CarData].[Body_Type].&amp;[Pick-up]" c="Pick-up"/>
              <i n="[CarData].[Body_Type].&amp;[Sedan]" c="Sedan"/>
              <i n="[CarData].[Body_Type].&amp;[Sports]" c="Sports"/>
              <i n="[CarData].[Body_Type].&amp;[SUV]" c="SUV"/>
            </range>
          </ranges>
        </level>
      </levels>
      <selections count="1">
        <selection n="[CarData].[Body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1285BCCB-1B85-4094-8D4E-C459EFD8F969}" cache="Slicer_Make1" caption="Make" startItem="4"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2" xr10:uid="{C36BDFC9-4895-4257-8221-CBB23122BEEF}" cache="Slicer_Make1" caption="Make" columnCount="3" level="1" style="Slicer Style 1" rowHeight="257175"/>
  <slicer name="Fuel_Type 1" xr10:uid="{9D9400BE-59DD-4FEB-8B71-DD07ACED37D8}" cache="Slicer_Fuel_Type" caption="Fuel_Type" columnCount="2" level="1" style="Slicer Style 1" rowHeight="257175"/>
  <slicer name="Transmission 1" xr10:uid="{AB051F37-9CC4-422E-843A-EC476EBA79C3}" cache="Slicer_Transmission" caption="Transmission" columnCount="2" level="1" style="Slicer Style 1" rowHeight="257175"/>
  <slicer name="Body_Type 1" xr10:uid="{4178BCE6-CD18-46EF-9453-DCF4B182F4A3}" cache="Slicer_Body_Type" caption="Body_Type" columnCount="2" level="1"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42432A-CF1B-435B-9D97-75C2FDB16E20}" name="CarData" displayName="CarData" ref="A1:M1266" totalsRowShown="0" headerRowDxfId="218" headerRowBorderDxfId="217" tableBorderDxfId="216" totalsRowBorderDxfId="215">
  <autoFilter ref="A1:M1266" xr:uid="{7E42432A-CF1B-435B-9D97-75C2FDB16E20}"/>
  <tableColumns count="13">
    <tableColumn id="1" xr3:uid="{8E27415F-01C0-4F27-9A77-83077098F878}" name="Make" dataDxfId="214"/>
    <tableColumn id="2" xr3:uid="{249F9715-494B-42ED-955B-4D4174FD466A}" name="Model" dataDxfId="213"/>
    <tableColumn id="3" xr3:uid="{44D4517D-E150-4D6A-8AE4-7F2296BD54AE}" name="Variant" dataDxfId="212"/>
    <tableColumn id="4" xr3:uid="{EA011510-D7C9-4A8C-84D0-12888B0C1AC7}" name="Price(₹ Lakhs)" dataDxfId="211"/>
    <tableColumn id="5" xr3:uid="{34F4423A-C985-4857-9FAD-C248F49FE25A}" name="Engine_Displacement(CC)" dataDxfId="210"/>
    <tableColumn id="6" xr3:uid="{79BC8A1F-BE99-4168-8459-A7F848269CD8}" name="Cylinders" dataDxfId="209"/>
    <tableColumn id="7" xr3:uid="{1B70E0F8-D712-4B03-9C7E-8E6F09EDBEBA}" name="Fuel_Type" dataDxfId="208"/>
    <tableColumn id="8" xr3:uid="{1039C3DC-5FAC-4DDB-8C7D-54B7CFBB8857}" name="Body_Type" dataDxfId="207"/>
    <tableColumn id="9" xr3:uid="{8B5CD9D3-9F06-4EBF-A2C4-51A7ADD1C55D}" name="Seating_Capacity" dataDxfId="206"/>
    <tableColumn id="10" xr3:uid="{B3472904-EF40-43F0-B4AF-FD225DFDE02C}" name="Transmission" dataDxfId="205"/>
    <tableColumn id="11" xr3:uid="{E29FCF0B-8351-4FC9-83E7-384D3706562A}" name="Engine_Power(BHP)" dataDxfId="204"/>
    <tableColumn id="12" xr3:uid="{66221540-2156-408A-9520-85E696478A06}" name="Torque(Nm)" dataDxfId="203"/>
    <tableColumn id="13" xr3:uid="{9BCFAE17-0D43-46B6-8ACC-985E425F0E45}" name="Performance Category" dataDxfId="202">
      <calculatedColumnFormula array="1">_xlfn.IFS(L2&lt;100,"Economy",L2&lt;200,"Standard",L2&lt;350,"Powerful",L2&lt;500,"High Performance",L2&lt;800,"Sports Performance",L2&gt;=800,"Super Performance")</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BC8763-C9FE-4CD9-B219-09B870933971}" name="CarData3" displayName="CarData3" ref="A1:M1268" totalsRowShown="0" headerRowDxfId="201" headerRowBorderDxfId="200" tableBorderDxfId="199" totalsRowBorderDxfId="198">
  <sortState xmlns:xlrd2="http://schemas.microsoft.com/office/spreadsheetml/2017/richdata2" ref="A2:M1268">
    <sortCondition descending="1" ref="L2:L1268"/>
  </sortState>
  <tableColumns count="13">
    <tableColumn id="1" xr3:uid="{E591909E-CF69-470B-AF77-9B04B95598C2}" name="Make" dataDxfId="197"/>
    <tableColumn id="2" xr3:uid="{B5666807-DED9-4DC2-B30E-B205E5326267}" name="Model" dataDxfId="196"/>
    <tableColumn id="3" xr3:uid="{17CF5295-B85A-4628-B0E9-2D2802065A8F}" name="Variant" dataDxfId="195"/>
    <tableColumn id="4" xr3:uid="{14129FEE-7D9A-4868-8CF5-B23C4D8CCD6E}" name="Price(₹ Lakhs)" dataDxfId="194"/>
    <tableColumn id="5" xr3:uid="{C03BC2CF-3530-41F1-B548-5FEB0E9BD107}" name="Engine_Displacement(CC)" dataDxfId="193"/>
    <tableColumn id="6" xr3:uid="{C9F8AFE8-EBC1-4684-B63A-78865DDCE834}" name="Cylinders" dataDxfId="192"/>
    <tableColumn id="7" xr3:uid="{88DFDA23-59D6-42D2-9D6C-DC85BE5692A0}" name="Fuel_Type" dataDxfId="191"/>
    <tableColumn id="8" xr3:uid="{B6391216-F566-4943-8E69-341400463BDB}" name="Body_Type" dataDxfId="190"/>
    <tableColumn id="9" xr3:uid="{FBF6C97A-703E-4690-BBAD-9F2088BA9908}" name="Seating_Capacity" dataDxfId="189"/>
    <tableColumn id="10" xr3:uid="{30900C5A-AADC-4217-B1A1-6E130051EDD0}" name="Transmission" dataDxfId="188"/>
    <tableColumn id="11" xr3:uid="{8BDD5777-62FE-405E-B784-5124DFC44802}" name="Engine_Power(BHP)" dataDxfId="187"/>
    <tableColumn id="12" xr3:uid="{D57BFE0E-2354-45A2-956C-6CA1BDDA3FB7}" name="Torque(Nm)" dataDxfId="186"/>
    <tableColumn id="13" xr3:uid="{0842EBCB-EC16-4B14-9E73-9FFE77B17344}" name="Performance Category" dataDxfId="185">
      <calculatedColumnFormula array="1">_xlfn.IFS(L2&lt;100,"Economy",L2&lt;200,"Standard",L2&lt;350,"Powerful",L2&lt;500,"High Performance",L2&lt;800,"Sports Performance",L2&gt;=800,"Super Performance")</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46AE-754F-48C0-A1E3-2E884E1CEAE7}">
  <dimension ref="A1:M1266"/>
  <sheetViews>
    <sheetView workbookViewId="0"/>
  </sheetViews>
  <sheetFormatPr defaultRowHeight="15" x14ac:dyDescent="0.25"/>
  <cols>
    <col min="1" max="2" width="14.5703125" customWidth="1"/>
    <col min="3" max="3" width="23.42578125" customWidth="1"/>
    <col min="4" max="4" width="21.5703125" style="2" customWidth="1"/>
    <col min="5" max="5" width="27" customWidth="1"/>
    <col min="6" max="8" width="14.5703125" customWidth="1"/>
    <col min="9" max="9" width="18.5703125" customWidth="1"/>
    <col min="10" max="10" width="15.140625" customWidth="1"/>
    <col min="11" max="11" width="20.85546875" style="1" customWidth="1"/>
    <col min="12" max="12" width="14.5703125" style="1" customWidth="1"/>
    <col min="13" max="13" width="23.28515625" customWidth="1"/>
  </cols>
  <sheetData>
    <row r="1" spans="1:13" x14ac:dyDescent="0.25">
      <c r="A1" s="11" t="s">
        <v>0</v>
      </c>
      <c r="B1" s="12" t="s">
        <v>1</v>
      </c>
      <c r="C1" s="12" t="s">
        <v>2</v>
      </c>
      <c r="D1" s="13" t="s">
        <v>1384</v>
      </c>
      <c r="E1" s="12" t="s">
        <v>1381</v>
      </c>
      <c r="F1" s="12" t="s">
        <v>3</v>
      </c>
      <c r="G1" s="12" t="s">
        <v>4</v>
      </c>
      <c r="H1" s="12" t="s">
        <v>5</v>
      </c>
      <c r="I1" s="12" t="s">
        <v>6</v>
      </c>
      <c r="J1" s="12" t="s">
        <v>1385</v>
      </c>
      <c r="K1" s="14" t="s">
        <v>1382</v>
      </c>
      <c r="L1" s="14" t="s">
        <v>1383</v>
      </c>
      <c r="M1" s="15" t="s">
        <v>1387</v>
      </c>
    </row>
    <row r="2" spans="1:13" x14ac:dyDescent="0.25">
      <c r="A2" s="5" t="s">
        <v>7</v>
      </c>
      <c r="B2" s="3" t="s">
        <v>8</v>
      </c>
      <c r="C2" s="3" t="s">
        <v>9</v>
      </c>
      <c r="D2" s="4">
        <v>429990</v>
      </c>
      <c r="E2" s="3">
        <v>1086</v>
      </c>
      <c r="F2" s="3">
        <v>4</v>
      </c>
      <c r="G2" s="3" t="s">
        <v>10</v>
      </c>
      <c r="H2" s="3" t="s">
        <v>11</v>
      </c>
      <c r="I2" s="3">
        <v>5</v>
      </c>
      <c r="J2" s="3" t="s">
        <v>12</v>
      </c>
      <c r="K2" s="18">
        <v>69</v>
      </c>
      <c r="L2" s="16">
        <v>99.04</v>
      </c>
      <c r="M2" s="6" t="str" cm="1">
        <f t="array" ref="M2">_xlfn.IFS(L2&lt;100,"Economy",L2&lt;200,"Standard",L2&lt;350,"Powerful",L2&lt;500,"High Performance",L2&lt;800,"Sports Performance",L2&gt;=800,"Super Performance")</f>
        <v>Economy</v>
      </c>
    </row>
    <row r="3" spans="1:13" x14ac:dyDescent="0.25">
      <c r="A3" s="5" t="s">
        <v>7</v>
      </c>
      <c r="B3" s="3" t="s">
        <v>8</v>
      </c>
      <c r="C3" s="3" t="s">
        <v>13</v>
      </c>
      <c r="D3" s="4">
        <v>503990</v>
      </c>
      <c r="E3" s="3">
        <v>1086</v>
      </c>
      <c r="F3" s="3">
        <v>4</v>
      </c>
      <c r="G3" s="3" t="s">
        <v>10</v>
      </c>
      <c r="H3" s="3" t="s">
        <v>11</v>
      </c>
      <c r="I3" s="3">
        <v>5</v>
      </c>
      <c r="J3" s="3" t="s">
        <v>12</v>
      </c>
      <c r="K3" s="18">
        <v>69</v>
      </c>
      <c r="L3" s="16">
        <v>99.04</v>
      </c>
      <c r="M3" s="6" t="str" cm="1">
        <f t="array" ref="M3">_xlfn.IFS(L3&lt;100,"Economy",L3&lt;200,"Standard",L3&lt;350,"Powerful",L3&lt;500,"High Performance",L3&lt;800,"Sports Performance",L3&gt;=800,"Super Performance")</f>
        <v>Economy</v>
      </c>
    </row>
    <row r="4" spans="1:13" x14ac:dyDescent="0.25">
      <c r="A4" s="5" t="s">
        <v>7</v>
      </c>
      <c r="B4" s="3" t="s">
        <v>8</v>
      </c>
      <c r="C4" s="3" t="s">
        <v>14</v>
      </c>
      <c r="D4" s="4">
        <v>547990</v>
      </c>
      <c r="E4" s="3">
        <v>1086</v>
      </c>
      <c r="F4" s="3">
        <v>4</v>
      </c>
      <c r="G4" s="3" t="s">
        <v>15</v>
      </c>
      <c r="H4" s="3" t="s">
        <v>11</v>
      </c>
      <c r="I4" s="3">
        <v>5</v>
      </c>
      <c r="J4" s="3" t="s">
        <v>12</v>
      </c>
      <c r="K4" s="18">
        <v>59</v>
      </c>
      <c r="L4" s="16">
        <v>99.04</v>
      </c>
      <c r="M4" s="6" t="str" cm="1">
        <f t="array" ref="M4">_xlfn.IFS(L4&lt;100,"Economy",L4&lt;200,"Standard",L4&lt;350,"Powerful",L4&lt;500,"High Performance",L4&lt;800,"Sports Performance",L4&gt;=800,"Super Performance")</f>
        <v>Economy</v>
      </c>
    </row>
    <row r="5" spans="1:13" x14ac:dyDescent="0.25">
      <c r="A5" s="5" t="s">
        <v>7</v>
      </c>
      <c r="B5" s="3" t="s">
        <v>8</v>
      </c>
      <c r="C5" s="3" t="s">
        <v>16</v>
      </c>
      <c r="D5" s="4">
        <v>530990</v>
      </c>
      <c r="E5" s="3">
        <v>1086</v>
      </c>
      <c r="F5" s="3">
        <v>4</v>
      </c>
      <c r="G5" s="3" t="s">
        <v>10</v>
      </c>
      <c r="H5" s="3" t="s">
        <v>11</v>
      </c>
      <c r="I5" s="3">
        <v>5</v>
      </c>
      <c r="J5" s="3" t="s">
        <v>17</v>
      </c>
      <c r="K5" s="18">
        <v>69</v>
      </c>
      <c r="L5" s="16">
        <v>99.047164999999993</v>
      </c>
      <c r="M5" s="6" t="str" cm="1">
        <f t="array" ref="M5">_xlfn.IFS(L5&lt;100,"Economy",L5&lt;200,"Standard",L5&lt;350,"Powerful",L5&lt;500,"High Performance",L5&lt;800,"Sports Performance",L5&gt;=800,"Super Performance")</f>
        <v>Economy</v>
      </c>
    </row>
    <row r="6" spans="1:13" x14ac:dyDescent="0.25">
      <c r="A6" s="5" t="s">
        <v>7</v>
      </c>
      <c r="B6" s="3" t="s">
        <v>8</v>
      </c>
      <c r="C6" s="3" t="s">
        <v>18</v>
      </c>
      <c r="D6" s="4">
        <v>512990</v>
      </c>
      <c r="E6" s="3">
        <v>1086</v>
      </c>
      <c r="F6" s="3">
        <v>4</v>
      </c>
      <c r="G6" s="3" t="s">
        <v>10</v>
      </c>
      <c r="H6" s="3" t="s">
        <v>11</v>
      </c>
      <c r="I6" s="3">
        <v>5</v>
      </c>
      <c r="J6" s="3" t="s">
        <v>12</v>
      </c>
      <c r="K6" s="18">
        <v>69</v>
      </c>
      <c r="L6" s="16">
        <v>99.047164999999993</v>
      </c>
      <c r="M6" s="6" t="str" cm="1">
        <f t="array" ref="M6">_xlfn.IFS(L6&lt;100,"Economy",L6&lt;200,"Standard",L6&lt;350,"Powerful",L6&lt;500,"High Performance",L6&lt;800,"Sports Performance",L6&gt;=800,"Super Performance")</f>
        <v>Economy</v>
      </c>
    </row>
    <row r="7" spans="1:13" x14ac:dyDescent="0.25">
      <c r="A7" s="5" t="s">
        <v>7</v>
      </c>
      <c r="B7" s="3" t="s">
        <v>8</v>
      </c>
      <c r="C7" s="3" t="s">
        <v>19</v>
      </c>
      <c r="D7" s="4">
        <v>578990</v>
      </c>
      <c r="E7" s="3">
        <v>1086</v>
      </c>
      <c r="F7" s="3">
        <v>4</v>
      </c>
      <c r="G7" s="3" t="s">
        <v>15</v>
      </c>
      <c r="H7" s="3" t="s">
        <v>11</v>
      </c>
      <c r="I7" s="3">
        <v>5</v>
      </c>
      <c r="J7" s="3" t="s">
        <v>12</v>
      </c>
      <c r="K7" s="18">
        <v>59</v>
      </c>
      <c r="L7" s="16">
        <v>81.395195000000001</v>
      </c>
      <c r="M7" s="6" t="str" cm="1">
        <f t="array" ref="M7">_xlfn.IFS(L7&lt;100,"Economy",L7&lt;200,"Standard",L7&lt;350,"Powerful",L7&lt;500,"High Performance",L7&lt;800,"Sports Performance",L7&gt;=800,"Super Performance")</f>
        <v>Economy</v>
      </c>
    </row>
    <row r="8" spans="1:13" x14ac:dyDescent="0.25">
      <c r="A8" s="5" t="s">
        <v>7</v>
      </c>
      <c r="B8" s="3" t="s">
        <v>8</v>
      </c>
      <c r="C8" s="3" t="s">
        <v>20</v>
      </c>
      <c r="D8" s="4">
        <v>570990</v>
      </c>
      <c r="E8" s="3">
        <v>1086</v>
      </c>
      <c r="F8" s="3">
        <v>4</v>
      </c>
      <c r="G8" s="3" t="s">
        <v>10</v>
      </c>
      <c r="H8" s="3" t="s">
        <v>11</v>
      </c>
      <c r="I8" s="3">
        <v>5</v>
      </c>
      <c r="J8" s="3" t="s">
        <v>17</v>
      </c>
      <c r="K8" s="18">
        <v>69</v>
      </c>
      <c r="L8" s="16">
        <v>99.047164999999993</v>
      </c>
      <c r="M8" s="6" t="str" cm="1">
        <f t="array" ref="M8">_xlfn.IFS(L8&lt;100,"Economy",L8&lt;200,"Standard",L8&lt;350,"Powerful",L8&lt;500,"High Performance",L8&lt;800,"Sports Performance",L8&gt;=800,"Super Performance")</f>
        <v>Economy</v>
      </c>
    </row>
    <row r="9" spans="1:13" x14ac:dyDescent="0.25">
      <c r="A9" s="5" t="s">
        <v>7</v>
      </c>
      <c r="B9" s="3" t="s">
        <v>8</v>
      </c>
      <c r="C9" s="3" t="s">
        <v>21</v>
      </c>
      <c r="D9" s="4">
        <v>556490</v>
      </c>
      <c r="E9" s="3">
        <v>1086</v>
      </c>
      <c r="F9" s="3">
        <v>4</v>
      </c>
      <c r="G9" s="3" t="s">
        <v>10</v>
      </c>
      <c r="H9" s="3" t="s">
        <v>11</v>
      </c>
      <c r="I9" s="3">
        <v>5</v>
      </c>
      <c r="J9" s="3" t="s">
        <v>12</v>
      </c>
      <c r="K9" s="18">
        <v>69</v>
      </c>
      <c r="L9" s="16">
        <v>99.04</v>
      </c>
      <c r="M9" s="6" t="str" cm="1">
        <f t="array" ref="M9">_xlfn.IFS(L9&lt;100,"Economy",L9&lt;200,"Standard",L9&lt;350,"Powerful",L9&lt;500,"High Performance",L9&lt;800,"Sports Performance",L9&gt;=800,"Super Performance")</f>
        <v>Economy</v>
      </c>
    </row>
    <row r="10" spans="1:13" x14ac:dyDescent="0.25">
      <c r="A10" s="5" t="s">
        <v>22</v>
      </c>
      <c r="B10" s="3" t="s">
        <v>23</v>
      </c>
      <c r="C10" s="3" t="s">
        <v>24</v>
      </c>
      <c r="D10" s="4">
        <v>460000</v>
      </c>
      <c r="E10" s="3">
        <v>1199</v>
      </c>
      <c r="F10" s="3">
        <v>3</v>
      </c>
      <c r="G10" s="3" t="s">
        <v>10</v>
      </c>
      <c r="H10" s="3" t="s">
        <v>11</v>
      </c>
      <c r="I10" s="3">
        <v>5</v>
      </c>
      <c r="J10" s="3" t="s">
        <v>12</v>
      </c>
      <c r="K10" s="18">
        <v>86</v>
      </c>
      <c r="L10" s="16">
        <v>114</v>
      </c>
      <c r="M10" s="6" t="str" cm="1">
        <f t="array" ref="M10">_xlfn.IFS(L10&lt;100,"Economy",L10&lt;200,"Standard",L10&lt;350,"Powerful",L10&lt;500,"High Performance",L10&lt;800,"Sports Performance",L10&gt;=800,"Super Performance")</f>
        <v>Standard</v>
      </c>
    </row>
    <row r="11" spans="1:13" x14ac:dyDescent="0.25">
      <c r="A11" s="5" t="s">
        <v>7</v>
      </c>
      <c r="B11" s="3" t="s">
        <v>25</v>
      </c>
      <c r="C11" s="3" t="s">
        <v>26</v>
      </c>
      <c r="D11" s="4">
        <v>579900</v>
      </c>
      <c r="E11" s="3">
        <v>1197</v>
      </c>
      <c r="F11" s="3">
        <v>0</v>
      </c>
      <c r="G11" s="3" t="s">
        <v>10</v>
      </c>
      <c r="H11" s="3" t="s">
        <v>27</v>
      </c>
      <c r="I11" s="3">
        <v>5</v>
      </c>
      <c r="J11" s="3" t="s">
        <v>12</v>
      </c>
      <c r="K11" s="18">
        <v>83</v>
      </c>
      <c r="L11" s="16">
        <v>114</v>
      </c>
      <c r="M11" s="6" t="str" cm="1">
        <f t="array" ref="M11">_xlfn.IFS(L11&lt;100,"Economy",L11&lt;200,"Standard",L11&lt;350,"Powerful",L11&lt;500,"High Performance",L11&lt;800,"Sports Performance",L11&gt;=800,"Super Performance")</f>
        <v>Standard</v>
      </c>
    </row>
    <row r="12" spans="1:13" x14ac:dyDescent="0.25">
      <c r="A12" s="5" t="s">
        <v>7</v>
      </c>
      <c r="B12" s="3" t="s">
        <v>25</v>
      </c>
      <c r="C12" s="3" t="s">
        <v>28</v>
      </c>
      <c r="D12" s="4">
        <v>655900</v>
      </c>
      <c r="E12" s="3">
        <v>1197</v>
      </c>
      <c r="F12" s="3">
        <v>0</v>
      </c>
      <c r="G12" s="3" t="s">
        <v>10</v>
      </c>
      <c r="H12" s="3" t="s">
        <v>27</v>
      </c>
      <c r="I12" s="3">
        <v>5</v>
      </c>
      <c r="J12" s="3" t="s">
        <v>12</v>
      </c>
      <c r="K12" s="18">
        <v>83</v>
      </c>
      <c r="L12" s="16">
        <v>114</v>
      </c>
      <c r="M12" s="6" t="str" cm="1">
        <f t="array" ref="M12">_xlfn.IFS(L12&lt;100,"Economy",L12&lt;200,"Standard",L12&lt;350,"Powerful",L12&lt;500,"High Performance",L12&lt;800,"Sports Performance",L12&gt;=800,"Super Performance")</f>
        <v>Standard</v>
      </c>
    </row>
    <row r="13" spans="1:13" x14ac:dyDescent="0.25">
      <c r="A13" s="5" t="s">
        <v>7</v>
      </c>
      <c r="B13" s="3" t="s">
        <v>25</v>
      </c>
      <c r="C13" s="3" t="s">
        <v>29</v>
      </c>
      <c r="D13" s="4">
        <v>705800</v>
      </c>
      <c r="E13" s="3">
        <v>1197</v>
      </c>
      <c r="F13" s="3">
        <v>0</v>
      </c>
      <c r="G13" s="3" t="s">
        <v>10</v>
      </c>
      <c r="H13" s="3" t="s">
        <v>27</v>
      </c>
      <c r="I13" s="3">
        <v>5</v>
      </c>
      <c r="J13" s="3" t="s">
        <v>30</v>
      </c>
      <c r="K13" s="18">
        <v>83</v>
      </c>
      <c r="L13" s="16">
        <v>114</v>
      </c>
      <c r="M13" s="6" t="str" cm="1">
        <f t="array" ref="M13">_xlfn.IFS(L13&lt;100,"Economy",L13&lt;200,"Standard",L13&lt;350,"Powerful",L13&lt;500,"High Performance",L13&lt;800,"Sports Performance",L13&gt;=800,"Super Performance")</f>
        <v>Standard</v>
      </c>
    </row>
    <row r="14" spans="1:13" x14ac:dyDescent="0.25">
      <c r="A14" s="5" t="s">
        <v>7</v>
      </c>
      <c r="B14" s="3" t="s">
        <v>25</v>
      </c>
      <c r="C14" s="3" t="s">
        <v>31</v>
      </c>
      <c r="D14" s="4">
        <v>729900</v>
      </c>
      <c r="E14" s="3">
        <v>1197</v>
      </c>
      <c r="F14" s="3">
        <v>0</v>
      </c>
      <c r="G14" s="3" t="s">
        <v>10</v>
      </c>
      <c r="H14" s="3" t="s">
        <v>27</v>
      </c>
      <c r="I14" s="3">
        <v>5</v>
      </c>
      <c r="J14" s="3" t="s">
        <v>12</v>
      </c>
      <c r="K14" s="18">
        <v>83</v>
      </c>
      <c r="L14" s="16">
        <v>114</v>
      </c>
      <c r="M14" s="6" t="str" cm="1">
        <f t="array" ref="M14">_xlfn.IFS(L14&lt;100,"Economy",L14&lt;200,"Standard",L14&lt;350,"Powerful",L14&lt;500,"High Performance",L14&lt;800,"Sports Performance",L14&gt;=800,"Super Performance")</f>
        <v>Standard</v>
      </c>
    </row>
    <row r="15" spans="1:13" x14ac:dyDescent="0.25">
      <c r="A15" s="5" t="s">
        <v>7</v>
      </c>
      <c r="B15" s="3" t="s">
        <v>25</v>
      </c>
      <c r="C15" s="3" t="s">
        <v>32</v>
      </c>
      <c r="D15" s="4">
        <v>804800</v>
      </c>
      <c r="E15" s="3">
        <v>1197</v>
      </c>
      <c r="F15" s="3">
        <v>0</v>
      </c>
      <c r="G15" s="3" t="s">
        <v>10</v>
      </c>
      <c r="H15" s="3" t="s">
        <v>27</v>
      </c>
      <c r="I15" s="3">
        <v>5</v>
      </c>
      <c r="J15" s="3" t="s">
        <v>30</v>
      </c>
      <c r="K15" s="18">
        <v>83</v>
      </c>
      <c r="L15" s="16">
        <v>114</v>
      </c>
      <c r="M15" s="6" t="str" cm="1">
        <f t="array" ref="M15">_xlfn.IFS(L15&lt;100,"Economy",L15&lt;200,"Standard",L15&lt;350,"Powerful",L15&lt;500,"High Performance",L15&lt;800,"Sports Performance",L15&gt;=800,"Super Performance")</f>
        <v>Standard</v>
      </c>
    </row>
    <row r="16" spans="1:13" x14ac:dyDescent="0.25">
      <c r="A16" s="5" t="s">
        <v>7</v>
      </c>
      <c r="B16" s="3" t="s">
        <v>25</v>
      </c>
      <c r="C16" s="3" t="s">
        <v>33</v>
      </c>
      <c r="D16" s="4">
        <v>785900</v>
      </c>
      <c r="E16" s="3">
        <v>1197</v>
      </c>
      <c r="F16" s="3">
        <v>0</v>
      </c>
      <c r="G16" s="3" t="s">
        <v>10</v>
      </c>
      <c r="H16" s="3" t="s">
        <v>27</v>
      </c>
      <c r="I16" s="3">
        <v>5</v>
      </c>
      <c r="J16" s="3" t="s">
        <v>12</v>
      </c>
      <c r="K16" s="18">
        <v>83</v>
      </c>
      <c r="L16" s="16">
        <v>114</v>
      </c>
      <c r="M16" s="6" t="str" cm="1">
        <f t="array" ref="M16">_xlfn.IFS(L16&lt;100,"Economy",L16&lt;200,"Standard",L16&lt;350,"Powerful",L16&lt;500,"High Performance",L16&lt;800,"Sports Performance",L16&gt;=800,"Super Performance")</f>
        <v>Standard</v>
      </c>
    </row>
    <row r="17" spans="1:13" x14ac:dyDescent="0.25">
      <c r="A17" s="5" t="s">
        <v>7</v>
      </c>
      <c r="B17" s="3" t="s">
        <v>25</v>
      </c>
      <c r="C17" s="3" t="s">
        <v>34</v>
      </c>
      <c r="D17" s="4">
        <v>854900</v>
      </c>
      <c r="E17" s="3">
        <v>998</v>
      </c>
      <c r="F17" s="3">
        <v>0</v>
      </c>
      <c r="G17" s="3" t="s">
        <v>10</v>
      </c>
      <c r="H17" s="3" t="s">
        <v>27</v>
      </c>
      <c r="I17" s="3">
        <v>5</v>
      </c>
      <c r="J17" s="3" t="s">
        <v>12</v>
      </c>
      <c r="K17" s="18">
        <v>100</v>
      </c>
      <c r="L17" s="16">
        <v>172</v>
      </c>
      <c r="M17" s="6" t="str" cm="1">
        <f t="array" ref="M17">_xlfn.IFS(L17&lt;100,"Economy",L17&lt;200,"Standard",L17&lt;350,"Powerful",L17&lt;500,"High Performance",L17&lt;800,"Sports Performance",L17&gt;=800,"Super Performance")</f>
        <v>Standard</v>
      </c>
    </row>
    <row r="18" spans="1:13" x14ac:dyDescent="0.25">
      <c r="A18" s="5" t="s">
        <v>7</v>
      </c>
      <c r="B18" s="3" t="s">
        <v>25</v>
      </c>
      <c r="C18" s="3" t="s">
        <v>35</v>
      </c>
      <c r="D18" s="4">
        <v>773800</v>
      </c>
      <c r="E18" s="3">
        <v>1186</v>
      </c>
      <c r="F18" s="3">
        <v>0</v>
      </c>
      <c r="G18" s="3" t="s">
        <v>36</v>
      </c>
      <c r="H18" s="3" t="s">
        <v>27</v>
      </c>
      <c r="I18" s="3">
        <v>5</v>
      </c>
      <c r="J18" s="3" t="s">
        <v>12</v>
      </c>
      <c r="K18" s="18">
        <v>75</v>
      </c>
      <c r="L18" s="16">
        <v>190</v>
      </c>
      <c r="M18" s="6" t="str" cm="1">
        <f t="array" ref="M18">_xlfn.IFS(L18&lt;100,"Economy",L18&lt;200,"Standard",L18&lt;350,"Powerful",L18&lt;500,"High Performance",L18&lt;800,"Sports Performance",L18&gt;=800,"Super Performance")</f>
        <v>Standard</v>
      </c>
    </row>
    <row r="19" spans="1:13" x14ac:dyDescent="0.25">
      <c r="A19" s="5" t="s">
        <v>7</v>
      </c>
      <c r="B19" s="3" t="s">
        <v>25</v>
      </c>
      <c r="C19" s="3" t="s">
        <v>37</v>
      </c>
      <c r="D19" s="4">
        <v>823700</v>
      </c>
      <c r="E19" s="3">
        <v>1186</v>
      </c>
      <c r="F19" s="3">
        <v>0</v>
      </c>
      <c r="G19" s="3" t="s">
        <v>36</v>
      </c>
      <c r="H19" s="3" t="s">
        <v>27</v>
      </c>
      <c r="I19" s="3">
        <v>5</v>
      </c>
      <c r="J19" s="3" t="s">
        <v>30</v>
      </c>
      <c r="K19" s="18">
        <v>75</v>
      </c>
      <c r="L19" s="16">
        <v>190</v>
      </c>
      <c r="M19" s="6" t="str" cm="1">
        <f t="array" ref="M19">_xlfn.IFS(L19&lt;100,"Economy",L19&lt;200,"Standard",L19&lt;350,"Powerful",L19&lt;500,"High Performance",L19&lt;800,"Sports Performance",L19&gt;=800,"Super Performance")</f>
        <v>Standard</v>
      </c>
    </row>
    <row r="20" spans="1:13" x14ac:dyDescent="0.25">
      <c r="A20" s="5" t="s">
        <v>7</v>
      </c>
      <c r="B20" s="3" t="s">
        <v>25</v>
      </c>
      <c r="C20" s="3" t="s">
        <v>38</v>
      </c>
      <c r="D20" s="4">
        <v>922700</v>
      </c>
      <c r="E20" s="3">
        <v>1186</v>
      </c>
      <c r="F20" s="3">
        <v>0</v>
      </c>
      <c r="G20" s="3" t="s">
        <v>36</v>
      </c>
      <c r="H20" s="3" t="s">
        <v>27</v>
      </c>
      <c r="I20" s="3">
        <v>5</v>
      </c>
      <c r="J20" s="3" t="s">
        <v>30</v>
      </c>
      <c r="K20" s="18">
        <v>75</v>
      </c>
      <c r="L20" s="16">
        <v>190</v>
      </c>
      <c r="M20" s="6" t="str" cm="1">
        <f t="array" ref="M20">_xlfn.IFS(L20&lt;100,"Economy",L20&lt;200,"Standard",L20&lt;350,"Powerful",L20&lt;500,"High Performance",L20&lt;800,"Sports Performance",L20&gt;=800,"Super Performance")</f>
        <v>Standard</v>
      </c>
    </row>
    <row r="21" spans="1:13" x14ac:dyDescent="0.25">
      <c r="A21" s="5" t="s">
        <v>7</v>
      </c>
      <c r="B21" s="3" t="s">
        <v>25</v>
      </c>
      <c r="C21" s="3" t="s">
        <v>39</v>
      </c>
      <c r="D21" s="4">
        <v>903800</v>
      </c>
      <c r="E21" s="3">
        <v>1186</v>
      </c>
      <c r="F21" s="3">
        <v>0</v>
      </c>
      <c r="G21" s="3" t="s">
        <v>36</v>
      </c>
      <c r="H21" s="3" t="s">
        <v>27</v>
      </c>
      <c r="I21" s="3">
        <v>5</v>
      </c>
      <c r="J21" s="3" t="s">
        <v>12</v>
      </c>
      <c r="K21" s="18">
        <v>75</v>
      </c>
      <c r="L21" s="16">
        <v>190</v>
      </c>
      <c r="M21" s="6" t="str" cm="1">
        <f t="array" ref="M21">_xlfn.IFS(L21&lt;100,"Economy",L21&lt;200,"Standard",L21&lt;350,"Powerful",L21&lt;500,"High Performance",L21&lt;800,"Sports Performance",L21&gt;=800,"Super Performance")</f>
        <v>Standard</v>
      </c>
    </row>
    <row r="22" spans="1:13" x14ac:dyDescent="0.25">
      <c r="A22" s="5" t="s">
        <v>40</v>
      </c>
      <c r="B22" s="3" t="s">
        <v>41</v>
      </c>
      <c r="C22" s="3" t="s">
        <v>42</v>
      </c>
      <c r="D22" s="4">
        <v>598500</v>
      </c>
      <c r="E22" s="3">
        <v>1194</v>
      </c>
      <c r="F22" s="3">
        <v>4</v>
      </c>
      <c r="G22" s="3" t="s">
        <v>10</v>
      </c>
      <c r="H22" s="3" t="s">
        <v>27</v>
      </c>
      <c r="I22" s="3">
        <v>5</v>
      </c>
      <c r="J22" s="3" t="s">
        <v>12</v>
      </c>
      <c r="K22" s="18">
        <v>96</v>
      </c>
      <c r="L22" s="16">
        <v>120</v>
      </c>
      <c r="M22" s="6" t="str" cm="1">
        <f t="array" ref="M22">_xlfn.IFS(L22&lt;100,"Economy",L22&lt;200,"Standard",L22&lt;350,"Powerful",L22&lt;500,"High Performance",L22&lt;800,"Sports Performance",L22&gt;=800,"Super Performance")</f>
        <v>Standard</v>
      </c>
    </row>
    <row r="23" spans="1:13" x14ac:dyDescent="0.25">
      <c r="A23" s="5" t="s">
        <v>40</v>
      </c>
      <c r="B23" s="3" t="s">
        <v>41</v>
      </c>
      <c r="C23" s="3" t="s">
        <v>43</v>
      </c>
      <c r="D23" s="4">
        <v>697400</v>
      </c>
      <c r="E23" s="3">
        <v>1194</v>
      </c>
      <c r="F23" s="3">
        <v>4</v>
      </c>
      <c r="G23" s="3" t="s">
        <v>10</v>
      </c>
      <c r="H23" s="3" t="s">
        <v>27</v>
      </c>
      <c r="I23" s="3">
        <v>5</v>
      </c>
      <c r="J23" s="3" t="s">
        <v>12</v>
      </c>
      <c r="K23" s="18">
        <v>96</v>
      </c>
      <c r="L23" s="16">
        <v>120</v>
      </c>
      <c r="M23" s="6" t="str" cm="1">
        <f t="array" ref="M23">_xlfn.IFS(L23&lt;100,"Economy",L23&lt;200,"Standard",L23&lt;350,"Powerful",L23&lt;500,"High Performance",L23&lt;800,"Sports Performance",L23&gt;=800,"Super Performance")</f>
        <v>Standard</v>
      </c>
    </row>
    <row r="24" spans="1:13" x14ac:dyDescent="0.25">
      <c r="A24" s="5" t="s">
        <v>40</v>
      </c>
      <c r="B24" s="3" t="s">
        <v>41</v>
      </c>
      <c r="C24" s="3" t="s">
        <v>44</v>
      </c>
      <c r="D24" s="4">
        <v>663400</v>
      </c>
      <c r="E24" s="3">
        <v>1194</v>
      </c>
      <c r="F24" s="3">
        <v>4</v>
      </c>
      <c r="G24" s="3" t="s">
        <v>10</v>
      </c>
      <c r="H24" s="3" t="s">
        <v>27</v>
      </c>
      <c r="I24" s="3">
        <v>5</v>
      </c>
      <c r="J24" s="3" t="s">
        <v>12</v>
      </c>
      <c r="K24" s="18">
        <v>96</v>
      </c>
      <c r="L24" s="16">
        <v>120</v>
      </c>
      <c r="M24" s="6" t="str" cm="1">
        <f t="array" ref="M24">_xlfn.IFS(L24&lt;100,"Economy",L24&lt;200,"Standard",L24&lt;350,"Powerful",L24&lt;500,"High Performance",L24&lt;800,"Sports Performance",L24&gt;=800,"Super Performance")</f>
        <v>Standard</v>
      </c>
    </row>
    <row r="25" spans="1:13" x14ac:dyDescent="0.25">
      <c r="A25" s="5" t="s">
        <v>40</v>
      </c>
      <c r="B25" s="3" t="s">
        <v>41</v>
      </c>
      <c r="C25" s="3" t="s">
        <v>45</v>
      </c>
      <c r="D25" s="4">
        <v>699400</v>
      </c>
      <c r="E25" s="3">
        <v>1498</v>
      </c>
      <c r="F25" s="3">
        <v>4</v>
      </c>
      <c r="G25" s="3" t="s">
        <v>36</v>
      </c>
      <c r="H25" s="3" t="s">
        <v>27</v>
      </c>
      <c r="I25" s="3">
        <v>5</v>
      </c>
      <c r="J25" s="3" t="s">
        <v>12</v>
      </c>
      <c r="K25" s="18">
        <v>100</v>
      </c>
      <c r="L25" s="16">
        <v>215</v>
      </c>
      <c r="M25" s="6" t="str" cm="1">
        <f t="array" ref="M25">_xlfn.IFS(L25&lt;100,"Economy",L25&lt;200,"Standard",L25&lt;350,"Powerful",L25&lt;500,"High Performance",L25&lt;800,"Sports Performance",L25&gt;=800,"Super Performance")</f>
        <v>Powerful</v>
      </c>
    </row>
    <row r="26" spans="1:13" x14ac:dyDescent="0.25">
      <c r="A26" s="5" t="s">
        <v>40</v>
      </c>
      <c r="B26" s="3" t="s">
        <v>41</v>
      </c>
      <c r="C26" s="3" t="s">
        <v>46</v>
      </c>
      <c r="D26" s="4">
        <v>737400</v>
      </c>
      <c r="E26" s="3">
        <v>1498</v>
      </c>
      <c r="F26" s="3">
        <v>4</v>
      </c>
      <c r="G26" s="3" t="s">
        <v>36</v>
      </c>
      <c r="H26" s="3" t="s">
        <v>27</v>
      </c>
      <c r="I26" s="3">
        <v>5</v>
      </c>
      <c r="J26" s="3" t="s">
        <v>12</v>
      </c>
      <c r="K26" s="18">
        <v>100</v>
      </c>
      <c r="L26" s="16">
        <v>215</v>
      </c>
      <c r="M26" s="6" t="str" cm="1">
        <f t="array" ref="M26">_xlfn.IFS(L26&lt;100,"Economy",L26&lt;200,"Standard",L26&lt;350,"Powerful",L26&lt;500,"High Performance",L26&lt;800,"Sports Performance",L26&gt;=800,"Super Performance")</f>
        <v>Powerful</v>
      </c>
    </row>
    <row r="27" spans="1:13" x14ac:dyDescent="0.25">
      <c r="A27" s="5" t="s">
        <v>40</v>
      </c>
      <c r="B27" s="3" t="s">
        <v>41</v>
      </c>
      <c r="C27" s="3" t="s">
        <v>47</v>
      </c>
      <c r="D27" s="4">
        <v>777400</v>
      </c>
      <c r="E27" s="3">
        <v>1498</v>
      </c>
      <c r="F27" s="3">
        <v>4</v>
      </c>
      <c r="G27" s="3" t="s">
        <v>36</v>
      </c>
      <c r="H27" s="3" t="s">
        <v>27</v>
      </c>
      <c r="I27" s="3">
        <v>5</v>
      </c>
      <c r="J27" s="3" t="s">
        <v>12</v>
      </c>
      <c r="K27" s="18">
        <v>100</v>
      </c>
      <c r="L27" s="16">
        <v>215</v>
      </c>
      <c r="M27" s="6" t="str" cm="1">
        <f t="array" ref="M27">_xlfn.IFS(L27&lt;100,"Economy",L27&lt;200,"Standard",L27&lt;350,"Powerful",L27&lt;500,"High Performance",L27&lt;800,"Sports Performance",L27&gt;=800,"Super Performance")</f>
        <v>Powerful</v>
      </c>
    </row>
    <row r="28" spans="1:13" x14ac:dyDescent="0.25">
      <c r="A28" s="5" t="s">
        <v>40</v>
      </c>
      <c r="B28" s="3" t="s">
        <v>41</v>
      </c>
      <c r="C28" s="3" t="s">
        <v>48</v>
      </c>
      <c r="D28" s="4">
        <v>817400</v>
      </c>
      <c r="E28" s="3">
        <v>1498</v>
      </c>
      <c r="F28" s="3">
        <v>4</v>
      </c>
      <c r="G28" s="3" t="s">
        <v>36</v>
      </c>
      <c r="H28" s="3" t="s">
        <v>27</v>
      </c>
      <c r="I28" s="3">
        <v>5</v>
      </c>
      <c r="J28" s="3" t="s">
        <v>12</v>
      </c>
      <c r="K28" s="18">
        <v>100</v>
      </c>
      <c r="L28" s="16">
        <v>215</v>
      </c>
      <c r="M28" s="6" t="str" cm="1">
        <f t="array" ref="M28">_xlfn.IFS(L28&lt;100,"Economy",L28&lt;200,"Standard",L28&lt;350,"Powerful",L28&lt;500,"High Performance",L28&lt;800,"Sports Performance",L28&gt;=800,"Super Performance")</f>
        <v>Powerful</v>
      </c>
    </row>
    <row r="29" spans="1:13" x14ac:dyDescent="0.25">
      <c r="A29" s="5" t="s">
        <v>40</v>
      </c>
      <c r="B29" s="3" t="s">
        <v>41</v>
      </c>
      <c r="C29" s="3" t="s">
        <v>49</v>
      </c>
      <c r="D29" s="4">
        <v>862400</v>
      </c>
      <c r="E29" s="3">
        <v>1498</v>
      </c>
      <c r="F29" s="3">
        <v>4</v>
      </c>
      <c r="G29" s="3" t="s">
        <v>36</v>
      </c>
      <c r="H29" s="3" t="s">
        <v>27</v>
      </c>
      <c r="I29" s="3">
        <v>5</v>
      </c>
      <c r="J29" s="3" t="s">
        <v>12</v>
      </c>
      <c r="K29" s="18">
        <v>100</v>
      </c>
      <c r="L29" s="16">
        <v>215</v>
      </c>
      <c r="M29" s="6" t="str" cm="1">
        <f t="array" ref="M29">_xlfn.IFS(L29&lt;100,"Economy",L29&lt;200,"Standard",L29&lt;350,"Powerful",L29&lt;500,"High Performance",L29&lt;800,"Sports Performance",L29&gt;=800,"Super Performance")</f>
        <v>Powerful</v>
      </c>
    </row>
    <row r="30" spans="1:13" x14ac:dyDescent="0.25">
      <c r="A30" s="5" t="s">
        <v>40</v>
      </c>
      <c r="B30" s="3" t="s">
        <v>41</v>
      </c>
      <c r="C30" s="3" t="s">
        <v>50</v>
      </c>
      <c r="D30" s="4">
        <v>782400</v>
      </c>
      <c r="E30" s="3">
        <v>1194</v>
      </c>
      <c r="F30" s="3">
        <v>4</v>
      </c>
      <c r="G30" s="3" t="s">
        <v>10</v>
      </c>
      <c r="H30" s="3" t="s">
        <v>27</v>
      </c>
      <c r="I30" s="3">
        <v>5</v>
      </c>
      <c r="J30" s="3" t="s">
        <v>12</v>
      </c>
      <c r="K30" s="18">
        <v>96</v>
      </c>
      <c r="L30" s="16">
        <v>120</v>
      </c>
      <c r="M30" s="6" t="str" cm="1">
        <f t="array" ref="M30">_xlfn.IFS(L30&lt;100,"Economy",L30&lt;200,"Standard",L30&lt;350,"Powerful",L30&lt;500,"High Performance",L30&lt;800,"Sports Performance",L30&gt;=800,"Super Performance")</f>
        <v>Standard</v>
      </c>
    </row>
    <row r="31" spans="1:13" x14ac:dyDescent="0.25">
      <c r="A31" s="5" t="s">
        <v>40</v>
      </c>
      <c r="B31" s="3" t="s">
        <v>41</v>
      </c>
      <c r="C31" s="3" t="s">
        <v>51</v>
      </c>
      <c r="D31" s="4">
        <v>737400</v>
      </c>
      <c r="E31" s="3">
        <v>1194</v>
      </c>
      <c r="F31" s="3">
        <v>4</v>
      </c>
      <c r="G31" s="3" t="s">
        <v>10</v>
      </c>
      <c r="H31" s="3" t="s">
        <v>27</v>
      </c>
      <c r="I31" s="3">
        <v>5</v>
      </c>
      <c r="J31" s="3" t="s">
        <v>12</v>
      </c>
      <c r="K31" s="18">
        <v>96</v>
      </c>
      <c r="L31" s="16">
        <v>120</v>
      </c>
      <c r="M31" s="6" t="str" cm="1">
        <f t="array" ref="M31">_xlfn.IFS(L31&lt;100,"Economy",L31&lt;200,"Standard",L31&lt;350,"Powerful",L31&lt;500,"High Performance",L31&lt;800,"Sports Performance",L31&gt;=800,"Super Performance")</f>
        <v>Standard</v>
      </c>
    </row>
    <row r="32" spans="1:13" x14ac:dyDescent="0.25">
      <c r="A32" s="5" t="s">
        <v>40</v>
      </c>
      <c r="B32" s="3" t="s">
        <v>41</v>
      </c>
      <c r="C32" s="3" t="s">
        <v>52</v>
      </c>
      <c r="D32" s="4">
        <v>758314</v>
      </c>
      <c r="E32" s="3">
        <v>1194</v>
      </c>
      <c r="F32" s="3">
        <v>4</v>
      </c>
      <c r="G32" s="3" t="s">
        <v>15</v>
      </c>
      <c r="H32" s="3" t="s">
        <v>27</v>
      </c>
      <c r="I32" s="3">
        <v>5</v>
      </c>
      <c r="J32" s="3" t="s">
        <v>12</v>
      </c>
      <c r="K32" s="18">
        <v>96</v>
      </c>
      <c r="L32" s="16">
        <v>120</v>
      </c>
      <c r="M32" s="6" t="str" cm="1">
        <f t="array" ref="M32">_xlfn.IFS(L32&lt;100,"Economy",L32&lt;200,"Standard",L32&lt;350,"Powerful",L32&lt;500,"High Performance",L32&lt;800,"Sports Performance",L32&gt;=800,"Super Performance")</f>
        <v>Standard</v>
      </c>
    </row>
    <row r="33" spans="1:13" x14ac:dyDescent="0.25">
      <c r="A33" s="5" t="s">
        <v>40</v>
      </c>
      <c r="B33" s="3" t="s">
        <v>41</v>
      </c>
      <c r="C33" s="3" t="s">
        <v>53</v>
      </c>
      <c r="D33" s="4">
        <v>762400</v>
      </c>
      <c r="E33" s="3">
        <v>1194</v>
      </c>
      <c r="F33" s="3">
        <v>4</v>
      </c>
      <c r="G33" s="3" t="s">
        <v>10</v>
      </c>
      <c r="H33" s="3" t="s">
        <v>27</v>
      </c>
      <c r="I33" s="3">
        <v>5</v>
      </c>
      <c r="J33" s="3" t="s">
        <v>12</v>
      </c>
      <c r="K33" s="18">
        <v>96</v>
      </c>
      <c r="L33" s="16">
        <v>120</v>
      </c>
      <c r="M33" s="6" t="str" cm="1">
        <f t="array" ref="M33">_xlfn.IFS(L33&lt;100,"Economy",L33&lt;200,"Standard",L33&lt;350,"Powerful",L33&lt;500,"High Performance",L33&lt;800,"Sports Performance",L33&gt;=800,"Super Performance")</f>
        <v>Standard</v>
      </c>
    </row>
    <row r="34" spans="1:13" x14ac:dyDescent="0.25">
      <c r="A34" s="5" t="s">
        <v>40</v>
      </c>
      <c r="B34" s="3" t="s">
        <v>41</v>
      </c>
      <c r="C34" s="3" t="s">
        <v>54</v>
      </c>
      <c r="D34" s="4">
        <v>842400</v>
      </c>
      <c r="E34" s="3">
        <v>1498</v>
      </c>
      <c r="F34" s="3">
        <v>4</v>
      </c>
      <c r="G34" s="3" t="s">
        <v>36</v>
      </c>
      <c r="H34" s="3" t="s">
        <v>27</v>
      </c>
      <c r="I34" s="3">
        <v>5</v>
      </c>
      <c r="J34" s="3" t="s">
        <v>12</v>
      </c>
      <c r="K34" s="18">
        <v>100</v>
      </c>
      <c r="L34" s="16">
        <v>215</v>
      </c>
      <c r="M34" s="6" t="str" cm="1">
        <f t="array" ref="M34">_xlfn.IFS(L34&lt;100,"Economy",L34&lt;200,"Standard",L34&lt;350,"Powerful",L34&lt;500,"High Performance",L34&lt;800,"Sports Performance",L34&gt;=800,"Super Performance")</f>
        <v>Powerful</v>
      </c>
    </row>
    <row r="35" spans="1:13" x14ac:dyDescent="0.25">
      <c r="A35" s="5" t="s">
        <v>55</v>
      </c>
      <c r="B35" s="3" t="s">
        <v>56</v>
      </c>
      <c r="C35" s="3" t="s">
        <v>57</v>
      </c>
      <c r="D35" s="4">
        <v>721900</v>
      </c>
      <c r="E35" s="3">
        <v>1197</v>
      </c>
      <c r="F35" s="3">
        <v>4</v>
      </c>
      <c r="G35" s="3" t="s">
        <v>10</v>
      </c>
      <c r="H35" s="3" t="s">
        <v>11</v>
      </c>
      <c r="I35" s="3">
        <v>5</v>
      </c>
      <c r="J35" s="3" t="s">
        <v>12</v>
      </c>
      <c r="K35" s="18">
        <v>89</v>
      </c>
      <c r="L35" s="16">
        <v>113</v>
      </c>
      <c r="M35" s="6" t="str" cm="1">
        <f t="array" ref="M35">_xlfn.IFS(L35&lt;100,"Economy",L35&lt;200,"Standard",L35&lt;350,"Powerful",L35&lt;500,"High Performance",L35&lt;800,"Sports Performance",L35&gt;=800,"Super Performance")</f>
        <v>Standard</v>
      </c>
    </row>
    <row r="36" spans="1:13" x14ac:dyDescent="0.25">
      <c r="A36" s="5" t="s">
        <v>55</v>
      </c>
      <c r="B36" s="3" t="s">
        <v>56</v>
      </c>
      <c r="C36" s="3" t="s">
        <v>58</v>
      </c>
      <c r="D36" s="4">
        <v>758200</v>
      </c>
      <c r="E36" s="3">
        <v>1197</v>
      </c>
      <c r="F36" s="3">
        <v>4</v>
      </c>
      <c r="G36" s="3" t="s">
        <v>10</v>
      </c>
      <c r="H36" s="3" t="s">
        <v>11</v>
      </c>
      <c r="I36" s="3">
        <v>5</v>
      </c>
      <c r="J36" s="3" t="s">
        <v>12</v>
      </c>
      <c r="K36" s="18">
        <v>82</v>
      </c>
      <c r="L36" s="16">
        <v>113</v>
      </c>
      <c r="M36" s="6" t="str" cm="1">
        <f t="array" ref="M36">_xlfn.IFS(L36&lt;100,"Economy",L36&lt;200,"Standard",L36&lt;350,"Powerful",L36&lt;500,"High Performance",L36&lt;800,"Sports Performance",L36&gt;=800,"Super Performance")</f>
        <v>Standard</v>
      </c>
    </row>
    <row r="37" spans="1:13" x14ac:dyDescent="0.25">
      <c r="A37" s="5" t="s">
        <v>55</v>
      </c>
      <c r="B37" s="3" t="s">
        <v>56</v>
      </c>
      <c r="C37" s="3" t="s">
        <v>59</v>
      </c>
      <c r="D37" s="4">
        <v>829900</v>
      </c>
      <c r="E37" s="3">
        <v>1197</v>
      </c>
      <c r="F37" s="3">
        <v>4</v>
      </c>
      <c r="G37" s="3" t="s">
        <v>10</v>
      </c>
      <c r="H37" s="3" t="s">
        <v>11</v>
      </c>
      <c r="I37" s="3">
        <v>5</v>
      </c>
      <c r="J37" s="3" t="s">
        <v>60</v>
      </c>
      <c r="K37" s="18">
        <v>82</v>
      </c>
      <c r="L37" s="16">
        <v>113</v>
      </c>
      <c r="M37" s="6" t="str" cm="1">
        <f t="array" ref="M37">_xlfn.IFS(L37&lt;100,"Economy",L37&lt;200,"Standard",L37&lt;350,"Powerful",L37&lt;500,"High Performance",L37&lt;800,"Sports Performance",L37&gt;=800,"Super Performance")</f>
        <v>Standard</v>
      </c>
    </row>
    <row r="38" spans="1:13" x14ac:dyDescent="0.25">
      <c r="A38" s="5" t="s">
        <v>55</v>
      </c>
      <c r="B38" s="3" t="s">
        <v>56</v>
      </c>
      <c r="C38" s="3" t="s">
        <v>61</v>
      </c>
      <c r="D38" s="4">
        <v>890200</v>
      </c>
      <c r="E38" s="3">
        <v>1197</v>
      </c>
      <c r="F38" s="3">
        <v>4</v>
      </c>
      <c r="G38" s="3" t="s">
        <v>10</v>
      </c>
      <c r="H38" s="3" t="s">
        <v>11</v>
      </c>
      <c r="I38" s="3">
        <v>5</v>
      </c>
      <c r="J38" s="3" t="s">
        <v>60</v>
      </c>
      <c r="K38" s="18">
        <v>82</v>
      </c>
      <c r="L38" s="16">
        <v>113</v>
      </c>
      <c r="M38" s="6" t="str" cm="1">
        <f t="array" ref="M38">_xlfn.IFS(L38&lt;100,"Economy",L38&lt;200,"Standard",L38&lt;350,"Powerful",L38&lt;500,"High Performance",L38&lt;800,"Sports Performance",L38&gt;=800,"Super Performance")</f>
        <v>Standard</v>
      </c>
    </row>
    <row r="39" spans="1:13" x14ac:dyDescent="0.25">
      <c r="A39" s="5" t="s">
        <v>55</v>
      </c>
      <c r="B39" s="3" t="s">
        <v>56</v>
      </c>
      <c r="C39" s="3" t="s">
        <v>62</v>
      </c>
      <c r="D39" s="4">
        <v>697900</v>
      </c>
      <c r="E39" s="3">
        <v>1197</v>
      </c>
      <c r="F39" s="3">
        <v>4</v>
      </c>
      <c r="G39" s="3" t="s">
        <v>10</v>
      </c>
      <c r="H39" s="3" t="s">
        <v>11</v>
      </c>
      <c r="I39" s="3">
        <v>5</v>
      </c>
      <c r="J39" s="3" t="s">
        <v>12</v>
      </c>
      <c r="K39" s="18">
        <v>82</v>
      </c>
      <c r="L39" s="16">
        <v>113</v>
      </c>
      <c r="M39" s="6" t="str" cm="1">
        <f t="array" ref="M39">_xlfn.IFS(L39&lt;100,"Economy",L39&lt;200,"Standard",L39&lt;350,"Powerful",L39&lt;500,"High Performance",L39&lt;800,"Sports Performance",L39&gt;=800,"Super Performance")</f>
        <v>Standard</v>
      </c>
    </row>
    <row r="40" spans="1:13" x14ac:dyDescent="0.25">
      <c r="A40" s="5" t="s">
        <v>63</v>
      </c>
      <c r="B40" s="3" t="s">
        <v>64</v>
      </c>
      <c r="C40" s="3" t="s">
        <v>65</v>
      </c>
      <c r="D40" s="4">
        <v>2680000</v>
      </c>
      <c r="E40" s="3">
        <v>1956</v>
      </c>
      <c r="F40" s="3">
        <v>4</v>
      </c>
      <c r="G40" s="3" t="s">
        <v>36</v>
      </c>
      <c r="H40" s="3" t="s">
        <v>66</v>
      </c>
      <c r="I40" s="3">
        <v>5</v>
      </c>
      <c r="J40" s="3" t="s">
        <v>30</v>
      </c>
      <c r="K40" s="18">
        <v>173</v>
      </c>
      <c r="L40" s="16">
        <v>350</v>
      </c>
      <c r="M40" s="6" t="str" cm="1">
        <f t="array" ref="M40">_xlfn.IFS(L40&lt;100,"Economy",L40&lt;200,"Standard",L40&lt;350,"Powerful",L40&lt;500,"High Performance",L40&lt;800,"Sports Performance",L40&gt;=800,"Super Performance")</f>
        <v>High Performance</v>
      </c>
    </row>
    <row r="41" spans="1:13" x14ac:dyDescent="0.25">
      <c r="A41" s="5" t="s">
        <v>63</v>
      </c>
      <c r="B41" s="3" t="s">
        <v>64</v>
      </c>
      <c r="C41" s="3" t="s">
        <v>67</v>
      </c>
      <c r="D41" s="4">
        <v>2760000</v>
      </c>
      <c r="E41" s="3">
        <v>1956</v>
      </c>
      <c r="F41" s="3">
        <v>4</v>
      </c>
      <c r="G41" s="3" t="s">
        <v>36</v>
      </c>
      <c r="H41" s="3" t="s">
        <v>66</v>
      </c>
      <c r="I41" s="3">
        <v>5</v>
      </c>
      <c r="J41" s="3" t="s">
        <v>30</v>
      </c>
      <c r="K41" s="18">
        <v>173</v>
      </c>
      <c r="L41" s="16">
        <v>350</v>
      </c>
      <c r="M41" s="6" t="str" cm="1">
        <f t="array" ref="M41">_xlfn.IFS(L41&lt;100,"Economy",L41&lt;200,"Standard",L41&lt;350,"Powerful",L41&lt;500,"High Performance",L41&lt;800,"Sports Performance",L41&gt;=800,"Super Performance")</f>
        <v>High Performance</v>
      </c>
    </row>
    <row r="42" spans="1:13" x14ac:dyDescent="0.25">
      <c r="A42" s="5" t="s">
        <v>68</v>
      </c>
      <c r="B42" s="3" t="s">
        <v>69</v>
      </c>
      <c r="C42" s="3" t="s">
        <v>70</v>
      </c>
      <c r="D42" s="4">
        <v>4149000</v>
      </c>
      <c r="E42" s="3">
        <v>1395</v>
      </c>
      <c r="F42" s="3">
        <v>4</v>
      </c>
      <c r="G42" s="3" t="s">
        <v>10</v>
      </c>
      <c r="H42" s="3" t="s">
        <v>27</v>
      </c>
      <c r="I42" s="3">
        <v>5</v>
      </c>
      <c r="J42" s="3" t="s">
        <v>71</v>
      </c>
      <c r="K42" s="18">
        <v>150</v>
      </c>
      <c r="L42" s="16">
        <v>250</v>
      </c>
      <c r="M42" s="6" t="str" cm="1">
        <f t="array" ref="M42">_xlfn.IFS(L42&lt;100,"Economy",L42&lt;200,"Standard",L42&lt;350,"Powerful",L42&lt;500,"High Performance",L42&lt;800,"Sports Performance",L42&gt;=800,"Super Performance")</f>
        <v>Powerful</v>
      </c>
    </row>
    <row r="43" spans="1:13" x14ac:dyDescent="0.25">
      <c r="A43" s="5" t="s">
        <v>68</v>
      </c>
      <c r="B43" s="3" t="s">
        <v>69</v>
      </c>
      <c r="C43" s="3" t="s">
        <v>72</v>
      </c>
      <c r="D43" s="4">
        <v>4507000</v>
      </c>
      <c r="E43" s="3">
        <v>1395</v>
      </c>
      <c r="F43" s="3">
        <v>4</v>
      </c>
      <c r="G43" s="3" t="s">
        <v>10</v>
      </c>
      <c r="H43" s="3" t="s">
        <v>27</v>
      </c>
      <c r="I43" s="3">
        <v>5</v>
      </c>
      <c r="J43" s="3" t="s">
        <v>71</v>
      </c>
      <c r="K43" s="18">
        <v>150</v>
      </c>
      <c r="L43" s="16">
        <v>250</v>
      </c>
      <c r="M43" s="6" t="str" cm="1">
        <f t="array" ref="M43">_xlfn.IFS(L43&lt;100,"Economy",L43&lt;200,"Standard",L43&lt;350,"Powerful",L43&lt;500,"High Performance",L43&lt;800,"Sports Performance",L43&gt;=800,"Super Performance")</f>
        <v>Powerful</v>
      </c>
    </row>
    <row r="44" spans="1:13" x14ac:dyDescent="0.25">
      <c r="A44" s="5" t="s">
        <v>68</v>
      </c>
      <c r="B44" s="3" t="s">
        <v>73</v>
      </c>
      <c r="C44" s="3" t="s">
        <v>74</v>
      </c>
      <c r="D44" s="4">
        <v>5442200</v>
      </c>
      <c r="E44" s="3">
        <v>1984</v>
      </c>
      <c r="F44" s="3">
        <v>4</v>
      </c>
      <c r="G44" s="3" t="s">
        <v>10</v>
      </c>
      <c r="H44" s="3" t="s">
        <v>27</v>
      </c>
      <c r="I44" s="3">
        <v>5</v>
      </c>
      <c r="J44" s="3" t="s">
        <v>30</v>
      </c>
      <c r="K44" s="18">
        <v>245</v>
      </c>
      <c r="L44" s="16">
        <v>370</v>
      </c>
      <c r="M44" s="6" t="str" cm="1">
        <f t="array" ref="M44">_xlfn.IFS(L44&lt;100,"Economy",L44&lt;200,"Standard",L44&lt;350,"Powerful",L44&lt;500,"High Performance",L44&lt;800,"Sports Performance",L44&gt;=800,"Super Performance")</f>
        <v>High Performance</v>
      </c>
    </row>
    <row r="45" spans="1:13" x14ac:dyDescent="0.25">
      <c r="A45" s="5" t="s">
        <v>68</v>
      </c>
      <c r="B45" s="3" t="s">
        <v>73</v>
      </c>
      <c r="C45" s="3" t="s">
        <v>75</v>
      </c>
      <c r="D45" s="4">
        <v>5942200</v>
      </c>
      <c r="E45" s="3">
        <v>1984</v>
      </c>
      <c r="F45" s="3">
        <v>4</v>
      </c>
      <c r="G45" s="3" t="s">
        <v>10</v>
      </c>
      <c r="H45" s="3" t="s">
        <v>27</v>
      </c>
      <c r="I45" s="3">
        <v>5</v>
      </c>
      <c r="J45" s="3" t="s">
        <v>30</v>
      </c>
      <c r="K45" s="18">
        <v>245</v>
      </c>
      <c r="L45" s="16">
        <v>370</v>
      </c>
      <c r="M45" s="6" t="str" cm="1">
        <f t="array" ref="M45">_xlfn.IFS(L45&lt;100,"Economy",L45&lt;200,"Standard",L45&lt;350,"Powerful",L45&lt;500,"High Performance",L45&lt;800,"Sports Performance",L45&gt;=800,"Super Performance")</f>
        <v>High Performance</v>
      </c>
    </row>
    <row r="46" spans="1:13" x14ac:dyDescent="0.25">
      <c r="A46" s="5" t="s">
        <v>68</v>
      </c>
      <c r="B46" s="3" t="s">
        <v>76</v>
      </c>
      <c r="C46" s="3" t="s">
        <v>77</v>
      </c>
      <c r="D46" s="4">
        <v>7243000</v>
      </c>
      <c r="E46" s="3">
        <v>2995</v>
      </c>
      <c r="F46" s="3">
        <v>6</v>
      </c>
      <c r="G46" s="3" t="s">
        <v>10</v>
      </c>
      <c r="H46" s="3" t="s">
        <v>27</v>
      </c>
      <c r="I46" s="3">
        <v>5</v>
      </c>
      <c r="J46" s="3" t="s">
        <v>30</v>
      </c>
      <c r="K46" s="18">
        <v>333</v>
      </c>
      <c r="L46" s="16">
        <v>500</v>
      </c>
      <c r="M46" s="6" t="str" cm="1">
        <f t="array" ref="M46">_xlfn.IFS(L46&lt;100,"Economy",L46&lt;200,"Standard",L46&lt;350,"Powerful",L46&lt;500,"High Performance",L46&lt;800,"Sports Performance",L46&gt;=800,"Super Performance")</f>
        <v>Sports Performance</v>
      </c>
    </row>
    <row r="47" spans="1:13" x14ac:dyDescent="0.25">
      <c r="A47" s="5" t="s">
        <v>1394</v>
      </c>
      <c r="B47" s="3" t="s">
        <v>79</v>
      </c>
      <c r="C47" s="3" t="s">
        <v>80</v>
      </c>
      <c r="D47" s="4">
        <v>7330000</v>
      </c>
      <c r="E47" s="3">
        <v>2993</v>
      </c>
      <c r="F47" s="3">
        <v>6</v>
      </c>
      <c r="G47" s="3" t="s">
        <v>36</v>
      </c>
      <c r="H47" s="3" t="s">
        <v>66</v>
      </c>
      <c r="I47" s="3">
        <v>5</v>
      </c>
      <c r="J47" s="3" t="s">
        <v>30</v>
      </c>
      <c r="K47" s="18">
        <v>265</v>
      </c>
      <c r="L47" s="16">
        <v>620</v>
      </c>
      <c r="M47" s="6" t="str" cm="1">
        <f t="array" ref="M47">_xlfn.IFS(L47&lt;100,"Economy",L47&lt;200,"Standard",L47&lt;350,"Powerful",L47&lt;500,"High Performance",L47&lt;800,"Sports Performance",L47&gt;=800,"Super Performance")</f>
        <v>Sports Performance</v>
      </c>
    </row>
    <row r="48" spans="1:13" x14ac:dyDescent="0.25">
      <c r="A48" s="5" t="s">
        <v>1394</v>
      </c>
      <c r="B48" s="3" t="s">
        <v>79</v>
      </c>
      <c r="C48" s="3" t="s">
        <v>81</v>
      </c>
      <c r="D48" s="4">
        <v>8290000</v>
      </c>
      <c r="E48" s="3">
        <v>2993</v>
      </c>
      <c r="F48" s="3">
        <v>6</v>
      </c>
      <c r="G48" s="3" t="s">
        <v>36</v>
      </c>
      <c r="H48" s="3" t="s">
        <v>66</v>
      </c>
      <c r="I48" s="3">
        <v>5</v>
      </c>
      <c r="J48" s="3" t="s">
        <v>30</v>
      </c>
      <c r="K48" s="18">
        <v>265</v>
      </c>
      <c r="L48" s="16">
        <v>620</v>
      </c>
      <c r="M48" s="6" t="str" cm="1">
        <f t="array" ref="M48">_xlfn.IFS(L48&lt;100,"Economy",L48&lt;200,"Standard",L48&lt;350,"Powerful",L48&lt;500,"High Performance",L48&lt;800,"Sports Performance",L48&gt;=800,"Super Performance")</f>
        <v>Sports Performance</v>
      </c>
    </row>
    <row r="49" spans="1:13" x14ac:dyDescent="0.25">
      <c r="A49" s="5" t="s">
        <v>1394</v>
      </c>
      <c r="B49" s="3" t="s">
        <v>79</v>
      </c>
      <c r="C49" s="3" t="s">
        <v>82</v>
      </c>
      <c r="D49" s="4">
        <v>8290000</v>
      </c>
      <c r="E49" s="3">
        <v>2998</v>
      </c>
      <c r="F49" s="3">
        <v>6</v>
      </c>
      <c r="G49" s="3" t="s">
        <v>10</v>
      </c>
      <c r="H49" s="3" t="s">
        <v>66</v>
      </c>
      <c r="I49" s="3">
        <v>5</v>
      </c>
      <c r="J49" s="3" t="s">
        <v>30</v>
      </c>
      <c r="K49" s="18">
        <v>340</v>
      </c>
      <c r="L49" s="16">
        <v>450</v>
      </c>
      <c r="M49" s="6" t="str" cm="1">
        <f t="array" ref="M49">_xlfn.IFS(L49&lt;100,"Economy",L49&lt;200,"Standard",L49&lt;350,"Powerful",L49&lt;500,"High Performance",L49&lt;800,"Sports Performance",L49&gt;=800,"Super Performance")</f>
        <v>High Performance</v>
      </c>
    </row>
    <row r="50" spans="1:13" x14ac:dyDescent="0.25">
      <c r="A50" s="5" t="s">
        <v>63</v>
      </c>
      <c r="B50" s="3" t="s">
        <v>83</v>
      </c>
      <c r="C50" s="3" t="s">
        <v>84</v>
      </c>
      <c r="D50" s="4">
        <v>7515000</v>
      </c>
      <c r="E50" s="3">
        <v>3604</v>
      </c>
      <c r="F50" s="3">
        <v>6</v>
      </c>
      <c r="G50" s="3" t="s">
        <v>10</v>
      </c>
      <c r="H50" s="3" t="s">
        <v>66</v>
      </c>
      <c r="I50" s="3">
        <v>5</v>
      </c>
      <c r="J50" s="3" t="s">
        <v>30</v>
      </c>
      <c r="K50" s="18">
        <v>286</v>
      </c>
      <c r="L50" s="16">
        <v>347</v>
      </c>
      <c r="M50" s="6" t="str" cm="1">
        <f t="array" ref="M50">_xlfn.IFS(L50&lt;100,"Economy",L50&lt;200,"Standard",L50&lt;350,"Powerful",L50&lt;500,"High Performance",L50&lt;800,"Sports Performance",L50&gt;=800,"Super Performance")</f>
        <v>Powerful</v>
      </c>
    </row>
    <row r="51" spans="1:13" x14ac:dyDescent="0.25">
      <c r="A51" s="5" t="s">
        <v>85</v>
      </c>
      <c r="B51" s="3" t="s">
        <v>86</v>
      </c>
      <c r="C51" s="3" t="s">
        <v>87</v>
      </c>
      <c r="D51" s="4">
        <v>30000000</v>
      </c>
      <c r="E51" s="3">
        <v>3996</v>
      </c>
      <c r="F51" s="3">
        <v>8</v>
      </c>
      <c r="G51" s="3" t="s">
        <v>10</v>
      </c>
      <c r="H51" s="3" t="s">
        <v>66</v>
      </c>
      <c r="I51" s="3">
        <v>5</v>
      </c>
      <c r="J51" s="3" t="s">
        <v>30</v>
      </c>
      <c r="K51" s="18">
        <v>650</v>
      </c>
      <c r="L51" s="16">
        <v>850</v>
      </c>
      <c r="M51" s="6" t="str" cm="1">
        <f t="array" ref="M51">_xlfn.IFS(L51&lt;100,"Economy",L51&lt;200,"Standard",L51&lt;350,"Powerful",L51&lt;500,"High Performance",L51&lt;800,"Sports Performance",L51&gt;=800,"Super Performance")</f>
        <v>Super Performance</v>
      </c>
    </row>
    <row r="52" spans="1:13" x14ac:dyDescent="0.25">
      <c r="A52" s="5" t="s">
        <v>88</v>
      </c>
      <c r="B52" s="3" t="s">
        <v>89</v>
      </c>
      <c r="C52" s="3" t="s">
        <v>87</v>
      </c>
      <c r="D52" s="4">
        <v>37542069</v>
      </c>
      <c r="E52" s="3">
        <v>3996</v>
      </c>
      <c r="F52" s="3">
        <v>12</v>
      </c>
      <c r="G52" s="3" t="s">
        <v>10</v>
      </c>
      <c r="H52" s="3" t="s">
        <v>66</v>
      </c>
      <c r="I52" s="3">
        <v>5</v>
      </c>
      <c r="J52" s="3" t="s">
        <v>30</v>
      </c>
      <c r="K52" s="18">
        <v>550</v>
      </c>
      <c r="L52" s="16">
        <v>770</v>
      </c>
      <c r="M52" s="6" t="str" cm="1">
        <f t="array" ref="M52">_xlfn.IFS(L52&lt;100,"Economy",L52&lt;200,"Standard",L52&lt;350,"Powerful",L52&lt;500,"High Performance",L52&lt;800,"Sports Performance",L52&gt;=800,"Super Performance")</f>
        <v>Sports Performance</v>
      </c>
    </row>
    <row r="53" spans="1:13" x14ac:dyDescent="0.25">
      <c r="A53" s="5" t="s">
        <v>90</v>
      </c>
      <c r="B53" s="3" t="s">
        <v>91</v>
      </c>
      <c r="C53" s="3" t="s">
        <v>92</v>
      </c>
      <c r="D53" s="4">
        <v>69500000</v>
      </c>
      <c r="E53" s="3">
        <v>6750</v>
      </c>
      <c r="F53" s="3">
        <v>12</v>
      </c>
      <c r="G53" s="3" t="s">
        <v>10</v>
      </c>
      <c r="H53" s="3" t="s">
        <v>66</v>
      </c>
      <c r="I53" s="3">
        <v>5</v>
      </c>
      <c r="J53" s="3" t="s">
        <v>30</v>
      </c>
      <c r="K53" s="18">
        <v>563</v>
      </c>
      <c r="L53" s="16">
        <v>850</v>
      </c>
      <c r="M53" s="6" t="str" cm="1">
        <f t="array" ref="M53">_xlfn.IFS(L53&lt;100,"Economy",L53&lt;200,"Standard",L53&lt;350,"Powerful",L53&lt;500,"High Performance",L53&lt;800,"Sports Performance",L53&gt;=800,"Super Performance")</f>
        <v>Super Performance</v>
      </c>
    </row>
    <row r="54" spans="1:13" x14ac:dyDescent="0.25">
      <c r="A54" s="5" t="s">
        <v>93</v>
      </c>
      <c r="B54" s="3" t="s">
        <v>94</v>
      </c>
      <c r="C54" s="3" t="s">
        <v>95</v>
      </c>
      <c r="D54" s="4">
        <v>370500</v>
      </c>
      <c r="E54" s="3">
        <v>998</v>
      </c>
      <c r="F54" s="3">
        <v>3</v>
      </c>
      <c r="G54" s="3" t="s">
        <v>10</v>
      </c>
      <c r="H54" s="3" t="s">
        <v>11</v>
      </c>
      <c r="I54" s="3">
        <v>5</v>
      </c>
      <c r="J54" s="3" t="s">
        <v>12</v>
      </c>
      <c r="K54" s="18">
        <v>67</v>
      </c>
      <c r="L54" s="16">
        <v>90</v>
      </c>
      <c r="M54" s="6" t="str" cm="1">
        <f t="array" ref="M54">_xlfn.IFS(L54&lt;100,"Economy",L54&lt;200,"Standard",L54&lt;350,"Powerful",L54&lt;500,"High Performance",L54&lt;800,"Sports Performance",L54&gt;=800,"Super Performance")</f>
        <v>Economy</v>
      </c>
    </row>
    <row r="55" spans="1:13" x14ac:dyDescent="0.25">
      <c r="A55" s="5" t="s">
        <v>93</v>
      </c>
      <c r="B55" s="3" t="s">
        <v>94</v>
      </c>
      <c r="C55" s="3" t="s">
        <v>96</v>
      </c>
      <c r="D55" s="4">
        <v>376500</v>
      </c>
      <c r="E55" s="3">
        <v>998</v>
      </c>
      <c r="F55" s="3">
        <v>3</v>
      </c>
      <c r="G55" s="3" t="s">
        <v>10</v>
      </c>
      <c r="H55" s="3" t="s">
        <v>11</v>
      </c>
      <c r="I55" s="3">
        <v>5</v>
      </c>
      <c r="J55" s="3" t="s">
        <v>12</v>
      </c>
      <c r="K55" s="18">
        <v>67</v>
      </c>
      <c r="L55" s="16">
        <v>90</v>
      </c>
      <c r="M55" s="6" t="str" cm="1">
        <f t="array" ref="M55">_xlfn.IFS(L55&lt;100,"Economy",L55&lt;200,"Standard",L55&lt;350,"Powerful",L55&lt;500,"High Performance",L55&lt;800,"Sports Performance",L55&gt;=800,"Super Performance")</f>
        <v>Economy</v>
      </c>
    </row>
    <row r="56" spans="1:13" x14ac:dyDescent="0.25">
      <c r="A56" s="5" t="s">
        <v>93</v>
      </c>
      <c r="B56" s="3" t="s">
        <v>94</v>
      </c>
      <c r="C56" s="3" t="s">
        <v>97</v>
      </c>
      <c r="D56" s="4">
        <v>409000</v>
      </c>
      <c r="E56" s="3">
        <v>998</v>
      </c>
      <c r="F56" s="3">
        <v>3</v>
      </c>
      <c r="G56" s="3" t="s">
        <v>10</v>
      </c>
      <c r="H56" s="3" t="s">
        <v>11</v>
      </c>
      <c r="I56" s="3">
        <v>5</v>
      </c>
      <c r="J56" s="3" t="s">
        <v>12</v>
      </c>
      <c r="K56" s="18">
        <v>67</v>
      </c>
      <c r="L56" s="16">
        <v>90</v>
      </c>
      <c r="M56" s="6" t="str" cm="1">
        <f t="array" ref="M56">_xlfn.IFS(L56&lt;100,"Economy",L56&lt;200,"Standard",L56&lt;350,"Powerful",L56&lt;500,"High Performance",L56&lt;800,"Sports Performance",L56&gt;=800,"Super Performance")</f>
        <v>Economy</v>
      </c>
    </row>
    <row r="57" spans="1:13" x14ac:dyDescent="0.25">
      <c r="A57" s="5" t="s">
        <v>93</v>
      </c>
      <c r="B57" s="3" t="s">
        <v>94</v>
      </c>
      <c r="C57" s="3" t="s">
        <v>98</v>
      </c>
      <c r="D57" s="4">
        <v>415000</v>
      </c>
      <c r="E57" s="3">
        <v>998</v>
      </c>
      <c r="F57" s="3">
        <v>3</v>
      </c>
      <c r="G57" s="3" t="s">
        <v>10</v>
      </c>
      <c r="H57" s="3" t="s">
        <v>11</v>
      </c>
      <c r="I57" s="3">
        <v>5</v>
      </c>
      <c r="J57" s="3" t="s">
        <v>12</v>
      </c>
      <c r="K57" s="18">
        <v>67</v>
      </c>
      <c r="L57" s="16">
        <v>90</v>
      </c>
      <c r="M57" s="6" t="str" cm="1">
        <f t="array" ref="M57">_xlfn.IFS(L57&lt;100,"Economy",L57&lt;200,"Standard",L57&lt;350,"Powerful",L57&lt;500,"High Performance",L57&lt;800,"Sports Performance",L57&gt;=800,"Super Performance")</f>
        <v>Economy</v>
      </c>
    </row>
    <row r="58" spans="1:13" x14ac:dyDescent="0.25">
      <c r="A58" s="5" t="s">
        <v>93</v>
      </c>
      <c r="B58" s="3" t="s">
        <v>94</v>
      </c>
      <c r="C58" s="3" t="s">
        <v>99</v>
      </c>
      <c r="D58" s="4">
        <v>432500</v>
      </c>
      <c r="E58" s="3">
        <v>998</v>
      </c>
      <c r="F58" s="3">
        <v>3</v>
      </c>
      <c r="G58" s="3" t="s">
        <v>10</v>
      </c>
      <c r="H58" s="3" t="s">
        <v>11</v>
      </c>
      <c r="I58" s="3">
        <v>5</v>
      </c>
      <c r="J58" s="3" t="s">
        <v>12</v>
      </c>
      <c r="K58" s="18">
        <v>67</v>
      </c>
      <c r="L58" s="16">
        <v>90</v>
      </c>
      <c r="M58" s="6" t="str" cm="1">
        <f t="array" ref="M58">_xlfn.IFS(L58&lt;100,"Economy",L58&lt;200,"Standard",L58&lt;350,"Powerful",L58&lt;500,"High Performance",L58&lt;800,"Sports Performance",L58&gt;=800,"Super Performance")</f>
        <v>Economy</v>
      </c>
    </row>
    <row r="59" spans="1:13" x14ac:dyDescent="0.25">
      <c r="A59" s="5" t="s">
        <v>93</v>
      </c>
      <c r="B59" s="3" t="s">
        <v>94</v>
      </c>
      <c r="C59" s="3" t="s">
        <v>100</v>
      </c>
      <c r="D59" s="4">
        <v>438500</v>
      </c>
      <c r="E59" s="3">
        <v>998</v>
      </c>
      <c r="F59" s="3">
        <v>3</v>
      </c>
      <c r="G59" s="3" t="s">
        <v>10</v>
      </c>
      <c r="H59" s="3" t="s">
        <v>11</v>
      </c>
      <c r="I59" s="3">
        <v>5</v>
      </c>
      <c r="J59" s="3" t="s">
        <v>12</v>
      </c>
      <c r="K59" s="18">
        <v>67</v>
      </c>
      <c r="L59" s="16">
        <v>90</v>
      </c>
      <c r="M59" s="6" t="str" cm="1">
        <f t="array" ref="M59">_xlfn.IFS(L59&lt;100,"Economy",L59&lt;200,"Standard",L59&lt;350,"Powerful",L59&lt;500,"High Performance",L59&lt;800,"Sports Performance",L59&gt;=800,"Super Performance")</f>
        <v>Economy</v>
      </c>
    </row>
    <row r="60" spans="1:13" x14ac:dyDescent="0.25">
      <c r="A60" s="5" t="s">
        <v>93</v>
      </c>
      <c r="B60" s="3" t="s">
        <v>94</v>
      </c>
      <c r="C60" s="3" t="s">
        <v>101</v>
      </c>
      <c r="D60" s="4">
        <v>475500</v>
      </c>
      <c r="E60" s="3">
        <v>998</v>
      </c>
      <c r="F60" s="3">
        <v>3</v>
      </c>
      <c r="G60" s="3" t="s">
        <v>10</v>
      </c>
      <c r="H60" s="3" t="s">
        <v>11</v>
      </c>
      <c r="I60" s="3">
        <v>5</v>
      </c>
      <c r="J60" s="3" t="s">
        <v>17</v>
      </c>
      <c r="K60" s="18">
        <v>67</v>
      </c>
      <c r="L60" s="16">
        <v>90</v>
      </c>
      <c r="M60" s="6" t="str" cm="1">
        <f t="array" ref="M60">_xlfn.IFS(L60&lt;100,"Economy",L60&lt;200,"Standard",L60&lt;350,"Powerful",L60&lt;500,"High Performance",L60&lt;800,"Sports Performance",L60&gt;=800,"Super Performance")</f>
        <v>Economy</v>
      </c>
    </row>
    <row r="61" spans="1:13" x14ac:dyDescent="0.25">
      <c r="A61" s="5" t="s">
        <v>93</v>
      </c>
      <c r="B61" s="3" t="s">
        <v>94</v>
      </c>
      <c r="C61" s="3" t="s">
        <v>102</v>
      </c>
      <c r="D61" s="4">
        <v>456000</v>
      </c>
      <c r="E61" s="3">
        <v>998</v>
      </c>
      <c r="F61" s="3">
        <v>3</v>
      </c>
      <c r="G61" s="3" t="s">
        <v>10</v>
      </c>
      <c r="H61" s="3" t="s">
        <v>11</v>
      </c>
      <c r="I61" s="3">
        <v>5</v>
      </c>
      <c r="J61" s="3" t="s">
        <v>12</v>
      </c>
      <c r="K61" s="18">
        <v>67</v>
      </c>
      <c r="L61" s="16">
        <v>90</v>
      </c>
      <c r="M61" s="6" t="str" cm="1">
        <f t="array" ref="M61">_xlfn.IFS(L61&lt;100,"Economy",L61&lt;200,"Standard",L61&lt;350,"Powerful",L61&lt;500,"High Performance",L61&lt;800,"Sports Performance",L61&gt;=800,"Super Performance")</f>
        <v>Economy</v>
      </c>
    </row>
    <row r="62" spans="1:13" x14ac:dyDescent="0.25">
      <c r="A62" s="5" t="s">
        <v>93</v>
      </c>
      <c r="B62" s="3" t="s">
        <v>94</v>
      </c>
      <c r="C62" s="3" t="s">
        <v>103</v>
      </c>
      <c r="D62" s="4">
        <v>481500</v>
      </c>
      <c r="E62" s="3">
        <v>998</v>
      </c>
      <c r="F62" s="3">
        <v>3</v>
      </c>
      <c r="G62" s="3" t="s">
        <v>10</v>
      </c>
      <c r="H62" s="3" t="s">
        <v>11</v>
      </c>
      <c r="I62" s="3">
        <v>5</v>
      </c>
      <c r="J62" s="3" t="s">
        <v>17</v>
      </c>
      <c r="K62" s="18">
        <v>67</v>
      </c>
      <c r="L62" s="16">
        <v>90</v>
      </c>
      <c r="M62" s="6" t="str" cm="1">
        <f t="array" ref="M62">_xlfn.IFS(L62&lt;100,"Economy",L62&lt;200,"Standard",L62&lt;350,"Powerful",L62&lt;500,"High Performance",L62&lt;800,"Sports Performance",L62&gt;=800,"Super Performance")</f>
        <v>Economy</v>
      </c>
    </row>
    <row r="63" spans="1:13" x14ac:dyDescent="0.25">
      <c r="A63" s="5" t="s">
        <v>93</v>
      </c>
      <c r="B63" s="3" t="s">
        <v>94</v>
      </c>
      <c r="C63" s="3" t="s">
        <v>104</v>
      </c>
      <c r="D63" s="4">
        <v>499000</v>
      </c>
      <c r="E63" s="3">
        <v>998</v>
      </c>
      <c r="F63" s="3">
        <v>3</v>
      </c>
      <c r="G63" s="3" t="s">
        <v>10</v>
      </c>
      <c r="H63" s="3" t="s">
        <v>11</v>
      </c>
      <c r="I63" s="3">
        <v>5</v>
      </c>
      <c r="J63" s="3" t="s">
        <v>17</v>
      </c>
      <c r="K63" s="18">
        <v>67</v>
      </c>
      <c r="L63" s="16">
        <v>90</v>
      </c>
      <c r="M63" s="6" t="str" cm="1">
        <f t="array" ref="M63">_xlfn.IFS(L63&lt;100,"Economy",L63&lt;200,"Standard",L63&lt;350,"Powerful",L63&lt;500,"High Performance",L63&lt;800,"Sports Performance",L63&gt;=800,"Super Performance")</f>
        <v>Economy</v>
      </c>
    </row>
    <row r="64" spans="1:13" x14ac:dyDescent="0.25">
      <c r="A64" s="5" t="s">
        <v>105</v>
      </c>
      <c r="B64" s="3" t="s">
        <v>106</v>
      </c>
      <c r="C64" s="3" t="s">
        <v>107</v>
      </c>
      <c r="D64" s="4">
        <v>1299000</v>
      </c>
      <c r="E64" s="3">
        <v>2149</v>
      </c>
      <c r="F64" s="3">
        <v>4</v>
      </c>
      <c r="G64" s="3" t="s">
        <v>36</v>
      </c>
      <c r="H64" s="3" t="s">
        <v>66</v>
      </c>
      <c r="I64" s="3">
        <v>5</v>
      </c>
      <c r="J64" s="3" t="s">
        <v>12</v>
      </c>
      <c r="K64" s="18">
        <v>140</v>
      </c>
      <c r="L64" s="16">
        <v>321</v>
      </c>
      <c r="M64" s="6" t="str" cm="1">
        <f t="array" ref="M64">_xlfn.IFS(L64&lt;100,"Economy",L64&lt;200,"Standard",L64&lt;350,"Powerful",L64&lt;500,"High Performance",L64&lt;800,"Sports Performance",L64&gt;=800,"Super Performance")</f>
        <v>Powerful</v>
      </c>
    </row>
    <row r="65" spans="1:13" x14ac:dyDescent="0.25">
      <c r="A65" s="5" t="s">
        <v>105</v>
      </c>
      <c r="B65" s="3" t="s">
        <v>106</v>
      </c>
      <c r="C65" s="3" t="s">
        <v>108</v>
      </c>
      <c r="D65" s="4">
        <v>1330000</v>
      </c>
      <c r="E65" s="3">
        <v>2149</v>
      </c>
      <c r="F65" s="3">
        <v>4</v>
      </c>
      <c r="G65" s="3" t="s">
        <v>36</v>
      </c>
      <c r="H65" s="3" t="s">
        <v>66</v>
      </c>
      <c r="I65" s="3">
        <v>5</v>
      </c>
      <c r="J65" s="3" t="s">
        <v>12</v>
      </c>
      <c r="K65" s="18">
        <v>140</v>
      </c>
      <c r="L65" s="16">
        <v>321</v>
      </c>
      <c r="M65" s="6" t="str" cm="1">
        <f t="array" ref="M65">_xlfn.IFS(L65&lt;100,"Economy",L65&lt;200,"Standard",L65&lt;350,"Powerful",L65&lt;500,"High Performance",L65&lt;800,"Sports Performance",L65&gt;=800,"Super Performance")</f>
        <v>Powerful</v>
      </c>
    </row>
    <row r="66" spans="1:13" x14ac:dyDescent="0.25">
      <c r="A66" s="5" t="s">
        <v>63</v>
      </c>
      <c r="B66" s="3" t="s">
        <v>109</v>
      </c>
      <c r="C66" s="3" t="s">
        <v>110</v>
      </c>
      <c r="D66" s="4">
        <v>1996000</v>
      </c>
      <c r="E66" s="3">
        <v>1368</v>
      </c>
      <c r="F66" s="3">
        <v>6</v>
      </c>
      <c r="G66" s="3" t="s">
        <v>10</v>
      </c>
      <c r="H66" s="3" t="s">
        <v>66</v>
      </c>
      <c r="I66" s="3">
        <v>5</v>
      </c>
      <c r="J66" s="3" t="s">
        <v>30</v>
      </c>
      <c r="K66" s="18">
        <v>162</v>
      </c>
      <c r="L66" s="16">
        <v>250</v>
      </c>
      <c r="M66" s="6" t="str" cm="1">
        <f t="array" ref="M66">_xlfn.IFS(L66&lt;100,"Economy",L66&lt;200,"Standard",L66&lt;350,"Powerful",L66&lt;500,"High Performance",L66&lt;800,"Sports Performance",L66&gt;=800,"Super Performance")</f>
        <v>Powerful</v>
      </c>
    </row>
    <row r="67" spans="1:13" x14ac:dyDescent="0.25">
      <c r="A67" s="5" t="s">
        <v>63</v>
      </c>
      <c r="B67" s="3" t="s">
        <v>109</v>
      </c>
      <c r="C67" s="3" t="s">
        <v>111</v>
      </c>
      <c r="D67" s="4">
        <v>1560000</v>
      </c>
      <c r="E67" s="3">
        <v>1368</v>
      </c>
      <c r="F67" s="3">
        <v>6</v>
      </c>
      <c r="G67" s="3" t="s">
        <v>10</v>
      </c>
      <c r="H67" s="3" t="s">
        <v>66</v>
      </c>
      <c r="I67" s="3">
        <v>5</v>
      </c>
      <c r="J67" s="3" t="s">
        <v>12</v>
      </c>
      <c r="K67" s="18">
        <v>162</v>
      </c>
      <c r="L67" s="16">
        <v>250</v>
      </c>
      <c r="M67" s="6" t="str" cm="1">
        <f t="array" ref="M67">_xlfn.IFS(L67&lt;100,"Economy",L67&lt;200,"Standard",L67&lt;350,"Powerful",L67&lt;500,"High Performance",L67&lt;800,"Sports Performance",L67&gt;=800,"Super Performance")</f>
        <v>Powerful</v>
      </c>
    </row>
    <row r="68" spans="1:13" x14ac:dyDescent="0.25">
      <c r="A68" s="5" t="s">
        <v>63</v>
      </c>
      <c r="B68" s="3" t="s">
        <v>109</v>
      </c>
      <c r="C68" s="3" t="s">
        <v>112</v>
      </c>
      <c r="D68" s="4">
        <v>2055000</v>
      </c>
      <c r="E68" s="3">
        <v>1368</v>
      </c>
      <c r="F68" s="3">
        <v>6</v>
      </c>
      <c r="G68" s="3" t="s">
        <v>10</v>
      </c>
      <c r="H68" s="3" t="s">
        <v>66</v>
      </c>
      <c r="I68" s="3">
        <v>5</v>
      </c>
      <c r="J68" s="3" t="s">
        <v>30</v>
      </c>
      <c r="K68" s="18">
        <v>162</v>
      </c>
      <c r="L68" s="16">
        <v>250</v>
      </c>
      <c r="M68" s="6" t="str" cm="1">
        <f t="array" ref="M68">_xlfn.IFS(L68&lt;100,"Economy",L68&lt;200,"Standard",L68&lt;350,"Powerful",L68&lt;500,"High Performance",L68&lt;800,"Sports Performance",L68&gt;=800,"Super Performance")</f>
        <v>Powerful</v>
      </c>
    </row>
    <row r="69" spans="1:13" x14ac:dyDescent="0.25">
      <c r="A69" s="5" t="s">
        <v>63</v>
      </c>
      <c r="B69" s="3" t="s">
        <v>109</v>
      </c>
      <c r="C69" s="3" t="s">
        <v>113</v>
      </c>
      <c r="D69" s="4">
        <v>1661000</v>
      </c>
      <c r="E69" s="3">
        <v>1956</v>
      </c>
      <c r="F69" s="3">
        <v>6</v>
      </c>
      <c r="G69" s="3" t="s">
        <v>36</v>
      </c>
      <c r="H69" s="3" t="s">
        <v>66</v>
      </c>
      <c r="I69" s="3">
        <v>5</v>
      </c>
      <c r="J69" s="3" t="s">
        <v>12</v>
      </c>
      <c r="K69" s="18">
        <v>173</v>
      </c>
      <c r="L69" s="16">
        <v>350</v>
      </c>
      <c r="M69" s="6" t="str" cm="1">
        <f t="array" ref="M69">_xlfn.IFS(L69&lt;100,"Economy",L69&lt;200,"Standard",L69&lt;350,"Powerful",L69&lt;500,"High Performance",L69&lt;800,"Sports Performance",L69&gt;=800,"Super Performance")</f>
        <v>High Performance</v>
      </c>
    </row>
    <row r="70" spans="1:13" x14ac:dyDescent="0.25">
      <c r="A70" s="5" t="s">
        <v>63</v>
      </c>
      <c r="B70" s="3" t="s">
        <v>109</v>
      </c>
      <c r="C70" s="3" t="s">
        <v>114</v>
      </c>
      <c r="D70" s="4">
        <v>1803000</v>
      </c>
      <c r="E70" s="3">
        <v>1956</v>
      </c>
      <c r="F70" s="3">
        <v>6</v>
      </c>
      <c r="G70" s="3" t="s">
        <v>36</v>
      </c>
      <c r="H70" s="3" t="s">
        <v>66</v>
      </c>
      <c r="I70" s="3">
        <v>5</v>
      </c>
      <c r="J70" s="3" t="s">
        <v>12</v>
      </c>
      <c r="K70" s="18">
        <v>173</v>
      </c>
      <c r="L70" s="16">
        <v>350</v>
      </c>
      <c r="M70" s="6" t="str" cm="1">
        <f t="array" ref="M70">_xlfn.IFS(L70&lt;100,"Economy",L70&lt;200,"Standard",L70&lt;350,"Powerful",L70&lt;500,"High Performance",L70&lt;800,"Sports Performance",L70&gt;=800,"Super Performance")</f>
        <v>High Performance</v>
      </c>
    </row>
    <row r="71" spans="1:13" x14ac:dyDescent="0.25">
      <c r="A71" s="5" t="s">
        <v>63</v>
      </c>
      <c r="B71" s="3" t="s">
        <v>109</v>
      </c>
      <c r="C71" s="3" t="s">
        <v>115</v>
      </c>
      <c r="D71" s="4">
        <v>1888000</v>
      </c>
      <c r="E71" s="3">
        <v>1956</v>
      </c>
      <c r="F71" s="3">
        <v>6</v>
      </c>
      <c r="G71" s="3" t="s">
        <v>36</v>
      </c>
      <c r="H71" s="3" t="s">
        <v>66</v>
      </c>
      <c r="I71" s="3">
        <v>5</v>
      </c>
      <c r="J71" s="3" t="s">
        <v>12</v>
      </c>
      <c r="K71" s="18">
        <v>173</v>
      </c>
      <c r="L71" s="16">
        <v>350</v>
      </c>
      <c r="M71" s="6" t="str" cm="1">
        <f t="array" ref="M71">_xlfn.IFS(L71&lt;100,"Economy",L71&lt;200,"Standard",L71&lt;350,"Powerful",L71&lt;500,"High Performance",L71&lt;800,"Sports Performance",L71&gt;=800,"Super Performance")</f>
        <v>High Performance</v>
      </c>
    </row>
    <row r="72" spans="1:13" x14ac:dyDescent="0.25">
      <c r="A72" s="5" t="s">
        <v>63</v>
      </c>
      <c r="B72" s="3" t="s">
        <v>109</v>
      </c>
      <c r="C72" s="3" t="s">
        <v>116</v>
      </c>
      <c r="D72" s="4">
        <v>1973000</v>
      </c>
      <c r="E72" s="3">
        <v>1956</v>
      </c>
      <c r="F72" s="3">
        <v>6</v>
      </c>
      <c r="G72" s="3" t="s">
        <v>36</v>
      </c>
      <c r="H72" s="3" t="s">
        <v>66</v>
      </c>
      <c r="I72" s="3">
        <v>5</v>
      </c>
      <c r="J72" s="3" t="s">
        <v>12</v>
      </c>
      <c r="K72" s="18">
        <v>173</v>
      </c>
      <c r="L72" s="16">
        <v>350</v>
      </c>
      <c r="M72" s="6" t="str" cm="1">
        <f t="array" ref="M72">_xlfn.IFS(L72&lt;100,"Economy",L72&lt;200,"Standard",L72&lt;350,"Powerful",L72&lt;500,"High Performance",L72&lt;800,"Sports Performance",L72&gt;=800,"Super Performance")</f>
        <v>High Performance</v>
      </c>
    </row>
    <row r="73" spans="1:13" x14ac:dyDescent="0.25">
      <c r="A73" s="5" t="s">
        <v>63</v>
      </c>
      <c r="B73" s="3" t="s">
        <v>109</v>
      </c>
      <c r="C73" s="3" t="s">
        <v>117</v>
      </c>
      <c r="D73" s="4">
        <v>2022000</v>
      </c>
      <c r="E73" s="3">
        <v>1956</v>
      </c>
      <c r="F73" s="3">
        <v>6</v>
      </c>
      <c r="G73" s="3" t="s">
        <v>36</v>
      </c>
      <c r="H73" s="3" t="s">
        <v>66</v>
      </c>
      <c r="I73" s="3">
        <v>5</v>
      </c>
      <c r="J73" s="3" t="s">
        <v>12</v>
      </c>
      <c r="K73" s="18">
        <v>173</v>
      </c>
      <c r="L73" s="16">
        <v>350</v>
      </c>
      <c r="M73" s="6" t="str" cm="1">
        <f t="array" ref="M73">_xlfn.IFS(L73&lt;100,"Economy",L73&lt;200,"Standard",L73&lt;350,"Powerful",L73&lt;500,"High Performance",L73&lt;800,"Sports Performance",L73&gt;=800,"Super Performance")</f>
        <v>High Performance</v>
      </c>
    </row>
    <row r="74" spans="1:13" x14ac:dyDescent="0.25">
      <c r="A74" s="5" t="s">
        <v>63</v>
      </c>
      <c r="B74" s="3" t="s">
        <v>109</v>
      </c>
      <c r="C74" s="3" t="s">
        <v>118</v>
      </c>
      <c r="D74" s="4">
        <v>2151000</v>
      </c>
      <c r="E74" s="3">
        <v>1956</v>
      </c>
      <c r="F74" s="3">
        <v>6</v>
      </c>
      <c r="G74" s="3" t="s">
        <v>36</v>
      </c>
      <c r="H74" s="3" t="s">
        <v>66</v>
      </c>
      <c r="I74" s="3">
        <v>5</v>
      </c>
      <c r="J74" s="3" t="s">
        <v>12</v>
      </c>
      <c r="K74" s="18">
        <v>173</v>
      </c>
      <c r="L74" s="16">
        <v>350</v>
      </c>
      <c r="M74" s="6" t="str" cm="1">
        <f t="array" ref="M74">_xlfn.IFS(L74&lt;100,"Economy",L74&lt;200,"Standard",L74&lt;350,"Powerful",L74&lt;500,"High Performance",L74&lt;800,"Sports Performance",L74&gt;=800,"Super Performance")</f>
        <v>High Performance</v>
      </c>
    </row>
    <row r="75" spans="1:13" x14ac:dyDescent="0.25">
      <c r="A75" s="5" t="s">
        <v>63</v>
      </c>
      <c r="B75" s="3" t="s">
        <v>109</v>
      </c>
      <c r="C75" s="3" t="s">
        <v>119</v>
      </c>
      <c r="D75" s="4">
        <v>2199000</v>
      </c>
      <c r="E75" s="3">
        <v>1956</v>
      </c>
      <c r="F75" s="3">
        <v>6</v>
      </c>
      <c r="G75" s="3" t="s">
        <v>36</v>
      </c>
      <c r="H75" s="3" t="s">
        <v>66</v>
      </c>
      <c r="I75" s="3">
        <v>5</v>
      </c>
      <c r="J75" s="3" t="s">
        <v>12</v>
      </c>
      <c r="K75" s="18">
        <v>173</v>
      </c>
      <c r="L75" s="16">
        <v>350</v>
      </c>
      <c r="M75" s="6" t="str" cm="1">
        <f t="array" ref="M75">_xlfn.IFS(L75&lt;100,"Economy",L75&lt;200,"Standard",L75&lt;350,"Powerful",L75&lt;500,"High Performance",L75&lt;800,"Sports Performance",L75&gt;=800,"Super Performance")</f>
        <v>High Performance</v>
      </c>
    </row>
    <row r="76" spans="1:13" x14ac:dyDescent="0.25">
      <c r="A76" s="5" t="s">
        <v>63</v>
      </c>
      <c r="B76" s="3" t="s">
        <v>109</v>
      </c>
      <c r="C76" s="3" t="s">
        <v>120</v>
      </c>
      <c r="D76" s="4">
        <v>2167000</v>
      </c>
      <c r="E76" s="3">
        <v>1368</v>
      </c>
      <c r="F76" s="3">
        <v>6</v>
      </c>
      <c r="G76" s="3" t="s">
        <v>10</v>
      </c>
      <c r="H76" s="3" t="s">
        <v>66</v>
      </c>
      <c r="I76" s="3">
        <v>5</v>
      </c>
      <c r="J76" s="3" t="s">
        <v>30</v>
      </c>
      <c r="K76" s="18">
        <v>162</v>
      </c>
      <c r="L76" s="16">
        <v>250</v>
      </c>
      <c r="M76" s="6" t="str" cm="1">
        <f t="array" ref="M76">_xlfn.IFS(L76&lt;100,"Economy",L76&lt;200,"Standard",L76&lt;350,"Powerful",L76&lt;500,"High Performance",L76&lt;800,"Sports Performance",L76&gt;=800,"Super Performance")</f>
        <v>Powerful</v>
      </c>
    </row>
    <row r="77" spans="1:13" x14ac:dyDescent="0.25">
      <c r="A77" s="5" t="s">
        <v>63</v>
      </c>
      <c r="B77" s="3" t="s">
        <v>109</v>
      </c>
      <c r="C77" s="3" t="s">
        <v>121</v>
      </c>
      <c r="D77" s="4">
        <v>2133000</v>
      </c>
      <c r="E77" s="3">
        <v>1956</v>
      </c>
      <c r="F77" s="3">
        <v>6</v>
      </c>
      <c r="G77" s="3" t="s">
        <v>36</v>
      </c>
      <c r="H77" s="3" t="s">
        <v>66</v>
      </c>
      <c r="I77" s="3">
        <v>5</v>
      </c>
      <c r="J77" s="3" t="s">
        <v>12</v>
      </c>
      <c r="K77" s="18">
        <v>173</v>
      </c>
      <c r="L77" s="16">
        <v>350</v>
      </c>
      <c r="M77" s="6" t="str" cm="1">
        <f t="array" ref="M77">_xlfn.IFS(L77&lt;100,"Economy",L77&lt;200,"Standard",L77&lt;350,"Powerful",L77&lt;500,"High Performance",L77&lt;800,"Sports Performance",L77&gt;=800,"Super Performance")</f>
        <v>High Performance</v>
      </c>
    </row>
    <row r="78" spans="1:13" x14ac:dyDescent="0.25">
      <c r="A78" s="5" t="s">
        <v>63</v>
      </c>
      <c r="B78" s="3" t="s">
        <v>109</v>
      </c>
      <c r="C78" s="3" t="s">
        <v>122</v>
      </c>
      <c r="D78" s="4">
        <v>2311000</v>
      </c>
      <c r="E78" s="3">
        <v>1956</v>
      </c>
      <c r="F78" s="3">
        <v>6</v>
      </c>
      <c r="G78" s="3" t="s">
        <v>36</v>
      </c>
      <c r="H78" s="3" t="s">
        <v>66</v>
      </c>
      <c r="I78" s="3">
        <v>5</v>
      </c>
      <c r="J78" s="3" t="s">
        <v>12</v>
      </c>
      <c r="K78" s="18">
        <v>173</v>
      </c>
      <c r="L78" s="16">
        <v>350</v>
      </c>
      <c r="M78" s="6" t="str" cm="1">
        <f t="array" ref="M78">_xlfn.IFS(L78&lt;100,"Economy",L78&lt;200,"Standard",L78&lt;350,"Powerful",L78&lt;500,"High Performance",L78&lt;800,"Sports Performance",L78&gt;=800,"Super Performance")</f>
        <v>High Performance</v>
      </c>
    </row>
    <row r="79" spans="1:13" x14ac:dyDescent="0.25">
      <c r="A79" s="5" t="s">
        <v>63</v>
      </c>
      <c r="B79" s="3" t="s">
        <v>109</v>
      </c>
      <c r="C79" s="3" t="s">
        <v>123</v>
      </c>
      <c r="D79" s="4">
        <v>1699000</v>
      </c>
      <c r="E79" s="3">
        <v>1956</v>
      </c>
      <c r="F79" s="3">
        <v>6</v>
      </c>
      <c r="G79" s="3" t="s">
        <v>36</v>
      </c>
      <c r="H79" s="3" t="s">
        <v>66</v>
      </c>
      <c r="I79" s="3">
        <v>5</v>
      </c>
      <c r="J79" s="3" t="s">
        <v>12</v>
      </c>
      <c r="K79" s="18">
        <v>173</v>
      </c>
      <c r="L79" s="16">
        <v>350</v>
      </c>
      <c r="M79" s="6" t="str" cm="1">
        <f t="array" ref="M79">_xlfn.IFS(L79&lt;100,"Economy",L79&lt;200,"Standard",L79&lt;350,"Powerful",L79&lt;500,"High Performance",L79&lt;800,"Sports Performance",L79&gt;=800,"Super Performance")</f>
        <v>High Performance</v>
      </c>
    </row>
    <row r="80" spans="1:13" x14ac:dyDescent="0.25">
      <c r="A80" s="5" t="s">
        <v>63</v>
      </c>
      <c r="B80" s="3" t="s">
        <v>109</v>
      </c>
      <c r="C80" s="3" t="s">
        <v>124</v>
      </c>
      <c r="D80" s="4">
        <v>1599000</v>
      </c>
      <c r="E80" s="3">
        <v>1368</v>
      </c>
      <c r="F80" s="3">
        <v>6</v>
      </c>
      <c r="G80" s="3" t="s">
        <v>10</v>
      </c>
      <c r="H80" s="3" t="s">
        <v>66</v>
      </c>
      <c r="I80" s="3">
        <v>5</v>
      </c>
      <c r="J80" s="3" t="s">
        <v>12</v>
      </c>
      <c r="K80" s="18">
        <v>162</v>
      </c>
      <c r="L80" s="16">
        <v>250</v>
      </c>
      <c r="M80" s="6" t="str" cm="1">
        <f t="array" ref="M80">_xlfn.IFS(L80&lt;100,"Economy",L80&lt;200,"Standard",L80&lt;350,"Powerful",L80&lt;500,"High Performance",L80&lt;800,"Sports Performance",L80&gt;=800,"Super Performance")</f>
        <v>Powerful</v>
      </c>
    </row>
    <row r="81" spans="1:13" x14ac:dyDescent="0.25">
      <c r="A81" s="5" t="s">
        <v>63</v>
      </c>
      <c r="B81" s="3" t="s">
        <v>109</v>
      </c>
      <c r="C81" s="3" t="s">
        <v>125</v>
      </c>
      <c r="D81" s="4">
        <v>1900000</v>
      </c>
      <c r="E81" s="3">
        <v>1368</v>
      </c>
      <c r="F81" s="3">
        <v>6</v>
      </c>
      <c r="G81" s="3" t="s">
        <v>10</v>
      </c>
      <c r="H81" s="3" t="s">
        <v>66</v>
      </c>
      <c r="I81" s="3">
        <v>5</v>
      </c>
      <c r="J81" s="3" t="s">
        <v>30</v>
      </c>
      <c r="K81" s="18">
        <v>163</v>
      </c>
      <c r="L81" s="16">
        <v>250</v>
      </c>
      <c r="M81" s="6" t="str" cm="1">
        <f t="array" ref="M81">_xlfn.IFS(L81&lt;100,"Economy",L81&lt;200,"Standard",L81&lt;350,"Powerful",L81&lt;500,"High Performance",L81&lt;800,"Sports Performance",L81&gt;=800,"Super Performance")</f>
        <v>Powerful</v>
      </c>
    </row>
    <row r="82" spans="1:13" x14ac:dyDescent="0.25">
      <c r="A82" s="5" t="s">
        <v>63</v>
      </c>
      <c r="B82" s="3" t="s">
        <v>109</v>
      </c>
      <c r="C82" s="3" t="s">
        <v>126</v>
      </c>
      <c r="D82" s="4">
        <v>2070000</v>
      </c>
      <c r="E82" s="3">
        <v>1368</v>
      </c>
      <c r="F82" s="3">
        <v>6</v>
      </c>
      <c r="G82" s="3" t="s">
        <v>10</v>
      </c>
      <c r="H82" s="3" t="s">
        <v>66</v>
      </c>
      <c r="I82" s="3">
        <v>5</v>
      </c>
      <c r="J82" s="3" t="s">
        <v>30</v>
      </c>
      <c r="K82" s="18">
        <v>162</v>
      </c>
      <c r="L82" s="16">
        <v>250</v>
      </c>
      <c r="M82" s="6" t="str" cm="1">
        <f t="array" ref="M82">_xlfn.IFS(L82&lt;100,"Economy",L82&lt;200,"Standard",L82&lt;350,"Powerful",L82&lt;500,"High Performance",L82&lt;800,"Sports Performance",L82&gt;=800,"Super Performance")</f>
        <v>Powerful</v>
      </c>
    </row>
    <row r="83" spans="1:13" x14ac:dyDescent="0.25">
      <c r="A83" s="5" t="s">
        <v>63</v>
      </c>
      <c r="B83" s="3" t="s">
        <v>109</v>
      </c>
      <c r="C83" s="3" t="s">
        <v>127</v>
      </c>
      <c r="D83" s="4">
        <v>2036300</v>
      </c>
      <c r="E83" s="3">
        <v>1956</v>
      </c>
      <c r="F83" s="3">
        <v>6</v>
      </c>
      <c r="G83" s="3" t="s">
        <v>36</v>
      </c>
      <c r="H83" s="3" t="s">
        <v>66</v>
      </c>
      <c r="I83" s="3">
        <v>5</v>
      </c>
      <c r="J83" s="3" t="s">
        <v>12</v>
      </c>
      <c r="K83" s="18">
        <v>173</v>
      </c>
      <c r="L83" s="16">
        <v>350</v>
      </c>
      <c r="M83" s="6" t="str" cm="1">
        <f t="array" ref="M83">_xlfn.IFS(L83&lt;100,"Economy",L83&lt;200,"Standard",L83&lt;350,"Powerful",L83&lt;500,"High Performance",L83&lt;800,"Sports Performance",L83&gt;=800,"Super Performance")</f>
        <v>High Performance</v>
      </c>
    </row>
    <row r="84" spans="1:13" x14ac:dyDescent="0.25">
      <c r="A84" s="5" t="s">
        <v>63</v>
      </c>
      <c r="B84" s="3" t="s">
        <v>109</v>
      </c>
      <c r="C84" s="3" t="s">
        <v>128</v>
      </c>
      <c r="D84" s="4">
        <v>2214000</v>
      </c>
      <c r="E84" s="3">
        <v>1956</v>
      </c>
      <c r="F84" s="3">
        <v>6</v>
      </c>
      <c r="G84" s="3" t="s">
        <v>36</v>
      </c>
      <c r="H84" s="3" t="s">
        <v>66</v>
      </c>
      <c r="I84" s="3">
        <v>5</v>
      </c>
      <c r="J84" s="3" t="s">
        <v>12</v>
      </c>
      <c r="K84" s="18">
        <v>173</v>
      </c>
      <c r="L84" s="16">
        <v>350</v>
      </c>
      <c r="M84" s="6" t="str" cm="1">
        <f t="array" ref="M84">_xlfn.IFS(L84&lt;100,"Economy",L84&lt;200,"Standard",L84&lt;350,"Powerful",L84&lt;500,"High Performance",L84&lt;800,"Sports Performance",L84&gt;=800,"Super Performance")</f>
        <v>High Performance</v>
      </c>
    </row>
    <row r="85" spans="1:13" x14ac:dyDescent="0.25">
      <c r="A85" s="5" t="s">
        <v>63</v>
      </c>
      <c r="B85" s="3" t="s">
        <v>109</v>
      </c>
      <c r="C85" s="3" t="s">
        <v>129</v>
      </c>
      <c r="D85" s="4">
        <v>2499000</v>
      </c>
      <c r="E85" s="3">
        <v>1956</v>
      </c>
      <c r="F85" s="3">
        <v>6</v>
      </c>
      <c r="G85" s="3" t="s">
        <v>36</v>
      </c>
      <c r="H85" s="3" t="s">
        <v>66</v>
      </c>
      <c r="I85" s="3">
        <v>5</v>
      </c>
      <c r="J85" s="3" t="s">
        <v>30</v>
      </c>
      <c r="K85" s="18">
        <v>173</v>
      </c>
      <c r="L85" s="16">
        <v>350</v>
      </c>
      <c r="M85" s="6" t="str" cm="1">
        <f t="array" ref="M85">_xlfn.IFS(L85&lt;100,"Economy",L85&lt;200,"Standard",L85&lt;350,"Powerful",L85&lt;500,"High Performance",L85&lt;800,"Sports Performance",L85&gt;=800,"Super Performance")</f>
        <v>High Performance</v>
      </c>
    </row>
    <row r="86" spans="1:13" x14ac:dyDescent="0.25">
      <c r="A86" s="5" t="s">
        <v>63</v>
      </c>
      <c r="B86" s="3" t="s">
        <v>109</v>
      </c>
      <c r="C86" s="3" t="s">
        <v>130</v>
      </c>
      <c r="D86" s="4">
        <v>2196000</v>
      </c>
      <c r="E86" s="3">
        <v>1956</v>
      </c>
      <c r="F86" s="3">
        <v>6</v>
      </c>
      <c r="G86" s="3" t="s">
        <v>36</v>
      </c>
      <c r="H86" s="3" t="s">
        <v>66</v>
      </c>
      <c r="I86" s="3">
        <v>5</v>
      </c>
      <c r="J86" s="3" t="s">
        <v>30</v>
      </c>
      <c r="K86" s="18">
        <v>173</v>
      </c>
      <c r="L86" s="16">
        <v>350</v>
      </c>
      <c r="M86" s="6" t="str" cm="1">
        <f t="array" ref="M86">_xlfn.IFS(L86&lt;100,"Economy",L86&lt;200,"Standard",L86&lt;350,"Powerful",L86&lt;500,"High Performance",L86&lt;800,"Sports Performance",L86&gt;=800,"Super Performance")</f>
        <v>High Performance</v>
      </c>
    </row>
    <row r="87" spans="1:13" x14ac:dyDescent="0.25">
      <c r="A87" s="5" t="s">
        <v>131</v>
      </c>
      <c r="B87" s="3" t="s">
        <v>132</v>
      </c>
      <c r="C87" s="3" t="s">
        <v>133</v>
      </c>
      <c r="D87" s="4">
        <v>1793900</v>
      </c>
      <c r="E87" s="3">
        <v>1799</v>
      </c>
      <c r="F87" s="3">
        <v>4</v>
      </c>
      <c r="G87" s="3" t="s">
        <v>10</v>
      </c>
      <c r="H87" s="3" t="s">
        <v>27</v>
      </c>
      <c r="I87" s="3">
        <v>5</v>
      </c>
      <c r="J87" s="3" t="s">
        <v>30</v>
      </c>
      <c r="K87" s="18">
        <v>141</v>
      </c>
      <c r="L87" s="16">
        <v>174</v>
      </c>
      <c r="M87" s="6" t="str" cm="1">
        <f t="array" ref="M87">_xlfn.IFS(L87&lt;100,"Economy",L87&lt;200,"Standard",L87&lt;350,"Powerful",L87&lt;500,"High Performance",L87&lt;800,"Sports Performance",L87&gt;=800,"Super Performance")</f>
        <v>Standard</v>
      </c>
    </row>
    <row r="88" spans="1:13" x14ac:dyDescent="0.25">
      <c r="A88" s="5" t="s">
        <v>131</v>
      </c>
      <c r="B88" s="3" t="s">
        <v>132</v>
      </c>
      <c r="C88" s="3" t="s">
        <v>134</v>
      </c>
      <c r="D88" s="4">
        <v>1944900</v>
      </c>
      <c r="E88" s="3">
        <v>1799</v>
      </c>
      <c r="F88" s="3">
        <v>4</v>
      </c>
      <c r="G88" s="3" t="s">
        <v>10</v>
      </c>
      <c r="H88" s="3" t="s">
        <v>27</v>
      </c>
      <c r="I88" s="3">
        <v>5</v>
      </c>
      <c r="J88" s="3" t="s">
        <v>30</v>
      </c>
      <c r="K88" s="18">
        <v>141</v>
      </c>
      <c r="L88" s="16">
        <v>174</v>
      </c>
      <c r="M88" s="6" t="str" cm="1">
        <f t="array" ref="M88">_xlfn.IFS(L88&lt;100,"Economy",L88&lt;200,"Standard",L88&lt;350,"Powerful",L88&lt;500,"High Performance",L88&lt;800,"Sports Performance",L88&gt;=800,"Super Performance")</f>
        <v>Standard</v>
      </c>
    </row>
    <row r="89" spans="1:13" x14ac:dyDescent="0.25">
      <c r="A89" s="5" t="s">
        <v>131</v>
      </c>
      <c r="B89" s="3" t="s">
        <v>132</v>
      </c>
      <c r="C89" s="3" t="s">
        <v>135</v>
      </c>
      <c r="D89" s="4">
        <v>2124900</v>
      </c>
      <c r="E89" s="3">
        <v>1799</v>
      </c>
      <c r="F89" s="3">
        <v>4</v>
      </c>
      <c r="G89" s="3" t="s">
        <v>10</v>
      </c>
      <c r="H89" s="3" t="s">
        <v>27</v>
      </c>
      <c r="I89" s="3">
        <v>5</v>
      </c>
      <c r="J89" s="3" t="s">
        <v>30</v>
      </c>
      <c r="K89" s="18">
        <v>141</v>
      </c>
      <c r="L89" s="16">
        <v>174</v>
      </c>
      <c r="M89" s="6" t="str" cm="1">
        <f t="array" ref="M89">_xlfn.IFS(L89&lt;100,"Economy",L89&lt;200,"Standard",L89&lt;350,"Powerful",L89&lt;500,"High Performance",L89&lt;800,"Sports Performance",L89&gt;=800,"Super Performance")</f>
        <v>Standard</v>
      </c>
    </row>
    <row r="90" spans="1:13" x14ac:dyDescent="0.25">
      <c r="A90" s="5" t="s">
        <v>131</v>
      </c>
      <c r="B90" s="3" t="s">
        <v>132</v>
      </c>
      <c r="C90" s="3" t="s">
        <v>136</v>
      </c>
      <c r="D90" s="4">
        <v>2054900</v>
      </c>
      <c r="E90" s="3">
        <v>1597</v>
      </c>
      <c r="F90" s="3">
        <v>4</v>
      </c>
      <c r="G90" s="3" t="s">
        <v>36</v>
      </c>
      <c r="H90" s="3" t="s">
        <v>27</v>
      </c>
      <c r="I90" s="3">
        <v>5</v>
      </c>
      <c r="J90" s="3" t="s">
        <v>12</v>
      </c>
      <c r="K90" s="18">
        <v>120</v>
      </c>
      <c r="L90" s="16">
        <v>300</v>
      </c>
      <c r="M90" s="6" t="str" cm="1">
        <f t="array" ref="M90">_xlfn.IFS(L90&lt;100,"Economy",L90&lt;200,"Standard",L90&lt;350,"Powerful",L90&lt;500,"High Performance",L90&lt;800,"Sports Performance",L90&gt;=800,"Super Performance")</f>
        <v>Powerful</v>
      </c>
    </row>
    <row r="91" spans="1:13" x14ac:dyDescent="0.25">
      <c r="A91" s="5" t="s">
        <v>131</v>
      </c>
      <c r="B91" s="3" t="s">
        <v>132</v>
      </c>
      <c r="C91" s="3" t="s">
        <v>137</v>
      </c>
      <c r="D91" s="4">
        <v>2234900</v>
      </c>
      <c r="E91" s="3">
        <v>1597</v>
      </c>
      <c r="F91" s="3">
        <v>4</v>
      </c>
      <c r="G91" s="3" t="s">
        <v>36</v>
      </c>
      <c r="H91" s="3" t="s">
        <v>27</v>
      </c>
      <c r="I91" s="3">
        <v>5</v>
      </c>
      <c r="J91" s="3" t="s">
        <v>12</v>
      </c>
      <c r="K91" s="18">
        <v>120</v>
      </c>
      <c r="L91" s="16">
        <v>300</v>
      </c>
      <c r="M91" s="6" t="str" cm="1">
        <f t="array" ref="M91">_xlfn.IFS(L91&lt;100,"Economy",L91&lt;200,"Standard",L91&lt;350,"Powerful",L91&lt;500,"High Performance",L91&lt;800,"Sports Performance",L91&gt;=800,"Super Performance")</f>
        <v>Powerful</v>
      </c>
    </row>
    <row r="92" spans="1:13" x14ac:dyDescent="0.25">
      <c r="A92" s="5" t="s">
        <v>138</v>
      </c>
      <c r="B92" s="3" t="s">
        <v>139</v>
      </c>
      <c r="C92" s="3" t="s">
        <v>140</v>
      </c>
      <c r="D92" s="4">
        <v>2088000</v>
      </c>
      <c r="E92" s="3" t="s">
        <v>1386</v>
      </c>
      <c r="F92" s="3">
        <v>0</v>
      </c>
      <c r="G92" s="3" t="s">
        <v>141</v>
      </c>
      <c r="H92" s="3" t="s">
        <v>66</v>
      </c>
      <c r="I92" s="3">
        <v>5</v>
      </c>
      <c r="J92" s="3" t="s">
        <v>30</v>
      </c>
      <c r="K92" s="18">
        <v>142.76</v>
      </c>
      <c r="L92" s="16">
        <v>353</v>
      </c>
      <c r="M92" s="6" t="str" cm="1">
        <f t="array" ref="M92">_xlfn.IFS(L92&lt;100,"Economy",L92&lt;200,"Standard",L92&lt;350,"Powerful",L92&lt;500,"High Performance",L92&lt;800,"Sports Performance",L92&gt;=800,"Super Performance")</f>
        <v>High Performance</v>
      </c>
    </row>
    <row r="93" spans="1:13" x14ac:dyDescent="0.25">
      <c r="A93" s="5" t="s">
        <v>138</v>
      </c>
      <c r="B93" s="3" t="s">
        <v>139</v>
      </c>
      <c r="C93" s="3" t="s">
        <v>142</v>
      </c>
      <c r="D93" s="4">
        <v>2358000</v>
      </c>
      <c r="E93" s="3" t="s">
        <v>1386</v>
      </c>
      <c r="F93" s="3">
        <v>0</v>
      </c>
      <c r="G93" s="3" t="s">
        <v>141</v>
      </c>
      <c r="H93" s="3" t="s">
        <v>66</v>
      </c>
      <c r="I93" s="3">
        <v>5</v>
      </c>
      <c r="J93" s="3" t="s">
        <v>30</v>
      </c>
      <c r="K93" s="18">
        <v>142.76</v>
      </c>
      <c r="L93" s="16">
        <v>353</v>
      </c>
      <c r="M93" s="6" t="str" cm="1">
        <f t="array" ref="M93">_xlfn.IFS(L93&lt;100,"Economy",L93&lt;200,"Standard",L93&lt;350,"Powerful",L93&lt;500,"High Performance",L93&lt;800,"Sports Performance",L93&gt;=800,"Super Performance")</f>
        <v>High Performance</v>
      </c>
    </row>
    <row r="94" spans="1:13" x14ac:dyDescent="0.25">
      <c r="A94" s="5" t="s">
        <v>143</v>
      </c>
      <c r="B94" s="3" t="s">
        <v>144</v>
      </c>
      <c r="C94" s="3" t="s">
        <v>145</v>
      </c>
      <c r="D94" s="4">
        <v>3420000</v>
      </c>
      <c r="E94" s="3">
        <v>1998</v>
      </c>
      <c r="F94" s="3">
        <v>4</v>
      </c>
      <c r="G94" s="3" t="s">
        <v>10</v>
      </c>
      <c r="H94" s="3" t="s">
        <v>11</v>
      </c>
      <c r="I94" s="3">
        <v>5</v>
      </c>
      <c r="J94" s="3" t="s">
        <v>30</v>
      </c>
      <c r="K94" s="18">
        <v>192</v>
      </c>
      <c r="L94" s="16">
        <v>280</v>
      </c>
      <c r="M94" s="6" t="str" cm="1">
        <f t="array" ref="M94">_xlfn.IFS(L94&lt;100,"Economy",L94&lt;200,"Standard",L94&lt;350,"Powerful",L94&lt;500,"High Performance",L94&lt;800,"Sports Performance",L94&gt;=800,"Super Performance")</f>
        <v>Powerful</v>
      </c>
    </row>
    <row r="95" spans="1:13" x14ac:dyDescent="0.25">
      <c r="A95" s="5" t="s">
        <v>146</v>
      </c>
      <c r="B95" s="3" t="s">
        <v>147</v>
      </c>
      <c r="C95" s="3" t="s">
        <v>148</v>
      </c>
      <c r="D95" s="4">
        <v>20517853</v>
      </c>
      <c r="E95" s="3">
        <v>4999</v>
      </c>
      <c r="F95" s="3">
        <v>8</v>
      </c>
      <c r="G95" s="3" t="s">
        <v>10</v>
      </c>
      <c r="H95" s="3" t="s">
        <v>66</v>
      </c>
      <c r="I95" s="3">
        <v>5</v>
      </c>
      <c r="J95" s="3" t="s">
        <v>30</v>
      </c>
      <c r="K95" s="18">
        <v>567</v>
      </c>
      <c r="L95" s="16">
        <v>700</v>
      </c>
      <c r="M95" s="6" t="str" cm="1">
        <f t="array" ref="M95">_xlfn.IFS(L95&lt;100,"Economy",L95&lt;200,"Standard",L95&lt;350,"Powerful",L95&lt;500,"High Performance",L95&lt;800,"Sports Performance",L95&gt;=800,"Super Performance")</f>
        <v>Sports Performance</v>
      </c>
    </row>
    <row r="96" spans="1:13" x14ac:dyDescent="0.25">
      <c r="A96" s="5" t="s">
        <v>146</v>
      </c>
      <c r="B96" s="3" t="s">
        <v>147</v>
      </c>
      <c r="C96" s="3" t="s">
        <v>149</v>
      </c>
      <c r="D96" s="4">
        <v>17940227</v>
      </c>
      <c r="E96" s="3">
        <v>4999</v>
      </c>
      <c r="F96" s="3">
        <v>8</v>
      </c>
      <c r="G96" s="3" t="s">
        <v>10</v>
      </c>
      <c r="H96" s="3" t="s">
        <v>66</v>
      </c>
      <c r="I96" s="3">
        <v>5</v>
      </c>
      <c r="J96" s="3" t="s">
        <v>30</v>
      </c>
      <c r="K96" s="18">
        <v>518</v>
      </c>
      <c r="L96" s="16">
        <v>625</v>
      </c>
      <c r="M96" s="6" t="str" cm="1">
        <f t="array" ref="M96">_xlfn.IFS(L96&lt;100,"Economy",L96&lt;200,"Standard",L96&lt;350,"Powerful",L96&lt;500,"High Performance",L96&lt;800,"Sports Performance",L96&gt;=800,"Super Performance")</f>
        <v>Sports Performance</v>
      </c>
    </row>
    <row r="97" spans="1:13" x14ac:dyDescent="0.25">
      <c r="A97" s="5" t="s">
        <v>150</v>
      </c>
      <c r="B97" s="3" t="s">
        <v>151</v>
      </c>
      <c r="C97" s="3" t="s">
        <v>36</v>
      </c>
      <c r="D97" s="4">
        <v>13387856</v>
      </c>
      <c r="E97" s="3">
        <v>2987</v>
      </c>
      <c r="F97" s="3">
        <v>0</v>
      </c>
      <c r="G97" s="3" t="s">
        <v>36</v>
      </c>
      <c r="H97" s="3" t="s">
        <v>27</v>
      </c>
      <c r="I97" s="3">
        <v>5</v>
      </c>
      <c r="J97" s="3" t="s">
        <v>30</v>
      </c>
      <c r="K97" s="18">
        <v>275</v>
      </c>
      <c r="L97" s="16">
        <v>570</v>
      </c>
      <c r="M97" s="6" t="str" cm="1">
        <f t="array" ref="M97">_xlfn.IFS(L97&lt;100,"Economy",L97&lt;200,"Standard",L97&lt;350,"Powerful",L97&lt;500,"High Performance",L97&lt;800,"Sports Performance",L97&gt;=800,"Super Performance")</f>
        <v>Sports Performance</v>
      </c>
    </row>
    <row r="98" spans="1:13" x14ac:dyDescent="0.25">
      <c r="A98" s="5" t="s">
        <v>150</v>
      </c>
      <c r="B98" s="3" t="s">
        <v>151</v>
      </c>
      <c r="C98" s="3" t="s">
        <v>152</v>
      </c>
      <c r="D98" s="4">
        <v>13881858</v>
      </c>
      <c r="E98" s="3">
        <v>2987</v>
      </c>
      <c r="F98" s="3">
        <v>0</v>
      </c>
      <c r="G98" s="3" t="s">
        <v>36</v>
      </c>
      <c r="H98" s="3" t="s">
        <v>27</v>
      </c>
      <c r="I98" s="3">
        <v>5</v>
      </c>
      <c r="J98" s="3" t="s">
        <v>30</v>
      </c>
      <c r="K98" s="18">
        <v>275</v>
      </c>
      <c r="L98" s="16">
        <v>600</v>
      </c>
      <c r="M98" s="6" t="str" cm="1">
        <f t="array" ref="M98">_xlfn.IFS(L98&lt;100,"Economy",L98&lt;200,"Standard",L98&lt;350,"Powerful",L98&lt;500,"High Performance",L98&lt;800,"Sports Performance",L98&gt;=800,"Super Performance")</f>
        <v>Sports Performance</v>
      </c>
    </row>
    <row r="99" spans="1:13" x14ac:dyDescent="0.25">
      <c r="A99" s="5" t="s">
        <v>150</v>
      </c>
      <c r="B99" s="3" t="s">
        <v>151</v>
      </c>
      <c r="C99" s="3" t="s">
        <v>153</v>
      </c>
      <c r="D99" s="4">
        <v>14247814</v>
      </c>
      <c r="E99" s="3">
        <v>2987</v>
      </c>
      <c r="F99" s="3">
        <v>0</v>
      </c>
      <c r="G99" s="3" t="s">
        <v>36</v>
      </c>
      <c r="H99" s="3" t="s">
        <v>27</v>
      </c>
      <c r="I99" s="3">
        <v>5</v>
      </c>
      <c r="J99" s="3" t="s">
        <v>30</v>
      </c>
      <c r="K99" s="18">
        <v>275</v>
      </c>
      <c r="L99" s="16">
        <v>600</v>
      </c>
      <c r="M99" s="6" t="str" cm="1">
        <f t="array" ref="M99">_xlfn.IFS(L99&lt;100,"Economy",L99&lt;200,"Standard",L99&lt;350,"Powerful",L99&lt;500,"High Performance",L99&lt;800,"Sports Performance",L99&gt;=800,"Super Performance")</f>
        <v>Sports Performance</v>
      </c>
    </row>
    <row r="100" spans="1:13" x14ac:dyDescent="0.25">
      <c r="A100" s="5" t="s">
        <v>40</v>
      </c>
      <c r="B100" s="3" t="s">
        <v>154</v>
      </c>
      <c r="C100" s="3" t="s">
        <v>155</v>
      </c>
      <c r="D100" s="4">
        <v>523000</v>
      </c>
      <c r="E100" s="3">
        <v>1194</v>
      </c>
      <c r="F100" s="3">
        <v>4</v>
      </c>
      <c r="G100" s="3" t="s">
        <v>10</v>
      </c>
      <c r="H100" s="3" t="s">
        <v>11</v>
      </c>
      <c r="I100" s="3">
        <v>5</v>
      </c>
      <c r="J100" s="3" t="s">
        <v>12</v>
      </c>
      <c r="K100" s="18">
        <v>96</v>
      </c>
      <c r="L100" s="16">
        <v>120</v>
      </c>
      <c r="M100" s="6" t="str" cm="1">
        <f t="array" ref="M100">_xlfn.IFS(L100&lt;100,"Economy",L100&lt;200,"Standard",L100&lt;350,"Powerful",L100&lt;500,"High Performance",L100&lt;800,"Sports Performance",L100&gt;=800,"Super Performance")</f>
        <v>Standard</v>
      </c>
    </row>
    <row r="101" spans="1:13" x14ac:dyDescent="0.25">
      <c r="A101" s="5" t="s">
        <v>40</v>
      </c>
      <c r="B101" s="3" t="s">
        <v>154</v>
      </c>
      <c r="C101" s="3" t="s">
        <v>156</v>
      </c>
      <c r="D101" s="4">
        <v>599900</v>
      </c>
      <c r="E101" s="3">
        <v>1196</v>
      </c>
      <c r="F101" s="3">
        <v>4</v>
      </c>
      <c r="G101" s="3" t="s">
        <v>10</v>
      </c>
      <c r="H101" s="3" t="s">
        <v>11</v>
      </c>
      <c r="I101" s="3">
        <v>5</v>
      </c>
      <c r="J101" s="3" t="s">
        <v>12</v>
      </c>
      <c r="K101" s="18">
        <v>96</v>
      </c>
      <c r="L101" s="16">
        <v>120</v>
      </c>
      <c r="M101" s="6" t="str" cm="1">
        <f t="array" ref="M101">_xlfn.IFS(L101&lt;100,"Economy",L101&lt;200,"Standard",L101&lt;350,"Powerful",L101&lt;500,"High Performance",L101&lt;800,"Sports Performance",L101&gt;=800,"Super Performance")</f>
        <v>Standard</v>
      </c>
    </row>
    <row r="102" spans="1:13" x14ac:dyDescent="0.25">
      <c r="A102" s="5" t="s">
        <v>40</v>
      </c>
      <c r="B102" s="3" t="s">
        <v>154</v>
      </c>
      <c r="C102" s="3" t="s">
        <v>157</v>
      </c>
      <c r="D102" s="4">
        <v>699900</v>
      </c>
      <c r="E102" s="3">
        <v>1498</v>
      </c>
      <c r="F102" s="3">
        <v>4</v>
      </c>
      <c r="G102" s="3" t="s">
        <v>36</v>
      </c>
      <c r="H102" s="3" t="s">
        <v>11</v>
      </c>
      <c r="I102" s="3">
        <v>5</v>
      </c>
      <c r="J102" s="3" t="s">
        <v>12</v>
      </c>
      <c r="K102" s="18">
        <v>100</v>
      </c>
      <c r="L102" s="16">
        <v>215</v>
      </c>
      <c r="M102" s="6" t="str" cm="1">
        <f t="array" ref="M102">_xlfn.IFS(L102&lt;100,"Economy",L102&lt;200,"Standard",L102&lt;350,"Powerful",L102&lt;500,"High Performance",L102&lt;800,"Sports Performance",L102&gt;=800,"Super Performance")</f>
        <v>Powerful</v>
      </c>
    </row>
    <row r="103" spans="1:13" x14ac:dyDescent="0.25">
      <c r="A103" s="5" t="s">
        <v>40</v>
      </c>
      <c r="B103" s="3" t="s">
        <v>154</v>
      </c>
      <c r="C103" s="3" t="s">
        <v>158</v>
      </c>
      <c r="D103" s="4">
        <v>664900</v>
      </c>
      <c r="E103" s="3">
        <v>1194</v>
      </c>
      <c r="F103" s="3">
        <v>4</v>
      </c>
      <c r="G103" s="3" t="s">
        <v>10</v>
      </c>
      <c r="H103" s="3" t="s">
        <v>11</v>
      </c>
      <c r="I103" s="3">
        <v>5</v>
      </c>
      <c r="J103" s="3" t="s">
        <v>12</v>
      </c>
      <c r="K103" s="18">
        <v>96</v>
      </c>
      <c r="L103" s="16">
        <v>120</v>
      </c>
      <c r="M103" s="6" t="str" cm="1">
        <f t="array" ref="M103">_xlfn.IFS(L103&lt;100,"Economy",L103&lt;200,"Standard",L103&lt;350,"Powerful",L103&lt;500,"High Performance",L103&lt;800,"Sports Performance",L103&gt;=800,"Super Performance")</f>
        <v>Standard</v>
      </c>
    </row>
    <row r="104" spans="1:13" x14ac:dyDescent="0.25">
      <c r="A104" s="5" t="s">
        <v>40</v>
      </c>
      <c r="B104" s="3" t="s">
        <v>154</v>
      </c>
      <c r="C104" s="3" t="s">
        <v>159</v>
      </c>
      <c r="D104" s="4">
        <v>764900</v>
      </c>
      <c r="E104" s="3">
        <v>1498</v>
      </c>
      <c r="F104" s="3">
        <v>4</v>
      </c>
      <c r="G104" s="3" t="s">
        <v>36</v>
      </c>
      <c r="H104" s="3" t="s">
        <v>11</v>
      </c>
      <c r="I104" s="3">
        <v>5</v>
      </c>
      <c r="J104" s="3" t="s">
        <v>12</v>
      </c>
      <c r="K104" s="18">
        <v>100</v>
      </c>
      <c r="L104" s="16">
        <v>215</v>
      </c>
      <c r="M104" s="6" t="str" cm="1">
        <f t="array" ref="M104">_xlfn.IFS(L104&lt;100,"Economy",L104&lt;200,"Standard",L104&lt;350,"Powerful",L104&lt;500,"High Performance",L104&lt;800,"Sports Performance",L104&gt;=800,"Super Performance")</f>
        <v>Powerful</v>
      </c>
    </row>
    <row r="105" spans="1:13" x14ac:dyDescent="0.25">
      <c r="A105" s="5" t="s">
        <v>160</v>
      </c>
      <c r="B105" s="3" t="s">
        <v>161</v>
      </c>
      <c r="C105" s="3" t="s">
        <v>162</v>
      </c>
      <c r="D105" s="4">
        <v>3021500</v>
      </c>
      <c r="E105" s="3">
        <v>1968</v>
      </c>
      <c r="F105" s="3">
        <v>4</v>
      </c>
      <c r="G105" s="3" t="s">
        <v>36</v>
      </c>
      <c r="H105" s="3" t="s">
        <v>27</v>
      </c>
      <c r="I105" s="3">
        <v>5</v>
      </c>
      <c r="J105" s="3" t="s">
        <v>30</v>
      </c>
      <c r="K105" s="18">
        <v>180</v>
      </c>
      <c r="L105" s="16">
        <v>350</v>
      </c>
      <c r="M105" s="6" t="str" cm="1">
        <f t="array" ref="M105">_xlfn.IFS(L105&lt;100,"Economy",L105&lt;200,"Standard",L105&lt;350,"Powerful",L105&lt;500,"High Performance",L105&lt;800,"Sports Performance",L105&gt;=800,"Super Performance")</f>
        <v>High Performance</v>
      </c>
    </row>
    <row r="106" spans="1:13" x14ac:dyDescent="0.25">
      <c r="A106" s="5" t="s">
        <v>160</v>
      </c>
      <c r="B106" s="3" t="s">
        <v>161</v>
      </c>
      <c r="C106" s="3" t="s">
        <v>163</v>
      </c>
      <c r="D106" s="4">
        <v>3321500</v>
      </c>
      <c r="E106" s="3">
        <v>1968</v>
      </c>
      <c r="F106" s="3">
        <v>4</v>
      </c>
      <c r="G106" s="3" t="s">
        <v>36</v>
      </c>
      <c r="H106" s="3" t="s">
        <v>27</v>
      </c>
      <c r="I106" s="3">
        <v>5</v>
      </c>
      <c r="J106" s="3" t="s">
        <v>30</v>
      </c>
      <c r="K106" s="18">
        <v>180</v>
      </c>
      <c r="L106" s="16">
        <v>350</v>
      </c>
      <c r="M106" s="6" t="str" cm="1">
        <f t="array" ref="M106">_xlfn.IFS(L106&lt;100,"Economy",L106&lt;200,"Standard",L106&lt;350,"Powerful",L106&lt;500,"High Performance",L106&lt;800,"Sports Performance",L106&gt;=800,"Super Performance")</f>
        <v>High Performance</v>
      </c>
    </row>
    <row r="107" spans="1:13" x14ac:dyDescent="0.25">
      <c r="A107" s="5" t="s">
        <v>160</v>
      </c>
      <c r="B107" s="3" t="s">
        <v>161</v>
      </c>
      <c r="C107" s="3" t="s">
        <v>164</v>
      </c>
      <c r="D107" s="4">
        <v>2599000</v>
      </c>
      <c r="E107" s="3">
        <v>1968</v>
      </c>
      <c r="F107" s="3">
        <v>4</v>
      </c>
      <c r="G107" s="3" t="s">
        <v>36</v>
      </c>
      <c r="H107" s="3" t="s">
        <v>27</v>
      </c>
      <c r="I107" s="3">
        <v>5</v>
      </c>
      <c r="J107" s="3" t="s">
        <v>30</v>
      </c>
      <c r="K107" s="18">
        <v>180</v>
      </c>
      <c r="L107" s="16">
        <v>350</v>
      </c>
      <c r="M107" s="6" t="str" cm="1">
        <f t="array" ref="M107">_xlfn.IFS(L107&lt;100,"Economy",L107&lt;200,"Standard",L107&lt;350,"Powerful",L107&lt;500,"High Performance",L107&lt;800,"Sports Performance",L107&gt;=800,"Super Performance")</f>
        <v>High Performance</v>
      </c>
    </row>
    <row r="108" spans="1:13" x14ac:dyDescent="0.25">
      <c r="A108" s="5" t="s">
        <v>160</v>
      </c>
      <c r="B108" s="3" t="s">
        <v>161</v>
      </c>
      <c r="C108" s="3" t="s">
        <v>165</v>
      </c>
      <c r="D108" s="4">
        <v>2899000</v>
      </c>
      <c r="E108" s="3">
        <v>1968</v>
      </c>
      <c r="F108" s="3">
        <v>4</v>
      </c>
      <c r="G108" s="3" t="s">
        <v>36</v>
      </c>
      <c r="H108" s="3" t="s">
        <v>27</v>
      </c>
      <c r="I108" s="3">
        <v>5</v>
      </c>
      <c r="J108" s="3" t="s">
        <v>30</v>
      </c>
      <c r="K108" s="18">
        <v>180</v>
      </c>
      <c r="L108" s="16">
        <v>350</v>
      </c>
      <c r="M108" s="6" t="str" cm="1">
        <f t="array" ref="M108">_xlfn.IFS(L108&lt;100,"Economy",L108&lt;200,"Standard",L108&lt;350,"Powerful",L108&lt;500,"High Performance",L108&lt;800,"Sports Performance",L108&gt;=800,"Super Performance")</f>
        <v>High Performance</v>
      </c>
    </row>
    <row r="109" spans="1:13" x14ac:dyDescent="0.25">
      <c r="A109" s="5" t="s">
        <v>143</v>
      </c>
      <c r="B109" s="3" t="s">
        <v>166</v>
      </c>
      <c r="C109" s="3" t="s">
        <v>145</v>
      </c>
      <c r="D109" s="4">
        <v>3490000</v>
      </c>
      <c r="E109" s="3">
        <v>1998</v>
      </c>
      <c r="F109" s="3">
        <v>4</v>
      </c>
      <c r="G109" s="3" t="s">
        <v>10</v>
      </c>
      <c r="H109" s="3" t="s">
        <v>11</v>
      </c>
      <c r="I109" s="3">
        <v>5</v>
      </c>
      <c r="J109" s="3" t="s">
        <v>30</v>
      </c>
      <c r="K109" s="18">
        <v>192</v>
      </c>
      <c r="L109" s="16">
        <v>280</v>
      </c>
      <c r="M109" s="6" t="str" cm="1">
        <f t="array" ref="M109">_xlfn.IFS(L109&lt;100,"Economy",L109&lt;200,"Standard",L109&lt;350,"Powerful",L109&lt;500,"High Performance",L109&lt;800,"Sports Performance",L109&gt;=800,"Super Performance")</f>
        <v>Powerful</v>
      </c>
    </row>
    <row r="110" spans="1:13" x14ac:dyDescent="0.25">
      <c r="A110" s="5" t="s">
        <v>143</v>
      </c>
      <c r="B110" s="3" t="s">
        <v>166</v>
      </c>
      <c r="C110" s="3" t="s">
        <v>167</v>
      </c>
      <c r="D110" s="4">
        <v>3740000</v>
      </c>
      <c r="E110" s="3">
        <v>1998</v>
      </c>
      <c r="F110" s="3">
        <v>4</v>
      </c>
      <c r="G110" s="3" t="s">
        <v>36</v>
      </c>
      <c r="H110" s="3" t="s">
        <v>11</v>
      </c>
      <c r="I110" s="3">
        <v>5</v>
      </c>
      <c r="J110" s="3" t="s">
        <v>30</v>
      </c>
      <c r="K110" s="18">
        <v>190</v>
      </c>
      <c r="L110" s="16">
        <v>400</v>
      </c>
      <c r="M110" s="6" t="str" cm="1">
        <f t="array" ref="M110">_xlfn.IFS(L110&lt;100,"Economy",L110&lt;200,"Standard",L110&lt;350,"Powerful",L110&lt;500,"High Performance",L110&lt;800,"Sports Performance",L110&gt;=800,"Super Performance")</f>
        <v>High Performance</v>
      </c>
    </row>
    <row r="111" spans="1:13" x14ac:dyDescent="0.25">
      <c r="A111" s="5" t="s">
        <v>143</v>
      </c>
      <c r="B111" s="3" t="s">
        <v>166</v>
      </c>
      <c r="C111" s="3" t="s">
        <v>168</v>
      </c>
      <c r="D111" s="4">
        <v>4140000</v>
      </c>
      <c r="E111" s="3">
        <v>1998</v>
      </c>
      <c r="F111" s="3">
        <v>4</v>
      </c>
      <c r="G111" s="3" t="s">
        <v>10</v>
      </c>
      <c r="H111" s="3" t="s">
        <v>11</v>
      </c>
      <c r="I111" s="3">
        <v>5</v>
      </c>
      <c r="J111" s="3" t="s">
        <v>30</v>
      </c>
      <c r="K111" s="18">
        <v>192</v>
      </c>
      <c r="L111" s="16">
        <v>280</v>
      </c>
      <c r="M111" s="6" t="str" cm="1">
        <f t="array" ref="M111">_xlfn.IFS(L111&lt;100,"Economy",L111&lt;200,"Standard",L111&lt;350,"Powerful",L111&lt;500,"High Performance",L111&lt;800,"Sports Performance",L111&gt;=800,"Super Performance")</f>
        <v>Powerful</v>
      </c>
    </row>
    <row r="112" spans="1:13" x14ac:dyDescent="0.25">
      <c r="A112" s="5" t="s">
        <v>143</v>
      </c>
      <c r="B112" s="3" t="s">
        <v>166</v>
      </c>
      <c r="C112" s="3" t="s">
        <v>169</v>
      </c>
      <c r="D112" s="4">
        <v>4240000</v>
      </c>
      <c r="E112" s="3">
        <v>1998</v>
      </c>
      <c r="F112" s="3">
        <v>4</v>
      </c>
      <c r="G112" s="3" t="s">
        <v>10</v>
      </c>
      <c r="H112" s="3" t="s">
        <v>11</v>
      </c>
      <c r="I112" s="3">
        <v>5</v>
      </c>
      <c r="J112" s="3" t="s">
        <v>30</v>
      </c>
      <c r="K112" s="18">
        <v>192</v>
      </c>
      <c r="L112" s="16">
        <v>280</v>
      </c>
      <c r="M112" s="6" t="str" cm="1">
        <f t="array" ref="M112">_xlfn.IFS(L112&lt;100,"Economy",L112&lt;200,"Standard",L112&lt;350,"Powerful",L112&lt;500,"High Performance",L112&lt;800,"Sports Performance",L112&gt;=800,"Super Performance")</f>
        <v>Powerful</v>
      </c>
    </row>
    <row r="113" spans="1:13" x14ac:dyDescent="0.25">
      <c r="A113" s="5" t="s">
        <v>170</v>
      </c>
      <c r="B113" s="3" t="s">
        <v>171</v>
      </c>
      <c r="C113" s="3" t="s">
        <v>172</v>
      </c>
      <c r="D113" s="4">
        <v>6060000</v>
      </c>
      <c r="E113" s="3">
        <v>2494</v>
      </c>
      <c r="F113" s="3">
        <v>6</v>
      </c>
      <c r="G113" s="3" t="s">
        <v>10</v>
      </c>
      <c r="H113" s="3" t="s">
        <v>66</v>
      </c>
      <c r="I113" s="3">
        <v>5</v>
      </c>
      <c r="J113" s="3" t="s">
        <v>30</v>
      </c>
      <c r="K113" s="18">
        <v>194</v>
      </c>
      <c r="L113" s="16">
        <v>210</v>
      </c>
      <c r="M113" s="6" t="str" cm="1">
        <f t="array" ref="M113">_xlfn.IFS(L113&lt;100,"Economy",L113&lt;200,"Standard",L113&lt;350,"Powerful",L113&lt;500,"High Performance",L113&lt;800,"Sports Performance",L113&gt;=800,"Super Performance")</f>
        <v>Powerful</v>
      </c>
    </row>
    <row r="114" spans="1:13" x14ac:dyDescent="0.25">
      <c r="A114" s="5" t="s">
        <v>170</v>
      </c>
      <c r="B114" s="3" t="s">
        <v>171</v>
      </c>
      <c r="C114" s="3" t="s">
        <v>173</v>
      </c>
      <c r="D114" s="4">
        <v>5990000</v>
      </c>
      <c r="E114" s="3">
        <v>2494</v>
      </c>
      <c r="F114" s="3">
        <v>6</v>
      </c>
      <c r="G114" s="3" t="s">
        <v>10</v>
      </c>
      <c r="H114" s="3" t="s">
        <v>66</v>
      </c>
      <c r="I114" s="3">
        <v>5</v>
      </c>
      <c r="J114" s="3" t="s">
        <v>30</v>
      </c>
      <c r="K114" s="18">
        <v>194</v>
      </c>
      <c r="L114" s="16">
        <v>210</v>
      </c>
      <c r="M114" s="6" t="str" cm="1">
        <f t="array" ref="M114">_xlfn.IFS(L114&lt;100,"Economy",L114&lt;200,"Standard",L114&lt;350,"Powerful",L114&lt;500,"High Performance",L114&lt;800,"Sports Performance",L114&gt;=800,"Super Performance")</f>
        <v>Powerful</v>
      </c>
    </row>
    <row r="115" spans="1:13" x14ac:dyDescent="0.25">
      <c r="A115" s="5" t="s">
        <v>90</v>
      </c>
      <c r="B115" s="3" t="s">
        <v>174</v>
      </c>
      <c r="C115" s="3" t="s">
        <v>175</v>
      </c>
      <c r="D115" s="4">
        <v>7370000</v>
      </c>
      <c r="E115" s="3">
        <v>1950</v>
      </c>
      <c r="F115" s="3">
        <v>4</v>
      </c>
      <c r="G115" s="3" t="s">
        <v>36</v>
      </c>
      <c r="H115" s="3" t="s">
        <v>66</v>
      </c>
      <c r="I115" s="3">
        <v>5</v>
      </c>
      <c r="J115" s="3" t="s">
        <v>30</v>
      </c>
      <c r="K115" s="18">
        <v>245</v>
      </c>
      <c r="L115" s="16">
        <v>500</v>
      </c>
      <c r="M115" s="6" t="str" cm="1">
        <f t="array" ref="M115">_xlfn.IFS(L115&lt;100,"Economy",L115&lt;200,"Standard",L115&lt;350,"Powerful",L115&lt;500,"High Performance",L115&lt;800,"Sports Performance",L115&gt;=800,"Super Performance")</f>
        <v>Sports Performance</v>
      </c>
    </row>
    <row r="116" spans="1:13" x14ac:dyDescent="0.25">
      <c r="A116" s="5" t="s">
        <v>90</v>
      </c>
      <c r="B116" s="3" t="s">
        <v>174</v>
      </c>
      <c r="C116" s="3" t="s">
        <v>176</v>
      </c>
      <c r="D116" s="4">
        <v>12500000</v>
      </c>
      <c r="E116" s="3">
        <v>2925</v>
      </c>
      <c r="F116" s="3">
        <v>6</v>
      </c>
      <c r="G116" s="3" t="s">
        <v>36</v>
      </c>
      <c r="H116" s="3" t="s">
        <v>66</v>
      </c>
      <c r="I116" s="3">
        <v>5</v>
      </c>
      <c r="J116" s="3" t="s">
        <v>30</v>
      </c>
      <c r="K116" s="18">
        <v>330</v>
      </c>
      <c r="L116" s="16">
        <v>700</v>
      </c>
      <c r="M116" s="6" t="str" cm="1">
        <f t="array" ref="M116">_xlfn.IFS(L116&lt;100,"Economy",L116&lt;200,"Standard",L116&lt;350,"Powerful",L116&lt;500,"High Performance",L116&lt;800,"Sports Performance",L116&gt;=800,"Super Performance")</f>
        <v>Sports Performance</v>
      </c>
    </row>
    <row r="117" spans="1:13" x14ac:dyDescent="0.25">
      <c r="A117" s="5" t="s">
        <v>90</v>
      </c>
      <c r="B117" s="3" t="s">
        <v>177</v>
      </c>
      <c r="C117" s="3" t="s">
        <v>178</v>
      </c>
      <c r="D117" s="4">
        <v>8470000</v>
      </c>
      <c r="E117" s="3">
        <v>1950</v>
      </c>
      <c r="F117" s="3">
        <v>4</v>
      </c>
      <c r="G117" s="3" t="s">
        <v>36</v>
      </c>
      <c r="H117" s="3" t="s">
        <v>27</v>
      </c>
      <c r="I117" s="3">
        <v>5</v>
      </c>
      <c r="J117" s="3" t="s">
        <v>30</v>
      </c>
      <c r="K117" s="18">
        <v>245</v>
      </c>
      <c r="L117" s="16">
        <v>500</v>
      </c>
      <c r="M117" s="6" t="str" cm="1">
        <f t="array" ref="M117">_xlfn.IFS(L117&lt;100,"Economy",L117&lt;200,"Standard",L117&lt;350,"Powerful",L117&lt;500,"High Performance",L117&lt;800,"Sports Performance",L117&gt;=800,"Super Performance")</f>
        <v>Sports Performance</v>
      </c>
    </row>
    <row r="118" spans="1:13" x14ac:dyDescent="0.25">
      <c r="A118" s="5" t="s">
        <v>7</v>
      </c>
      <c r="B118" s="3" t="s">
        <v>179</v>
      </c>
      <c r="C118" s="3" t="s">
        <v>180</v>
      </c>
      <c r="D118" s="4">
        <v>790350</v>
      </c>
      <c r="E118" s="3">
        <v>1186</v>
      </c>
      <c r="F118" s="3">
        <v>3</v>
      </c>
      <c r="G118" s="3" t="s">
        <v>36</v>
      </c>
      <c r="H118" s="3" t="s">
        <v>11</v>
      </c>
      <c r="I118" s="3">
        <v>5</v>
      </c>
      <c r="J118" s="3" t="s">
        <v>30</v>
      </c>
      <c r="K118" s="18">
        <v>75</v>
      </c>
      <c r="L118" s="16">
        <v>190</v>
      </c>
      <c r="M118" s="6" t="str" cm="1">
        <f t="array" ref="M118">_xlfn.IFS(L118&lt;100,"Economy",L118&lt;200,"Standard",L118&lt;350,"Powerful",L118&lt;500,"High Performance",L118&lt;800,"Sports Performance",L118&gt;=800,"Super Performance")</f>
        <v>Standard</v>
      </c>
    </row>
    <row r="119" spans="1:13" x14ac:dyDescent="0.25">
      <c r="A119" s="5" t="s">
        <v>7</v>
      </c>
      <c r="B119" s="3" t="s">
        <v>179</v>
      </c>
      <c r="C119" s="3" t="s">
        <v>181</v>
      </c>
      <c r="D119" s="4">
        <v>804450</v>
      </c>
      <c r="E119" s="3">
        <v>1186</v>
      </c>
      <c r="F119" s="3">
        <v>3</v>
      </c>
      <c r="G119" s="3" t="s">
        <v>36</v>
      </c>
      <c r="H119" s="3" t="s">
        <v>11</v>
      </c>
      <c r="I119" s="3">
        <v>5</v>
      </c>
      <c r="J119" s="3" t="s">
        <v>12</v>
      </c>
      <c r="K119" s="18">
        <v>75</v>
      </c>
      <c r="L119" s="16">
        <v>190</v>
      </c>
      <c r="M119" s="6" t="str" cm="1">
        <f t="array" ref="M119">_xlfn.IFS(L119&lt;100,"Economy",L119&lt;200,"Standard",L119&lt;350,"Powerful",L119&lt;500,"High Performance",L119&lt;800,"Sports Performance",L119&gt;=800,"Super Performance")</f>
        <v>Standard</v>
      </c>
    </row>
    <row r="120" spans="1:13" x14ac:dyDescent="0.25">
      <c r="A120" s="5" t="s">
        <v>182</v>
      </c>
      <c r="B120" s="3" t="s">
        <v>183</v>
      </c>
      <c r="C120" s="3" t="s">
        <v>99</v>
      </c>
      <c r="D120" s="4">
        <v>479000</v>
      </c>
      <c r="E120" s="3">
        <v>998</v>
      </c>
      <c r="F120" s="3">
        <v>3</v>
      </c>
      <c r="G120" s="3" t="s">
        <v>10</v>
      </c>
      <c r="H120" s="3" t="s">
        <v>11</v>
      </c>
      <c r="I120" s="3">
        <v>5</v>
      </c>
      <c r="J120" s="3" t="s">
        <v>12</v>
      </c>
      <c r="K120" s="18">
        <v>68</v>
      </c>
      <c r="L120" s="16">
        <v>90</v>
      </c>
      <c r="M120" s="6" t="str" cm="1">
        <f t="array" ref="M120">_xlfn.IFS(L120&lt;100,"Economy",L120&lt;200,"Standard",L120&lt;350,"Powerful",L120&lt;500,"High Performance",L120&lt;800,"Sports Performance",L120&gt;=800,"Super Performance")</f>
        <v>Economy</v>
      </c>
    </row>
    <row r="121" spans="1:13" x14ac:dyDescent="0.25">
      <c r="A121" s="5" t="s">
        <v>182</v>
      </c>
      <c r="B121" s="3" t="s">
        <v>183</v>
      </c>
      <c r="C121" s="3" t="s">
        <v>101</v>
      </c>
      <c r="D121" s="4">
        <v>526000</v>
      </c>
      <c r="E121" s="3">
        <v>998</v>
      </c>
      <c r="F121" s="3">
        <v>3</v>
      </c>
      <c r="G121" s="3" t="s">
        <v>10</v>
      </c>
      <c r="H121" s="3" t="s">
        <v>11</v>
      </c>
      <c r="I121" s="3">
        <v>5</v>
      </c>
      <c r="J121" s="3" t="s">
        <v>30</v>
      </c>
      <c r="K121" s="18">
        <v>68</v>
      </c>
      <c r="L121" s="16">
        <v>90</v>
      </c>
      <c r="M121" s="6" t="str" cm="1">
        <f t="array" ref="M121">_xlfn.IFS(L121&lt;100,"Economy",L121&lt;200,"Standard",L121&lt;350,"Powerful",L121&lt;500,"High Performance",L121&lt;800,"Sports Performance",L121&gt;=800,"Super Performance")</f>
        <v>Economy</v>
      </c>
    </row>
    <row r="122" spans="1:13" x14ac:dyDescent="0.25">
      <c r="A122" s="5" t="s">
        <v>182</v>
      </c>
      <c r="B122" s="3" t="s">
        <v>183</v>
      </c>
      <c r="C122" s="3" t="s">
        <v>184</v>
      </c>
      <c r="D122" s="4">
        <v>548000</v>
      </c>
      <c r="E122" s="3">
        <v>1197</v>
      </c>
      <c r="F122" s="3">
        <v>3</v>
      </c>
      <c r="G122" s="3" t="s">
        <v>10</v>
      </c>
      <c r="H122" s="3" t="s">
        <v>11</v>
      </c>
      <c r="I122" s="3">
        <v>5</v>
      </c>
      <c r="J122" s="3" t="s">
        <v>12</v>
      </c>
      <c r="K122" s="18">
        <v>83</v>
      </c>
      <c r="L122" s="16">
        <v>1130</v>
      </c>
      <c r="M122" s="6" t="str" cm="1">
        <f t="array" ref="M122">_xlfn.IFS(L122&lt;100,"Economy",L122&lt;200,"Standard",L122&lt;350,"Powerful",L122&lt;500,"High Performance",L122&lt;800,"Sports Performance",L122&gt;=800,"Super Performance")</f>
        <v>Super Performance</v>
      </c>
    </row>
    <row r="123" spans="1:13" x14ac:dyDescent="0.25">
      <c r="A123" s="5" t="s">
        <v>182</v>
      </c>
      <c r="B123" s="3" t="s">
        <v>183</v>
      </c>
      <c r="C123" s="3" t="s">
        <v>97</v>
      </c>
      <c r="D123" s="4">
        <v>434000</v>
      </c>
      <c r="E123" s="3">
        <v>998</v>
      </c>
      <c r="F123" s="3">
        <v>3</v>
      </c>
      <c r="G123" s="3" t="s">
        <v>10</v>
      </c>
      <c r="H123" s="3" t="s">
        <v>11</v>
      </c>
      <c r="I123" s="3">
        <v>5</v>
      </c>
      <c r="J123" s="3" t="s">
        <v>12</v>
      </c>
      <c r="K123" s="18">
        <v>68</v>
      </c>
      <c r="L123" s="16">
        <v>90</v>
      </c>
      <c r="M123" s="6" t="str" cm="1">
        <f t="array" ref="M123">_xlfn.IFS(L123&lt;100,"Economy",L123&lt;200,"Standard",L123&lt;350,"Powerful",L123&lt;500,"High Performance",L123&lt;800,"Sports Performance",L123&gt;=800,"Super Performance")</f>
        <v>Economy</v>
      </c>
    </row>
    <row r="124" spans="1:13" x14ac:dyDescent="0.25">
      <c r="A124" s="5" t="s">
        <v>182</v>
      </c>
      <c r="B124" s="3" t="s">
        <v>183</v>
      </c>
      <c r="C124" s="3" t="s">
        <v>185</v>
      </c>
      <c r="D124" s="4">
        <v>513501</v>
      </c>
      <c r="E124" s="3">
        <v>1197</v>
      </c>
      <c r="F124" s="3">
        <v>3</v>
      </c>
      <c r="G124" s="3" t="s">
        <v>10</v>
      </c>
      <c r="H124" s="3" t="s">
        <v>11</v>
      </c>
      <c r="I124" s="3">
        <v>5</v>
      </c>
      <c r="J124" s="3" t="s">
        <v>12</v>
      </c>
      <c r="K124" s="18">
        <v>83</v>
      </c>
      <c r="L124" s="16">
        <v>113</v>
      </c>
      <c r="M124" s="6" t="str" cm="1">
        <f t="array" ref="M124">_xlfn.IFS(L124&lt;100,"Economy",L124&lt;200,"Standard",L124&lt;350,"Powerful",L124&lt;500,"High Performance",L124&lt;800,"Sports Performance",L124&gt;=800,"Super Performance")</f>
        <v>Standard</v>
      </c>
    </row>
    <row r="125" spans="1:13" x14ac:dyDescent="0.25">
      <c r="A125" s="5" t="s">
        <v>182</v>
      </c>
      <c r="B125" s="3" t="s">
        <v>183</v>
      </c>
      <c r="C125" s="3" t="s">
        <v>186</v>
      </c>
      <c r="D125" s="4">
        <v>560500</v>
      </c>
      <c r="E125" s="3">
        <v>1197</v>
      </c>
      <c r="F125" s="3">
        <v>3</v>
      </c>
      <c r="G125" s="3" t="s">
        <v>10</v>
      </c>
      <c r="H125" s="3" t="s">
        <v>11</v>
      </c>
      <c r="I125" s="3">
        <v>5</v>
      </c>
      <c r="J125" s="3" t="s">
        <v>30</v>
      </c>
      <c r="K125" s="18">
        <v>83</v>
      </c>
      <c r="L125" s="16">
        <v>113</v>
      </c>
      <c r="M125" s="6" t="str" cm="1">
        <f t="array" ref="M125">_xlfn.IFS(L125&lt;100,"Economy",L125&lt;200,"Standard",L125&lt;350,"Powerful",L125&lt;500,"High Performance",L125&lt;800,"Sports Performance",L125&gt;=800,"Super Performance")</f>
        <v>Standard</v>
      </c>
    </row>
    <row r="126" spans="1:13" x14ac:dyDescent="0.25">
      <c r="A126" s="5" t="s">
        <v>182</v>
      </c>
      <c r="B126" s="3" t="s">
        <v>183</v>
      </c>
      <c r="C126" s="3" t="s">
        <v>187</v>
      </c>
      <c r="D126" s="4">
        <v>594800</v>
      </c>
      <c r="E126" s="3">
        <v>1197</v>
      </c>
      <c r="F126" s="3">
        <v>3</v>
      </c>
      <c r="G126" s="3" t="s">
        <v>10</v>
      </c>
      <c r="H126" s="3" t="s">
        <v>11</v>
      </c>
      <c r="I126" s="3">
        <v>5</v>
      </c>
      <c r="J126" s="3" t="s">
        <v>30</v>
      </c>
      <c r="K126" s="18">
        <v>83</v>
      </c>
      <c r="L126" s="16">
        <v>113</v>
      </c>
      <c r="M126" s="6" t="str" cm="1">
        <f t="array" ref="M126">_xlfn.IFS(L126&lt;100,"Economy",L126&lt;200,"Standard",L126&lt;350,"Powerful",L126&lt;500,"High Performance",L126&lt;800,"Sports Performance",L126&gt;=800,"Super Performance")</f>
        <v>Standard</v>
      </c>
    </row>
    <row r="127" spans="1:13" x14ac:dyDescent="0.25">
      <c r="A127" s="5" t="s">
        <v>182</v>
      </c>
      <c r="B127" s="3" t="s">
        <v>183</v>
      </c>
      <c r="C127" s="3" t="s">
        <v>98</v>
      </c>
      <c r="D127" s="4">
        <v>441000</v>
      </c>
      <c r="E127" s="3">
        <v>998</v>
      </c>
      <c r="F127" s="3">
        <v>3</v>
      </c>
      <c r="G127" s="3" t="s">
        <v>10</v>
      </c>
      <c r="H127" s="3" t="s">
        <v>11</v>
      </c>
      <c r="I127" s="3">
        <v>5</v>
      </c>
      <c r="J127" s="3" t="s">
        <v>12</v>
      </c>
      <c r="K127" s="18">
        <v>68</v>
      </c>
      <c r="L127" s="16">
        <v>90</v>
      </c>
      <c r="M127" s="6" t="str" cm="1">
        <f t="array" ref="M127">_xlfn.IFS(L127&lt;100,"Economy",L127&lt;200,"Standard",L127&lt;350,"Powerful",L127&lt;500,"High Performance",L127&lt;800,"Sports Performance",L127&gt;=800,"Super Performance")</f>
        <v>Economy</v>
      </c>
    </row>
    <row r="128" spans="1:13" x14ac:dyDescent="0.25">
      <c r="A128" s="5" t="s">
        <v>182</v>
      </c>
      <c r="B128" s="3" t="s">
        <v>183</v>
      </c>
      <c r="C128" s="3" t="s">
        <v>100</v>
      </c>
      <c r="D128" s="4">
        <v>486001</v>
      </c>
      <c r="E128" s="3">
        <v>998</v>
      </c>
      <c r="F128" s="3">
        <v>3</v>
      </c>
      <c r="G128" s="3" t="s">
        <v>10</v>
      </c>
      <c r="H128" s="3" t="s">
        <v>11</v>
      </c>
      <c r="I128" s="3">
        <v>5</v>
      </c>
      <c r="J128" s="3" t="s">
        <v>12</v>
      </c>
      <c r="K128" s="18">
        <v>68</v>
      </c>
      <c r="L128" s="16">
        <v>90</v>
      </c>
      <c r="M128" s="6" t="str" cm="1">
        <f t="array" ref="M128">_xlfn.IFS(L128&lt;100,"Economy",L128&lt;200,"Standard",L128&lt;350,"Powerful",L128&lt;500,"High Performance",L128&lt;800,"Sports Performance",L128&gt;=800,"Super Performance")</f>
        <v>Economy</v>
      </c>
    </row>
    <row r="129" spans="1:13" x14ac:dyDescent="0.25">
      <c r="A129" s="5" t="s">
        <v>182</v>
      </c>
      <c r="B129" s="3" t="s">
        <v>183</v>
      </c>
      <c r="C129" s="3" t="s">
        <v>188</v>
      </c>
      <c r="D129" s="4">
        <v>520500</v>
      </c>
      <c r="E129" s="3">
        <v>1197</v>
      </c>
      <c r="F129" s="3">
        <v>3</v>
      </c>
      <c r="G129" s="3" t="s">
        <v>10</v>
      </c>
      <c r="H129" s="3" t="s">
        <v>11</v>
      </c>
      <c r="I129" s="3">
        <v>5</v>
      </c>
      <c r="J129" s="3" t="s">
        <v>12</v>
      </c>
      <c r="K129" s="18">
        <v>83</v>
      </c>
      <c r="L129" s="16">
        <v>113</v>
      </c>
      <c r="M129" s="6" t="str" cm="1">
        <f t="array" ref="M129">_xlfn.IFS(L129&lt;100,"Economy",L129&lt;200,"Standard",L129&lt;350,"Powerful",L129&lt;500,"High Performance",L129&lt;800,"Sports Performance",L129&gt;=800,"Super Performance")</f>
        <v>Standard</v>
      </c>
    </row>
    <row r="130" spans="1:13" x14ac:dyDescent="0.25">
      <c r="A130" s="5" t="s">
        <v>182</v>
      </c>
      <c r="B130" s="3" t="s">
        <v>183</v>
      </c>
      <c r="C130" s="3" t="s">
        <v>189</v>
      </c>
      <c r="D130" s="4">
        <v>567500</v>
      </c>
      <c r="E130" s="3">
        <v>1197</v>
      </c>
      <c r="F130" s="3">
        <v>3</v>
      </c>
      <c r="G130" s="3" t="s">
        <v>10</v>
      </c>
      <c r="H130" s="3" t="s">
        <v>11</v>
      </c>
      <c r="I130" s="3">
        <v>5</v>
      </c>
      <c r="J130" s="3" t="s">
        <v>30</v>
      </c>
      <c r="K130" s="18">
        <v>83</v>
      </c>
      <c r="L130" s="16">
        <v>113</v>
      </c>
      <c r="M130" s="6" t="str" cm="1">
        <f t="array" ref="M130">_xlfn.IFS(L130&lt;100,"Economy",L130&lt;200,"Standard",L130&lt;350,"Powerful",L130&lt;500,"High Performance",L130&lt;800,"Sports Performance",L130&gt;=800,"Super Performance")</f>
        <v>Standard</v>
      </c>
    </row>
    <row r="131" spans="1:13" x14ac:dyDescent="0.25">
      <c r="A131" s="5" t="s">
        <v>182</v>
      </c>
      <c r="B131" s="3" t="s">
        <v>183</v>
      </c>
      <c r="C131" s="3" t="s">
        <v>190</v>
      </c>
      <c r="D131" s="4">
        <v>533000</v>
      </c>
      <c r="E131" s="3">
        <v>998</v>
      </c>
      <c r="F131" s="3">
        <v>3</v>
      </c>
      <c r="G131" s="3" t="s">
        <v>10</v>
      </c>
      <c r="H131" s="3" t="s">
        <v>11</v>
      </c>
      <c r="I131" s="3">
        <v>5</v>
      </c>
      <c r="J131" s="3" t="s">
        <v>30</v>
      </c>
      <c r="K131" s="18">
        <v>68</v>
      </c>
      <c r="L131" s="16">
        <v>90</v>
      </c>
      <c r="M131" s="6" t="str" cm="1">
        <f t="array" ref="M131">_xlfn.IFS(L131&lt;100,"Economy",L131&lt;200,"Standard",L131&lt;350,"Powerful",L131&lt;500,"High Performance",L131&lt;800,"Sports Performance",L131&gt;=800,"Super Performance")</f>
        <v>Economy</v>
      </c>
    </row>
    <row r="132" spans="1:13" x14ac:dyDescent="0.25">
      <c r="A132" s="5" t="s">
        <v>182</v>
      </c>
      <c r="B132" s="3" t="s">
        <v>183</v>
      </c>
      <c r="C132" s="3" t="s">
        <v>191</v>
      </c>
      <c r="D132" s="4">
        <v>500500</v>
      </c>
      <c r="E132" s="3">
        <v>998</v>
      </c>
      <c r="F132" s="3">
        <v>3</v>
      </c>
      <c r="G132" s="3" t="s">
        <v>15</v>
      </c>
      <c r="H132" s="3" t="s">
        <v>11</v>
      </c>
      <c r="I132" s="3">
        <v>5</v>
      </c>
      <c r="J132" s="3" t="s">
        <v>12</v>
      </c>
      <c r="K132" s="18">
        <v>68</v>
      </c>
      <c r="L132" s="16">
        <v>90</v>
      </c>
      <c r="M132" s="6" t="str" cm="1">
        <f t="array" ref="M132">_xlfn.IFS(L132&lt;100,"Economy",L132&lt;200,"Standard",L132&lt;350,"Powerful",L132&lt;500,"High Performance",L132&lt;800,"Sports Performance",L132&gt;=800,"Super Performance")</f>
        <v>Economy</v>
      </c>
    </row>
    <row r="133" spans="1:13" x14ac:dyDescent="0.25">
      <c r="A133" s="5" t="s">
        <v>182</v>
      </c>
      <c r="B133" s="3" t="s">
        <v>183</v>
      </c>
      <c r="C133" s="3" t="s">
        <v>192</v>
      </c>
      <c r="D133" s="4">
        <v>507500</v>
      </c>
      <c r="E133" s="3">
        <v>998</v>
      </c>
      <c r="F133" s="3">
        <v>3</v>
      </c>
      <c r="G133" s="3" t="s">
        <v>15</v>
      </c>
      <c r="H133" s="3" t="s">
        <v>11</v>
      </c>
      <c r="I133" s="3">
        <v>5</v>
      </c>
      <c r="J133" s="3" t="s">
        <v>12</v>
      </c>
      <c r="K133" s="18">
        <v>68</v>
      </c>
      <c r="L133" s="16">
        <v>90</v>
      </c>
      <c r="M133" s="6" t="str" cm="1">
        <f t="array" ref="M133">_xlfn.IFS(L133&lt;100,"Economy",L133&lt;200,"Standard",L133&lt;350,"Powerful",L133&lt;500,"High Performance",L133&lt;800,"Sports Performance",L133&gt;=800,"Super Performance")</f>
        <v>Economy</v>
      </c>
    </row>
    <row r="134" spans="1:13" x14ac:dyDescent="0.25">
      <c r="A134" s="5" t="s">
        <v>55</v>
      </c>
      <c r="B134" s="3" t="s">
        <v>193</v>
      </c>
      <c r="C134" s="3" t="s">
        <v>194</v>
      </c>
      <c r="D134" s="4">
        <v>3788000</v>
      </c>
      <c r="E134" s="3">
        <v>2487</v>
      </c>
      <c r="F134" s="3">
        <v>4</v>
      </c>
      <c r="G134" s="3" t="s">
        <v>194</v>
      </c>
      <c r="H134" s="3" t="s">
        <v>27</v>
      </c>
      <c r="I134" s="3">
        <v>5</v>
      </c>
      <c r="J134" s="3" t="s">
        <v>30</v>
      </c>
      <c r="K134" s="18">
        <v>178</v>
      </c>
      <c r="L134" s="16">
        <v>221</v>
      </c>
      <c r="M134" s="6" t="str" cm="1">
        <f t="array" ref="M134">_xlfn.IFS(L134&lt;100,"Economy",L134&lt;200,"Standard",L134&lt;350,"Powerful",L134&lt;500,"High Performance",L134&lt;800,"Sports Performance",L134&gt;=800,"Super Performance")</f>
        <v>Powerful</v>
      </c>
    </row>
    <row r="135" spans="1:13" x14ac:dyDescent="0.25">
      <c r="A135" s="5" t="s">
        <v>68</v>
      </c>
      <c r="B135" s="3" t="s">
        <v>195</v>
      </c>
      <c r="C135" s="3" t="s">
        <v>77</v>
      </c>
      <c r="D135" s="4">
        <v>6061200</v>
      </c>
      <c r="E135" s="3">
        <v>1968</v>
      </c>
      <c r="F135" s="3">
        <v>4</v>
      </c>
      <c r="G135" s="3" t="s">
        <v>36</v>
      </c>
      <c r="H135" s="3" t="s">
        <v>27</v>
      </c>
      <c r="I135" s="3">
        <v>5</v>
      </c>
      <c r="J135" s="3" t="s">
        <v>30</v>
      </c>
      <c r="K135" s="18">
        <v>190</v>
      </c>
      <c r="L135" s="16">
        <v>400</v>
      </c>
      <c r="M135" s="6" t="str" cm="1">
        <f t="array" ref="M135">_xlfn.IFS(L135&lt;100,"Economy",L135&lt;200,"Standard",L135&lt;350,"Powerful",L135&lt;500,"High Performance",L135&lt;800,"Sports Performance",L135&gt;=800,"Super Performance")</f>
        <v>High Performance</v>
      </c>
    </row>
    <row r="136" spans="1:13" x14ac:dyDescent="0.25">
      <c r="A136" s="5" t="s">
        <v>170</v>
      </c>
      <c r="B136" s="3" t="s">
        <v>196</v>
      </c>
      <c r="C136" s="3" t="s">
        <v>173</v>
      </c>
      <c r="D136" s="4">
        <v>18221000</v>
      </c>
      <c r="E136" s="3">
        <v>3456</v>
      </c>
      <c r="F136" s="3">
        <v>6</v>
      </c>
      <c r="G136" s="3" t="s">
        <v>194</v>
      </c>
      <c r="H136" s="3" t="s">
        <v>66</v>
      </c>
      <c r="I136" s="3">
        <v>5</v>
      </c>
      <c r="J136" s="3" t="s">
        <v>30</v>
      </c>
      <c r="K136" s="18">
        <v>299</v>
      </c>
      <c r="L136" s="16">
        <v>350</v>
      </c>
      <c r="M136" s="6" t="str" cm="1">
        <f t="array" ref="M136">_xlfn.IFS(L136&lt;100,"Economy",L136&lt;200,"Standard",L136&lt;350,"Powerful",L136&lt;500,"High Performance",L136&lt;800,"Sports Performance",L136&gt;=800,"Super Performance")</f>
        <v>High Performance</v>
      </c>
    </row>
    <row r="137" spans="1:13" x14ac:dyDescent="0.25">
      <c r="A137" s="5" t="s">
        <v>170</v>
      </c>
      <c r="B137" s="3" t="s">
        <v>196</v>
      </c>
      <c r="C137" s="3" t="s">
        <v>197</v>
      </c>
      <c r="D137" s="4">
        <v>18736000</v>
      </c>
      <c r="E137" s="3">
        <v>3456</v>
      </c>
      <c r="F137" s="3">
        <v>6</v>
      </c>
      <c r="G137" s="3" t="s">
        <v>194</v>
      </c>
      <c r="H137" s="3" t="s">
        <v>66</v>
      </c>
      <c r="I137" s="3">
        <v>5</v>
      </c>
      <c r="J137" s="3" t="s">
        <v>30</v>
      </c>
      <c r="K137" s="18">
        <v>299</v>
      </c>
      <c r="L137" s="16">
        <v>350</v>
      </c>
      <c r="M137" s="6" t="str" cm="1">
        <f t="array" ref="M137">_xlfn.IFS(L137&lt;100,"Economy",L137&lt;200,"Standard",L137&lt;350,"Powerful",L137&lt;500,"High Performance",L137&lt;800,"Sports Performance",L137&gt;=800,"Super Performance")</f>
        <v>High Performance</v>
      </c>
    </row>
    <row r="138" spans="1:13" x14ac:dyDescent="0.25">
      <c r="A138" s="5" t="s">
        <v>170</v>
      </c>
      <c r="B138" s="3" t="s">
        <v>196</v>
      </c>
      <c r="C138" s="3" t="s">
        <v>198</v>
      </c>
      <c r="D138" s="4">
        <v>19371000</v>
      </c>
      <c r="E138" s="3">
        <v>3456</v>
      </c>
      <c r="F138" s="3">
        <v>6</v>
      </c>
      <c r="G138" s="3" t="s">
        <v>194</v>
      </c>
      <c r="H138" s="3" t="s">
        <v>66</v>
      </c>
      <c r="I138" s="3">
        <v>5</v>
      </c>
      <c r="J138" s="3" t="s">
        <v>30</v>
      </c>
      <c r="K138" s="18">
        <v>299</v>
      </c>
      <c r="L138" s="16">
        <v>350</v>
      </c>
      <c r="M138" s="6" t="str" cm="1">
        <f t="array" ref="M138">_xlfn.IFS(L138&lt;100,"Economy",L138&lt;200,"Standard",L138&lt;350,"Powerful",L138&lt;500,"High Performance",L138&lt;800,"Sports Performance",L138&gt;=800,"Super Performance")</f>
        <v>High Performance</v>
      </c>
    </row>
    <row r="139" spans="1:13" x14ac:dyDescent="0.25">
      <c r="A139" s="5" t="s">
        <v>90</v>
      </c>
      <c r="B139" s="3" t="s">
        <v>199</v>
      </c>
      <c r="C139" s="3" t="s">
        <v>200</v>
      </c>
      <c r="D139" s="4">
        <v>5275000</v>
      </c>
      <c r="E139" s="3">
        <v>1991</v>
      </c>
      <c r="F139" s="3">
        <v>4</v>
      </c>
      <c r="G139" s="3" t="s">
        <v>10</v>
      </c>
      <c r="H139" s="3" t="s">
        <v>66</v>
      </c>
      <c r="I139" s="3">
        <v>5</v>
      </c>
      <c r="J139" s="3" t="s">
        <v>30</v>
      </c>
      <c r="K139" s="18">
        <v>197</v>
      </c>
      <c r="L139" s="16">
        <v>320</v>
      </c>
      <c r="M139" s="6" t="str" cm="1">
        <f t="array" ref="M139">_xlfn.IFS(L139&lt;100,"Economy",L139&lt;200,"Standard",L139&lt;350,"Powerful",L139&lt;500,"High Performance",L139&lt;800,"Sports Performance",L139&gt;=800,"Super Performance")</f>
        <v>Powerful</v>
      </c>
    </row>
    <row r="140" spans="1:13" x14ac:dyDescent="0.25">
      <c r="A140" s="5" t="s">
        <v>90</v>
      </c>
      <c r="B140" s="3" t="s">
        <v>199</v>
      </c>
      <c r="C140" s="3" t="s">
        <v>201</v>
      </c>
      <c r="D140" s="4">
        <v>5775000</v>
      </c>
      <c r="E140" s="3">
        <v>1950</v>
      </c>
      <c r="F140" s="3">
        <v>4</v>
      </c>
      <c r="G140" s="3" t="s">
        <v>36</v>
      </c>
      <c r="H140" s="3" t="s">
        <v>66</v>
      </c>
      <c r="I140" s="3">
        <v>5</v>
      </c>
      <c r="J140" s="3" t="s">
        <v>30</v>
      </c>
      <c r="K140" s="18">
        <v>194</v>
      </c>
      <c r="L140" s="16">
        <v>400</v>
      </c>
      <c r="M140" s="6" t="str" cm="1">
        <f t="array" ref="M140">_xlfn.IFS(L140&lt;100,"Economy",L140&lt;200,"Standard",L140&lt;350,"Powerful",L140&lt;500,"High Performance",L140&lt;800,"Sports Performance",L140&gt;=800,"Super Performance")</f>
        <v>High Performance</v>
      </c>
    </row>
    <row r="141" spans="1:13" x14ac:dyDescent="0.25">
      <c r="A141" s="5" t="s">
        <v>202</v>
      </c>
      <c r="B141" s="3" t="s">
        <v>203</v>
      </c>
      <c r="C141" s="3" t="s">
        <v>204</v>
      </c>
      <c r="D141" s="4">
        <v>2770150</v>
      </c>
      <c r="E141" s="3">
        <v>2157</v>
      </c>
      <c r="F141" s="3">
        <v>4</v>
      </c>
      <c r="G141" s="3" t="s">
        <v>36</v>
      </c>
      <c r="H141" s="3" t="s">
        <v>66</v>
      </c>
      <c r="I141" s="3">
        <v>7</v>
      </c>
      <c r="J141" s="3" t="s">
        <v>30</v>
      </c>
      <c r="K141" s="18">
        <v>178</v>
      </c>
      <c r="L141" s="16">
        <v>420</v>
      </c>
      <c r="M141" s="6" t="str" cm="1">
        <f t="array" ref="M141">_xlfn.IFS(L141&lt;100,"Economy",L141&lt;200,"Standard",L141&lt;350,"Powerful",L141&lt;500,"High Performance",L141&lt;800,"Sports Performance",L141&gt;=800,"Super Performance")</f>
        <v>High Performance</v>
      </c>
    </row>
    <row r="142" spans="1:13" x14ac:dyDescent="0.25">
      <c r="A142" s="5" t="s">
        <v>202</v>
      </c>
      <c r="B142" s="3" t="s">
        <v>203</v>
      </c>
      <c r="C142" s="3" t="s">
        <v>205</v>
      </c>
      <c r="D142" s="4">
        <v>3070150</v>
      </c>
      <c r="E142" s="3">
        <v>2157</v>
      </c>
      <c r="F142" s="3">
        <v>4</v>
      </c>
      <c r="G142" s="3" t="s">
        <v>36</v>
      </c>
      <c r="H142" s="3" t="s">
        <v>66</v>
      </c>
      <c r="I142" s="3">
        <v>7</v>
      </c>
      <c r="J142" s="3" t="s">
        <v>30</v>
      </c>
      <c r="K142" s="18">
        <v>178</v>
      </c>
      <c r="L142" s="16">
        <v>420</v>
      </c>
      <c r="M142" s="6" t="str" cm="1">
        <f t="array" ref="M142">_xlfn.IFS(L142&lt;100,"Economy",L142&lt;200,"Standard",L142&lt;350,"Powerful",L142&lt;500,"High Performance",L142&lt;800,"Sports Performance",L142&gt;=800,"Super Performance")</f>
        <v>High Performance</v>
      </c>
    </row>
    <row r="143" spans="1:13" x14ac:dyDescent="0.25">
      <c r="A143" s="5" t="s">
        <v>143</v>
      </c>
      <c r="B143" s="3" t="s">
        <v>206</v>
      </c>
      <c r="C143" s="3" t="s">
        <v>145</v>
      </c>
      <c r="D143" s="4">
        <v>3830000</v>
      </c>
      <c r="E143" s="3">
        <v>1998</v>
      </c>
      <c r="F143" s="3">
        <v>4</v>
      </c>
      <c r="G143" s="3" t="s">
        <v>10</v>
      </c>
      <c r="H143" s="3" t="s">
        <v>206</v>
      </c>
      <c r="I143" s="3">
        <v>4</v>
      </c>
      <c r="J143" s="3" t="s">
        <v>30</v>
      </c>
      <c r="K143" s="18">
        <v>192</v>
      </c>
      <c r="L143" s="16">
        <v>280</v>
      </c>
      <c r="M143" s="6" t="str" cm="1">
        <f t="array" ref="M143">_xlfn.IFS(L143&lt;100,"Economy",L143&lt;200,"Standard",L143&lt;350,"Powerful",L143&lt;500,"High Performance",L143&lt;800,"Sports Performance",L143&gt;=800,"Super Performance")</f>
        <v>Powerful</v>
      </c>
    </row>
    <row r="144" spans="1:13" x14ac:dyDescent="0.25">
      <c r="A144" s="5" t="s">
        <v>143</v>
      </c>
      <c r="B144" s="3" t="s">
        <v>207</v>
      </c>
      <c r="C144" s="3" t="s">
        <v>208</v>
      </c>
      <c r="D144" s="4">
        <v>4350000</v>
      </c>
      <c r="E144" s="3">
        <v>1998</v>
      </c>
      <c r="F144" s="3">
        <v>4</v>
      </c>
      <c r="G144" s="3" t="s">
        <v>10</v>
      </c>
      <c r="H144" s="3" t="s">
        <v>1388</v>
      </c>
      <c r="I144" s="3">
        <v>2</v>
      </c>
      <c r="J144" s="3" t="s">
        <v>30</v>
      </c>
      <c r="K144" s="18">
        <v>231</v>
      </c>
      <c r="L144" s="16">
        <v>320</v>
      </c>
      <c r="M144" s="6" t="str" cm="1">
        <f t="array" ref="M144">_xlfn.IFS(L144&lt;100,"Economy",L144&lt;200,"Standard",L144&lt;350,"Powerful",L144&lt;500,"High Performance",L144&lt;800,"Sports Performance",L144&gt;=800,"Super Performance")</f>
        <v>Powerful</v>
      </c>
    </row>
    <row r="145" spans="1:13" x14ac:dyDescent="0.25">
      <c r="A145" s="5" t="s">
        <v>68</v>
      </c>
      <c r="B145" s="3" t="s">
        <v>209</v>
      </c>
      <c r="C145" s="3" t="s">
        <v>210</v>
      </c>
      <c r="D145" s="4">
        <v>15600000</v>
      </c>
      <c r="E145" s="3">
        <v>2995</v>
      </c>
      <c r="F145" s="3">
        <v>8</v>
      </c>
      <c r="G145" s="3" t="s">
        <v>10</v>
      </c>
      <c r="H145" s="3" t="s">
        <v>27</v>
      </c>
      <c r="I145" s="3">
        <v>4</v>
      </c>
      <c r="J145" s="3" t="s">
        <v>30</v>
      </c>
      <c r="K145" s="18">
        <v>340</v>
      </c>
      <c r="L145" s="16">
        <v>500</v>
      </c>
      <c r="M145" s="6" t="str" cm="1">
        <f t="array" ref="M145">_xlfn.IFS(L145&lt;100,"Economy",L145&lt;200,"Standard",L145&lt;350,"Powerful",L145&lt;500,"High Performance",L145&lt;800,"Sports Performance",L145&gt;=800,"Super Performance")</f>
        <v>Sports Performance</v>
      </c>
    </row>
    <row r="146" spans="1:13" x14ac:dyDescent="0.25">
      <c r="A146" s="5" t="s">
        <v>170</v>
      </c>
      <c r="B146" s="3" t="s">
        <v>211</v>
      </c>
      <c r="C146" s="3" t="s">
        <v>212</v>
      </c>
      <c r="D146" s="4">
        <v>19600000</v>
      </c>
      <c r="E146" s="3">
        <v>3456</v>
      </c>
      <c r="F146" s="3">
        <v>6</v>
      </c>
      <c r="G146" s="3" t="s">
        <v>194</v>
      </c>
      <c r="H146" s="3" t="s">
        <v>212</v>
      </c>
      <c r="I146" s="3">
        <v>4</v>
      </c>
      <c r="J146" s="3" t="s">
        <v>30</v>
      </c>
      <c r="K146" s="18">
        <v>299</v>
      </c>
      <c r="L146" s="16">
        <v>350</v>
      </c>
      <c r="M146" s="6" t="str" cm="1">
        <f t="array" ref="M146">_xlfn.IFS(L146&lt;100,"Economy",L146&lt;200,"Standard",L146&lt;350,"Powerful",L146&lt;500,"High Performance",L146&lt;800,"Sports Performance",L146&gt;=800,"Super Performance")</f>
        <v>High Performance</v>
      </c>
    </row>
    <row r="147" spans="1:13" x14ac:dyDescent="0.25">
      <c r="A147" s="5" t="s">
        <v>90</v>
      </c>
      <c r="B147" s="3" t="s">
        <v>213</v>
      </c>
      <c r="C147" s="3" t="s">
        <v>214</v>
      </c>
      <c r="D147" s="4">
        <v>27308312</v>
      </c>
      <c r="E147" s="3">
        <v>5980</v>
      </c>
      <c r="F147" s="3">
        <v>12</v>
      </c>
      <c r="G147" s="3" t="s">
        <v>10</v>
      </c>
      <c r="H147" s="3" t="s">
        <v>27</v>
      </c>
      <c r="I147" s="3">
        <v>4</v>
      </c>
      <c r="J147" s="3" t="s">
        <v>30</v>
      </c>
      <c r="K147" s="18">
        <v>630</v>
      </c>
      <c r="L147" s="16">
        <v>1000</v>
      </c>
      <c r="M147" s="6" t="str" cm="1">
        <f t="array" ref="M147">_xlfn.IFS(L147&lt;100,"Economy",L147&lt;200,"Standard",L147&lt;350,"Powerful",L147&lt;500,"High Performance",L147&lt;800,"Sports Performance",L147&gt;=800,"Super Performance")</f>
        <v>Super Performance</v>
      </c>
    </row>
    <row r="148" spans="1:13" x14ac:dyDescent="0.25">
      <c r="A148" s="5" t="s">
        <v>220</v>
      </c>
      <c r="B148" s="3" t="s">
        <v>221</v>
      </c>
      <c r="C148" s="3" t="s">
        <v>222</v>
      </c>
      <c r="D148" s="4">
        <v>263000</v>
      </c>
      <c r="E148" s="3">
        <v>216</v>
      </c>
      <c r="F148" s="3">
        <v>0</v>
      </c>
      <c r="G148" s="3" t="s">
        <v>10</v>
      </c>
      <c r="H148" s="3" t="s">
        <v>11</v>
      </c>
      <c r="I148" s="3">
        <v>4</v>
      </c>
      <c r="J148" s="3" t="s">
        <v>12</v>
      </c>
      <c r="K148" s="18">
        <v>13</v>
      </c>
      <c r="L148" s="16">
        <v>185.34568499999997</v>
      </c>
      <c r="M148" s="6" t="str" cm="1">
        <f t="array" ref="M148">_xlfn.IFS(L148&lt;100,"Economy",L148&lt;200,"Standard",L148&lt;350,"Powerful",L148&lt;500,"High Performance",L148&lt;800,"Sports Performance",L148&gt;=800,"Super Performance")</f>
        <v>Standard</v>
      </c>
    </row>
    <row r="149" spans="1:13" x14ac:dyDescent="0.25">
      <c r="A149" s="5" t="s">
        <v>220</v>
      </c>
      <c r="B149" s="3" t="s">
        <v>221</v>
      </c>
      <c r="C149" s="3" t="s">
        <v>223</v>
      </c>
      <c r="D149" s="4">
        <v>283000</v>
      </c>
      <c r="E149" s="3">
        <v>216</v>
      </c>
      <c r="F149" s="3">
        <v>0</v>
      </c>
      <c r="G149" s="3" t="s">
        <v>15</v>
      </c>
      <c r="H149" s="3" t="s">
        <v>11</v>
      </c>
      <c r="I149" s="3">
        <v>4</v>
      </c>
      <c r="J149" s="3" t="s">
        <v>12</v>
      </c>
      <c r="K149" s="18">
        <v>12</v>
      </c>
      <c r="L149" s="16">
        <v>157.88706500000001</v>
      </c>
      <c r="M149" s="6" t="str" cm="1">
        <f t="array" ref="M149">_xlfn.IFS(L149&lt;100,"Economy",L149&lt;200,"Standard",L149&lt;350,"Powerful",L149&lt;500,"High Performance",L149&lt;800,"Sports Performance",L149&gt;=800,"Super Performance")</f>
        <v>Standard</v>
      </c>
    </row>
    <row r="150" spans="1:13" x14ac:dyDescent="0.25">
      <c r="A150" s="5" t="s">
        <v>93</v>
      </c>
      <c r="B150" s="3" t="s">
        <v>224</v>
      </c>
      <c r="C150" s="3" t="s">
        <v>225</v>
      </c>
      <c r="D150" s="4">
        <v>984689</v>
      </c>
      <c r="E150" s="3">
        <v>1462</v>
      </c>
      <c r="F150" s="3">
        <v>4</v>
      </c>
      <c r="G150" s="3" t="s">
        <v>10</v>
      </c>
      <c r="H150" s="3" t="s">
        <v>226</v>
      </c>
      <c r="I150" s="3">
        <v>6</v>
      </c>
      <c r="J150" s="3" t="s">
        <v>12</v>
      </c>
      <c r="K150" s="18">
        <v>104</v>
      </c>
      <c r="L150" s="16">
        <v>138</v>
      </c>
      <c r="M150" s="6" t="str" cm="1">
        <f t="array" ref="M150">_xlfn.IFS(L150&lt;100,"Economy",L150&lt;200,"Standard",L150&lt;350,"Powerful",L150&lt;500,"High Performance",L150&lt;800,"Sports Performance",L150&gt;=800,"Super Performance")</f>
        <v>Standard</v>
      </c>
    </row>
    <row r="151" spans="1:13" x14ac:dyDescent="0.25">
      <c r="A151" s="5" t="s">
        <v>93</v>
      </c>
      <c r="B151" s="3" t="s">
        <v>224</v>
      </c>
      <c r="C151" s="3" t="s">
        <v>227</v>
      </c>
      <c r="D151" s="4">
        <v>1041189</v>
      </c>
      <c r="E151" s="3">
        <v>1462</v>
      </c>
      <c r="F151" s="3">
        <v>4</v>
      </c>
      <c r="G151" s="3" t="s">
        <v>10</v>
      </c>
      <c r="H151" s="3" t="s">
        <v>226</v>
      </c>
      <c r="I151" s="3">
        <v>6</v>
      </c>
      <c r="J151" s="3" t="s">
        <v>12</v>
      </c>
      <c r="K151" s="18">
        <v>104</v>
      </c>
      <c r="L151" s="16">
        <v>138</v>
      </c>
      <c r="M151" s="6" t="str" cm="1">
        <f t="array" ref="M151">_xlfn.IFS(L151&lt;100,"Economy",L151&lt;200,"Standard",L151&lt;350,"Powerful",L151&lt;500,"High Performance",L151&lt;800,"Sports Performance",L151&gt;=800,"Super Performance")</f>
        <v>Standard</v>
      </c>
    </row>
    <row r="152" spans="1:13" x14ac:dyDescent="0.25">
      <c r="A152" s="5" t="s">
        <v>93</v>
      </c>
      <c r="B152" s="3" t="s">
        <v>224</v>
      </c>
      <c r="C152" s="3" t="s">
        <v>228</v>
      </c>
      <c r="D152" s="4">
        <v>1094689</v>
      </c>
      <c r="E152" s="3">
        <v>1462</v>
      </c>
      <c r="F152" s="3">
        <v>4</v>
      </c>
      <c r="G152" s="3" t="s">
        <v>10</v>
      </c>
      <c r="H152" s="3" t="s">
        <v>226</v>
      </c>
      <c r="I152" s="3">
        <v>6</v>
      </c>
      <c r="J152" s="3" t="s">
        <v>30</v>
      </c>
      <c r="K152" s="18">
        <v>104</v>
      </c>
      <c r="L152" s="16">
        <v>138</v>
      </c>
      <c r="M152" s="6" t="str" cm="1">
        <f t="array" ref="M152">_xlfn.IFS(L152&lt;100,"Economy",L152&lt;200,"Standard",L152&lt;350,"Powerful",L152&lt;500,"High Performance",L152&lt;800,"Sports Performance",L152&gt;=800,"Super Performance")</f>
        <v>Standard</v>
      </c>
    </row>
    <row r="153" spans="1:13" x14ac:dyDescent="0.25">
      <c r="A153" s="5" t="s">
        <v>93</v>
      </c>
      <c r="B153" s="3" t="s">
        <v>224</v>
      </c>
      <c r="C153" s="3" t="s">
        <v>229</v>
      </c>
      <c r="D153" s="4">
        <v>1151189</v>
      </c>
      <c r="E153" s="3">
        <v>1462</v>
      </c>
      <c r="F153" s="3">
        <v>4</v>
      </c>
      <c r="G153" s="3" t="s">
        <v>10</v>
      </c>
      <c r="H153" s="3" t="s">
        <v>226</v>
      </c>
      <c r="I153" s="3">
        <v>6</v>
      </c>
      <c r="J153" s="3" t="s">
        <v>30</v>
      </c>
      <c r="K153" s="18">
        <v>104</v>
      </c>
      <c r="L153" s="16">
        <v>138</v>
      </c>
      <c r="M153" s="6" t="str" cm="1">
        <f t="array" ref="M153">_xlfn.IFS(L153&lt;100,"Economy",L153&lt;200,"Standard",L153&lt;350,"Powerful",L153&lt;500,"High Performance",L153&lt;800,"Sports Performance",L153&gt;=800,"Super Performance")</f>
        <v>Standard</v>
      </c>
    </row>
    <row r="154" spans="1:13" x14ac:dyDescent="0.25">
      <c r="A154" s="5" t="s">
        <v>202</v>
      </c>
      <c r="B154" s="3" t="s">
        <v>230</v>
      </c>
      <c r="C154" s="3" t="s">
        <v>231</v>
      </c>
      <c r="D154" s="4">
        <v>999900</v>
      </c>
      <c r="E154" s="3">
        <v>1497</v>
      </c>
      <c r="F154" s="3">
        <v>4</v>
      </c>
      <c r="G154" s="3" t="s">
        <v>36</v>
      </c>
      <c r="H154" s="3" t="s">
        <v>226</v>
      </c>
      <c r="I154" s="3">
        <v>7</v>
      </c>
      <c r="J154" s="3" t="s">
        <v>12</v>
      </c>
      <c r="K154" s="18">
        <v>121</v>
      </c>
      <c r="L154" s="16">
        <v>300</v>
      </c>
      <c r="M154" s="6" t="str" cm="1">
        <f t="array" ref="M154">_xlfn.IFS(L154&lt;100,"Economy",L154&lt;200,"Standard",L154&lt;350,"Powerful",L154&lt;500,"High Performance",L154&lt;800,"Sports Performance",L154&gt;=800,"Super Performance")</f>
        <v>Powerful</v>
      </c>
    </row>
    <row r="155" spans="1:13" x14ac:dyDescent="0.25">
      <c r="A155" s="5" t="s">
        <v>202</v>
      </c>
      <c r="B155" s="3" t="s">
        <v>230</v>
      </c>
      <c r="C155" s="3" t="s">
        <v>232</v>
      </c>
      <c r="D155" s="4">
        <v>1156471</v>
      </c>
      <c r="E155" s="3">
        <v>1497</v>
      </c>
      <c r="F155" s="3">
        <v>4</v>
      </c>
      <c r="G155" s="3" t="s">
        <v>36</v>
      </c>
      <c r="H155" s="3" t="s">
        <v>226</v>
      </c>
      <c r="I155" s="3">
        <v>7</v>
      </c>
      <c r="J155" s="3" t="s">
        <v>12</v>
      </c>
      <c r="K155" s="18">
        <v>121</v>
      </c>
      <c r="L155" s="16">
        <v>300</v>
      </c>
      <c r="M155" s="6" t="str" cm="1">
        <f t="array" ref="M155">_xlfn.IFS(L155&lt;100,"Economy",L155&lt;200,"Standard",L155&lt;350,"Powerful",L155&lt;500,"High Performance",L155&lt;800,"Sports Performance",L155&gt;=800,"Super Performance")</f>
        <v>Powerful</v>
      </c>
    </row>
    <row r="156" spans="1:13" x14ac:dyDescent="0.25">
      <c r="A156" s="5" t="s">
        <v>202</v>
      </c>
      <c r="B156" s="3" t="s">
        <v>230</v>
      </c>
      <c r="C156" s="3" t="s">
        <v>233</v>
      </c>
      <c r="D156" s="4">
        <v>1308592</v>
      </c>
      <c r="E156" s="3">
        <v>1497</v>
      </c>
      <c r="F156" s="3">
        <v>4</v>
      </c>
      <c r="G156" s="3" t="s">
        <v>36</v>
      </c>
      <c r="H156" s="3" t="s">
        <v>226</v>
      </c>
      <c r="I156" s="3">
        <v>7</v>
      </c>
      <c r="J156" s="3" t="s">
        <v>12</v>
      </c>
      <c r="K156" s="18">
        <v>121</v>
      </c>
      <c r="L156" s="16">
        <v>300</v>
      </c>
      <c r="M156" s="6" t="str" cm="1">
        <f t="array" ref="M156">_xlfn.IFS(L156&lt;100,"Economy",L156&lt;200,"Standard",L156&lt;350,"Powerful",L156&lt;500,"High Performance",L156&lt;800,"Sports Performance",L156&gt;=800,"Super Performance")</f>
        <v>Powerful</v>
      </c>
    </row>
    <row r="157" spans="1:13" x14ac:dyDescent="0.25">
      <c r="A157" s="5" t="s">
        <v>202</v>
      </c>
      <c r="B157" s="3" t="s">
        <v>230</v>
      </c>
      <c r="C157" s="3" t="s">
        <v>234</v>
      </c>
      <c r="D157" s="4">
        <v>1468440</v>
      </c>
      <c r="E157" s="3">
        <v>1497</v>
      </c>
      <c r="F157" s="3">
        <v>4</v>
      </c>
      <c r="G157" s="3" t="s">
        <v>36</v>
      </c>
      <c r="H157" s="3" t="s">
        <v>226</v>
      </c>
      <c r="I157" s="3">
        <v>7</v>
      </c>
      <c r="J157" s="3" t="s">
        <v>12</v>
      </c>
      <c r="K157" s="18">
        <v>121</v>
      </c>
      <c r="L157" s="16">
        <v>300</v>
      </c>
      <c r="M157" s="6" t="str" cm="1">
        <f t="array" ref="M157">_xlfn.IFS(L157&lt;100,"Economy",L157&lt;200,"Standard",L157&lt;350,"Powerful",L157&lt;500,"High Performance",L157&lt;800,"Sports Performance",L157&gt;=800,"Super Performance")</f>
        <v>Powerful</v>
      </c>
    </row>
    <row r="158" spans="1:13" x14ac:dyDescent="0.25">
      <c r="A158" s="5" t="s">
        <v>202</v>
      </c>
      <c r="B158" s="3" t="s">
        <v>230</v>
      </c>
      <c r="C158" s="3" t="s">
        <v>235</v>
      </c>
      <c r="D158" s="4">
        <v>999900</v>
      </c>
      <c r="E158" s="3">
        <v>1497</v>
      </c>
      <c r="F158" s="3">
        <v>4</v>
      </c>
      <c r="G158" s="3" t="s">
        <v>36</v>
      </c>
      <c r="H158" s="3" t="s">
        <v>226</v>
      </c>
      <c r="I158" s="3">
        <v>8</v>
      </c>
      <c r="J158" s="3" t="s">
        <v>12</v>
      </c>
      <c r="K158" s="18">
        <v>121</v>
      </c>
      <c r="L158" s="16">
        <v>300</v>
      </c>
      <c r="M158" s="6" t="str" cm="1">
        <f t="array" ref="M158">_xlfn.IFS(L158&lt;100,"Economy",L158&lt;200,"Standard",L158&lt;350,"Powerful",L158&lt;500,"High Performance",L158&lt;800,"Sports Performance",L158&gt;=800,"Super Performance")</f>
        <v>Powerful</v>
      </c>
    </row>
    <row r="159" spans="1:13" x14ac:dyDescent="0.25">
      <c r="A159" s="5" t="s">
        <v>202</v>
      </c>
      <c r="B159" s="3" t="s">
        <v>230</v>
      </c>
      <c r="C159" s="3" t="s">
        <v>236</v>
      </c>
      <c r="D159" s="4">
        <v>1164569</v>
      </c>
      <c r="E159" s="3">
        <v>1497</v>
      </c>
      <c r="F159" s="3">
        <v>4</v>
      </c>
      <c r="G159" s="3" t="s">
        <v>36</v>
      </c>
      <c r="H159" s="3" t="s">
        <v>226</v>
      </c>
      <c r="I159" s="3">
        <v>8</v>
      </c>
      <c r="J159" s="3" t="s">
        <v>12</v>
      </c>
      <c r="K159" s="18">
        <v>121</v>
      </c>
      <c r="L159" s="16">
        <v>300</v>
      </c>
      <c r="M159" s="6" t="str" cm="1">
        <f t="array" ref="M159">_xlfn.IFS(L159&lt;100,"Economy",L159&lt;200,"Standard",L159&lt;350,"Powerful",L159&lt;500,"High Performance",L159&lt;800,"Sports Performance",L159&gt;=800,"Super Performance")</f>
        <v>Powerful</v>
      </c>
    </row>
    <row r="160" spans="1:13" x14ac:dyDescent="0.25">
      <c r="A160" s="5" t="s">
        <v>202</v>
      </c>
      <c r="B160" s="3" t="s">
        <v>230</v>
      </c>
      <c r="C160" s="3" t="s">
        <v>237</v>
      </c>
      <c r="D160" s="4">
        <v>1316690</v>
      </c>
      <c r="E160" s="3">
        <v>1497</v>
      </c>
      <c r="F160" s="3">
        <v>4</v>
      </c>
      <c r="G160" s="3" t="s">
        <v>36</v>
      </c>
      <c r="H160" s="3" t="s">
        <v>226</v>
      </c>
      <c r="I160" s="3">
        <v>8</v>
      </c>
      <c r="J160" s="3" t="s">
        <v>12</v>
      </c>
      <c r="K160" s="18">
        <v>121</v>
      </c>
      <c r="L160" s="16">
        <v>300</v>
      </c>
      <c r="M160" s="6" t="str" cm="1">
        <f t="array" ref="M160">_xlfn.IFS(L160&lt;100,"Economy",L160&lt;200,"Standard",L160&lt;350,"Powerful",L160&lt;500,"High Performance",L160&lt;800,"Sports Performance",L160&gt;=800,"Super Performance")</f>
        <v>Powerful</v>
      </c>
    </row>
    <row r="161" spans="1:13" x14ac:dyDescent="0.25">
      <c r="A161" s="5" t="s">
        <v>202</v>
      </c>
      <c r="B161" s="3" t="s">
        <v>230</v>
      </c>
      <c r="C161" s="3" t="s">
        <v>238</v>
      </c>
      <c r="D161" s="4">
        <v>1476538</v>
      </c>
      <c r="E161" s="3">
        <v>1497</v>
      </c>
      <c r="F161" s="3">
        <v>4</v>
      </c>
      <c r="G161" s="3" t="s">
        <v>36</v>
      </c>
      <c r="H161" s="3" t="s">
        <v>226</v>
      </c>
      <c r="I161" s="3">
        <v>8</v>
      </c>
      <c r="J161" s="3" t="s">
        <v>12</v>
      </c>
      <c r="K161" s="18">
        <v>121</v>
      </c>
      <c r="L161" s="16">
        <v>300</v>
      </c>
      <c r="M161" s="6" t="str" cm="1">
        <f t="array" ref="M161">_xlfn.IFS(L161&lt;100,"Economy",L161&lt;200,"Standard",L161&lt;350,"Powerful",L161&lt;500,"High Performance",L161&lt;800,"Sports Performance",L161&gt;=800,"Super Performance")</f>
        <v>Powerful</v>
      </c>
    </row>
    <row r="162" spans="1:13" x14ac:dyDescent="0.25">
      <c r="A162" s="5" t="s">
        <v>239</v>
      </c>
      <c r="B162" s="3" t="s">
        <v>240</v>
      </c>
      <c r="C162" s="3" t="s">
        <v>241</v>
      </c>
      <c r="D162" s="4">
        <v>2495000</v>
      </c>
      <c r="E162" s="3">
        <v>2199</v>
      </c>
      <c r="F162" s="3">
        <v>4</v>
      </c>
      <c r="G162" s="3" t="s">
        <v>36</v>
      </c>
      <c r="H162" s="3" t="s">
        <v>242</v>
      </c>
      <c r="I162" s="3">
        <v>7</v>
      </c>
      <c r="J162" s="3" t="s">
        <v>30</v>
      </c>
      <c r="K162" s="18">
        <v>200</v>
      </c>
      <c r="L162" s="16">
        <v>440</v>
      </c>
      <c r="M162" s="6" t="str" cm="1">
        <f t="array" ref="M162">_xlfn.IFS(L162&lt;100,"Economy",L162&lt;200,"Standard",L162&lt;350,"Powerful",L162&lt;500,"High Performance",L162&lt;800,"Sports Performance",L162&gt;=800,"Super Performance")</f>
        <v>High Performance</v>
      </c>
    </row>
    <row r="163" spans="1:13" x14ac:dyDescent="0.25">
      <c r="A163" s="5" t="s">
        <v>239</v>
      </c>
      <c r="B163" s="3" t="s">
        <v>240</v>
      </c>
      <c r="C163" s="3" t="s">
        <v>243</v>
      </c>
      <c r="D163" s="4">
        <v>2515000</v>
      </c>
      <c r="E163" s="3">
        <v>2199</v>
      </c>
      <c r="F163" s="3">
        <v>4</v>
      </c>
      <c r="G163" s="3" t="s">
        <v>36</v>
      </c>
      <c r="H163" s="3" t="s">
        <v>242</v>
      </c>
      <c r="I163" s="3">
        <v>7</v>
      </c>
      <c r="J163" s="3" t="s">
        <v>30</v>
      </c>
      <c r="K163" s="18">
        <v>200</v>
      </c>
      <c r="L163" s="16">
        <v>440</v>
      </c>
      <c r="M163" s="6" t="str" cm="1">
        <f t="array" ref="M163">_xlfn.IFS(L163&lt;100,"Economy",L163&lt;200,"Standard",L163&lt;350,"Powerful",L163&lt;500,"High Performance",L163&lt;800,"Sports Performance",L163&gt;=800,"Super Performance")</f>
        <v>High Performance</v>
      </c>
    </row>
    <row r="164" spans="1:13" x14ac:dyDescent="0.25">
      <c r="A164" s="5" t="s">
        <v>239</v>
      </c>
      <c r="B164" s="3" t="s">
        <v>240</v>
      </c>
      <c r="C164" s="3" t="s">
        <v>244</v>
      </c>
      <c r="D164" s="4">
        <v>2895000</v>
      </c>
      <c r="E164" s="3">
        <v>2199</v>
      </c>
      <c r="F164" s="3">
        <v>4</v>
      </c>
      <c r="G164" s="3" t="s">
        <v>36</v>
      </c>
      <c r="H164" s="3" t="s">
        <v>242</v>
      </c>
      <c r="I164" s="3">
        <v>7</v>
      </c>
      <c r="J164" s="3" t="s">
        <v>30</v>
      </c>
      <c r="K164" s="18">
        <v>200</v>
      </c>
      <c r="L164" s="16">
        <v>440</v>
      </c>
      <c r="M164" s="6" t="str" cm="1">
        <f t="array" ref="M164">_xlfn.IFS(L164&lt;100,"Economy",L164&lt;200,"Standard",L164&lt;350,"Powerful",L164&lt;500,"High Performance",L164&lt;800,"Sports Performance",L164&gt;=800,"Super Performance")</f>
        <v>High Performance</v>
      </c>
    </row>
    <row r="165" spans="1:13" x14ac:dyDescent="0.25">
      <c r="A165" s="5" t="s">
        <v>239</v>
      </c>
      <c r="B165" s="3" t="s">
        <v>240</v>
      </c>
      <c r="C165" s="3" t="s">
        <v>245</v>
      </c>
      <c r="D165" s="4">
        <v>2995000</v>
      </c>
      <c r="E165" s="3">
        <v>2199</v>
      </c>
      <c r="F165" s="3">
        <v>4</v>
      </c>
      <c r="G165" s="3" t="s">
        <v>36</v>
      </c>
      <c r="H165" s="3" t="s">
        <v>242</v>
      </c>
      <c r="I165" s="3">
        <v>7</v>
      </c>
      <c r="J165" s="3" t="s">
        <v>30</v>
      </c>
      <c r="K165" s="18">
        <v>200</v>
      </c>
      <c r="L165" s="16">
        <v>440</v>
      </c>
      <c r="M165" s="6" t="str" cm="1">
        <f t="array" ref="M165">_xlfn.IFS(L165&lt;100,"Economy",L165&lt;200,"Standard",L165&lt;350,"Powerful",L165&lt;500,"High Performance",L165&lt;800,"Sports Performance",L165&gt;=800,"Super Performance")</f>
        <v>High Performance</v>
      </c>
    </row>
    <row r="166" spans="1:13" x14ac:dyDescent="0.25">
      <c r="A166" s="5" t="s">
        <v>239</v>
      </c>
      <c r="B166" s="3" t="s">
        <v>240</v>
      </c>
      <c r="C166" s="3" t="s">
        <v>246</v>
      </c>
      <c r="D166" s="4">
        <v>3395000</v>
      </c>
      <c r="E166" s="3">
        <v>2199</v>
      </c>
      <c r="F166" s="3">
        <v>4</v>
      </c>
      <c r="G166" s="3" t="s">
        <v>36</v>
      </c>
      <c r="H166" s="3" t="s">
        <v>242</v>
      </c>
      <c r="I166" s="3">
        <v>7</v>
      </c>
      <c r="J166" s="3" t="s">
        <v>30</v>
      </c>
      <c r="K166" s="18">
        <v>200</v>
      </c>
      <c r="L166" s="16">
        <v>440</v>
      </c>
      <c r="M166" s="6" t="str" cm="1">
        <f t="array" ref="M166">_xlfn.IFS(L166&lt;100,"Economy",L166&lt;200,"Standard",L166&lt;350,"Powerful",L166&lt;500,"High Performance",L166&lt;800,"Sports Performance",L166&gt;=800,"Super Performance")</f>
        <v>High Performance</v>
      </c>
    </row>
    <row r="167" spans="1:13" x14ac:dyDescent="0.25">
      <c r="A167" s="5" t="s">
        <v>143</v>
      </c>
      <c r="B167" s="3" t="s">
        <v>144</v>
      </c>
      <c r="C167" s="3" t="s">
        <v>247</v>
      </c>
      <c r="D167" s="4">
        <v>2990000</v>
      </c>
      <c r="E167" s="3">
        <v>1496</v>
      </c>
      <c r="F167" s="3">
        <v>3</v>
      </c>
      <c r="G167" s="3" t="s">
        <v>36</v>
      </c>
      <c r="H167" s="3" t="s">
        <v>11</v>
      </c>
      <c r="I167" s="3">
        <v>4</v>
      </c>
      <c r="J167" s="3" t="s">
        <v>30</v>
      </c>
      <c r="K167" s="18">
        <v>116</v>
      </c>
      <c r="L167" s="16">
        <v>270</v>
      </c>
      <c r="M167" s="6" t="str" cm="1">
        <f t="array" ref="M167">_xlfn.IFS(L167&lt;100,"Economy",L167&lt;200,"Standard",L167&lt;350,"Powerful",L167&lt;500,"High Performance",L167&lt;800,"Sports Performance",L167&gt;=800,"Super Performance")</f>
        <v>Powerful</v>
      </c>
    </row>
    <row r="168" spans="1:13" x14ac:dyDescent="0.25">
      <c r="A168" s="5" t="s">
        <v>90</v>
      </c>
      <c r="B168" s="3" t="s">
        <v>248</v>
      </c>
      <c r="C168" s="3" t="s">
        <v>249</v>
      </c>
      <c r="D168" s="4">
        <v>6426497</v>
      </c>
      <c r="E168" s="3">
        <v>1991</v>
      </c>
      <c r="F168" s="3">
        <v>4</v>
      </c>
      <c r="G168" s="3" t="s">
        <v>10</v>
      </c>
      <c r="H168" s="3" t="s">
        <v>206</v>
      </c>
      <c r="I168" s="3">
        <v>4</v>
      </c>
      <c r="J168" s="3" t="s">
        <v>30</v>
      </c>
      <c r="K168" s="18">
        <v>258</v>
      </c>
      <c r="L168" s="16">
        <v>370</v>
      </c>
      <c r="M168" s="6" t="str" cm="1">
        <f t="array" ref="M168">_xlfn.IFS(L168&lt;100,"Economy",L168&lt;200,"Standard",L168&lt;350,"Powerful",L168&lt;500,"High Performance",L168&lt;800,"Sports Performance",L168&gt;=800,"Super Performance")</f>
        <v>High Performance</v>
      </c>
    </row>
    <row r="169" spans="1:13" x14ac:dyDescent="0.25">
      <c r="A169" s="5" t="s">
        <v>78</v>
      </c>
      <c r="B169" s="3" t="s">
        <v>250</v>
      </c>
      <c r="C169" s="3" t="s">
        <v>251</v>
      </c>
      <c r="D169" s="4">
        <v>6490000</v>
      </c>
      <c r="E169" s="3">
        <v>1998</v>
      </c>
      <c r="F169" s="3">
        <v>4</v>
      </c>
      <c r="G169" s="3" t="s">
        <v>10</v>
      </c>
      <c r="H169" s="3" t="s">
        <v>1389</v>
      </c>
      <c r="I169" s="3">
        <v>2</v>
      </c>
      <c r="J169" s="3" t="s">
        <v>30</v>
      </c>
      <c r="K169" s="18">
        <v>197</v>
      </c>
      <c r="L169" s="16">
        <v>320</v>
      </c>
      <c r="M169" s="6" t="str" cm="1">
        <f t="array" ref="M169">_xlfn.IFS(L169&lt;100,"Economy",L169&lt;200,"Standard",L169&lt;350,"Powerful",L169&lt;500,"High Performance",L169&lt;800,"Sports Performance",L169&gt;=800,"Super Performance")</f>
        <v>Powerful</v>
      </c>
    </row>
    <row r="170" spans="1:13" x14ac:dyDescent="0.25">
      <c r="A170" s="5" t="s">
        <v>78</v>
      </c>
      <c r="B170" s="3" t="s">
        <v>250</v>
      </c>
      <c r="C170" s="3" t="s">
        <v>252</v>
      </c>
      <c r="D170" s="4">
        <v>7890000</v>
      </c>
      <c r="E170" s="3">
        <v>2998</v>
      </c>
      <c r="F170" s="3">
        <v>6</v>
      </c>
      <c r="G170" s="3" t="s">
        <v>10</v>
      </c>
      <c r="H170" s="3" t="s">
        <v>1389</v>
      </c>
      <c r="I170" s="3">
        <v>2</v>
      </c>
      <c r="J170" s="3" t="s">
        <v>30</v>
      </c>
      <c r="K170" s="18">
        <v>340</v>
      </c>
      <c r="L170" s="16">
        <v>500</v>
      </c>
      <c r="M170" s="6" t="str" cm="1">
        <f t="array" ref="M170">_xlfn.IFS(L170&lt;100,"Economy",L170&lt;200,"Standard",L170&lt;350,"Powerful",L170&lt;500,"High Performance",L170&lt;800,"Sports Performance",L170&gt;=800,"Super Performance")</f>
        <v>Sports Performance</v>
      </c>
    </row>
    <row r="171" spans="1:13" x14ac:dyDescent="0.25">
      <c r="A171" s="5" t="s">
        <v>90</v>
      </c>
      <c r="B171" s="3" t="s">
        <v>253</v>
      </c>
      <c r="C171" s="3" t="s">
        <v>254</v>
      </c>
      <c r="D171" s="4">
        <v>6840000</v>
      </c>
      <c r="E171" s="3">
        <v>2143</v>
      </c>
      <c r="F171" s="3">
        <v>4</v>
      </c>
      <c r="G171" s="3" t="s">
        <v>36</v>
      </c>
      <c r="H171" s="3" t="s">
        <v>242</v>
      </c>
      <c r="I171" s="3">
        <v>7</v>
      </c>
      <c r="J171" s="3" t="s">
        <v>30</v>
      </c>
      <c r="K171" s="18">
        <v>163</v>
      </c>
      <c r="L171" s="16">
        <v>380</v>
      </c>
      <c r="M171" s="6" t="str" cm="1">
        <f t="array" ref="M171">_xlfn.IFS(L171&lt;100,"Economy",L171&lt;200,"Standard",L171&lt;350,"Powerful",L171&lt;500,"High Performance",L171&lt;800,"Sports Performance",L171&gt;=800,"Super Performance")</f>
        <v>High Performance</v>
      </c>
    </row>
    <row r="172" spans="1:13" x14ac:dyDescent="0.25">
      <c r="A172" s="5" t="s">
        <v>90</v>
      </c>
      <c r="B172" s="3" t="s">
        <v>253</v>
      </c>
      <c r="C172" s="3" t="s">
        <v>255</v>
      </c>
      <c r="D172" s="4">
        <v>8190000</v>
      </c>
      <c r="E172" s="3">
        <v>2143</v>
      </c>
      <c r="F172" s="3">
        <v>4</v>
      </c>
      <c r="G172" s="3" t="s">
        <v>36</v>
      </c>
      <c r="H172" s="3" t="s">
        <v>242</v>
      </c>
      <c r="I172" s="3">
        <v>6</v>
      </c>
      <c r="J172" s="3" t="s">
        <v>30</v>
      </c>
      <c r="K172" s="18">
        <v>163</v>
      </c>
      <c r="L172" s="16">
        <v>380</v>
      </c>
      <c r="M172" s="6" t="str" cm="1">
        <f t="array" ref="M172">_xlfn.IFS(L172&lt;100,"Economy",L172&lt;200,"Standard",L172&lt;350,"Powerful",L172&lt;500,"High Performance",L172&lt;800,"Sports Performance",L172&gt;=800,"Super Performance")</f>
        <v>High Performance</v>
      </c>
    </row>
    <row r="173" spans="1:13" x14ac:dyDescent="0.25">
      <c r="A173" s="5" t="s">
        <v>90</v>
      </c>
      <c r="B173" s="3" t="s">
        <v>253</v>
      </c>
      <c r="C173" s="3" t="s">
        <v>256</v>
      </c>
      <c r="D173" s="4">
        <v>11000000</v>
      </c>
      <c r="E173" s="3">
        <v>1950</v>
      </c>
      <c r="F173" s="3">
        <v>4</v>
      </c>
      <c r="G173" s="3" t="s">
        <v>36</v>
      </c>
      <c r="H173" s="3" t="s">
        <v>226</v>
      </c>
      <c r="I173" s="3">
        <v>6</v>
      </c>
      <c r="J173" s="3" t="s">
        <v>30</v>
      </c>
      <c r="K173" s="18">
        <v>163</v>
      </c>
      <c r="L173" s="16">
        <v>380</v>
      </c>
      <c r="M173" s="6" t="str" cm="1">
        <f t="array" ref="M173">_xlfn.IFS(L173&lt;100,"Economy",L173&lt;200,"Standard",L173&lt;350,"Powerful",L173&lt;500,"High Performance",L173&lt;800,"Sports Performance",L173&gt;=800,"Super Performance")</f>
        <v>High Performance</v>
      </c>
    </row>
    <row r="174" spans="1:13" x14ac:dyDescent="0.25">
      <c r="A174" s="5" t="s">
        <v>90</v>
      </c>
      <c r="B174" s="3" t="s">
        <v>257</v>
      </c>
      <c r="C174" s="3" t="s">
        <v>258</v>
      </c>
      <c r="D174" s="4">
        <v>24200000</v>
      </c>
      <c r="E174" s="3" t="s">
        <v>1386</v>
      </c>
      <c r="F174" s="3">
        <v>8</v>
      </c>
      <c r="G174" s="3" t="s">
        <v>10</v>
      </c>
      <c r="H174" s="3" t="s">
        <v>212</v>
      </c>
      <c r="I174" s="3">
        <v>4</v>
      </c>
      <c r="J174" s="3" t="s">
        <v>30</v>
      </c>
      <c r="K174" s="18">
        <v>639</v>
      </c>
      <c r="L174" s="16">
        <v>700</v>
      </c>
      <c r="M174" s="6" t="str" cm="1">
        <f t="array" ref="M174">_xlfn.IFS(L174&lt;100,"Economy",L174&lt;200,"Standard",L174&lt;350,"Powerful",L174&lt;500,"High Performance",L174&lt;800,"Sports Performance",L174&gt;=800,"Super Performance")</f>
        <v>Sports Performance</v>
      </c>
    </row>
    <row r="175" spans="1:13" x14ac:dyDescent="0.25">
      <c r="A175" s="5" t="s">
        <v>259</v>
      </c>
      <c r="B175" s="3" t="s">
        <v>260</v>
      </c>
      <c r="C175" s="3" t="s">
        <v>261</v>
      </c>
      <c r="D175" s="4">
        <v>42000000</v>
      </c>
      <c r="E175" s="3">
        <v>3900</v>
      </c>
      <c r="F175" s="3">
        <v>8</v>
      </c>
      <c r="G175" s="3" t="s">
        <v>10</v>
      </c>
      <c r="H175" s="3" t="s">
        <v>212</v>
      </c>
      <c r="I175" s="3">
        <v>4</v>
      </c>
      <c r="J175" s="3" t="s">
        <v>30</v>
      </c>
      <c r="K175" s="18">
        <v>610</v>
      </c>
      <c r="L175" s="16">
        <v>760</v>
      </c>
      <c r="M175" s="6" t="str" cm="1">
        <f t="array" ref="M175">_xlfn.IFS(L175&lt;100,"Economy",L175&lt;200,"Standard",L175&lt;350,"Powerful",L175&lt;500,"High Performance",L175&lt;800,"Sports Performance",L175&gt;=800,"Super Performance")</f>
        <v>Sports Performance</v>
      </c>
    </row>
    <row r="176" spans="1:13" x14ac:dyDescent="0.25">
      <c r="A176" s="5" t="s">
        <v>259</v>
      </c>
      <c r="B176" s="3" t="s">
        <v>260</v>
      </c>
      <c r="C176" s="3" t="s">
        <v>262</v>
      </c>
      <c r="D176" s="4">
        <v>52000000</v>
      </c>
      <c r="E176" s="3">
        <v>6262</v>
      </c>
      <c r="F176" s="3">
        <v>8</v>
      </c>
      <c r="G176" s="3" t="s">
        <v>10</v>
      </c>
      <c r="H176" s="3" t="s">
        <v>212</v>
      </c>
      <c r="I176" s="3">
        <v>4</v>
      </c>
      <c r="J176" s="3" t="s">
        <v>30</v>
      </c>
      <c r="K176" s="18">
        <v>681</v>
      </c>
      <c r="L176" s="16">
        <v>697</v>
      </c>
      <c r="M176" s="6" t="str" cm="1">
        <f t="array" ref="M176">_xlfn.IFS(L176&lt;100,"Economy",L176&lt;200,"Standard",L176&lt;350,"Powerful",L176&lt;500,"High Performance",L176&lt;800,"Sports Performance",L176&gt;=800,"Super Performance")</f>
        <v>Sports Performance</v>
      </c>
    </row>
    <row r="177" spans="1:13" x14ac:dyDescent="0.25">
      <c r="A177" s="5" t="s">
        <v>93</v>
      </c>
      <c r="B177" s="3" t="s">
        <v>263</v>
      </c>
      <c r="C177" s="3" t="s">
        <v>264</v>
      </c>
      <c r="D177" s="4">
        <v>917000</v>
      </c>
      <c r="E177" s="3">
        <v>1462</v>
      </c>
      <c r="F177" s="3">
        <v>4</v>
      </c>
      <c r="G177" s="3" t="s">
        <v>10</v>
      </c>
      <c r="H177" s="3" t="s">
        <v>226</v>
      </c>
      <c r="I177" s="3">
        <v>7</v>
      </c>
      <c r="J177" s="3" t="s">
        <v>12</v>
      </c>
      <c r="K177" s="18">
        <v>104</v>
      </c>
      <c r="L177" s="16">
        <v>138</v>
      </c>
      <c r="M177" s="6" t="str" cm="1">
        <f t="array" ref="M177">_xlfn.IFS(L177&lt;100,"Economy",L177&lt;200,"Standard",L177&lt;350,"Powerful",L177&lt;500,"High Performance",L177&lt;800,"Sports Performance",L177&gt;=800,"Super Performance")</f>
        <v>Standard</v>
      </c>
    </row>
    <row r="178" spans="1:13" x14ac:dyDescent="0.25">
      <c r="A178" s="5" t="s">
        <v>93</v>
      </c>
      <c r="B178" s="3" t="s">
        <v>263</v>
      </c>
      <c r="C178" s="3" t="s">
        <v>265</v>
      </c>
      <c r="D178" s="4">
        <v>936000</v>
      </c>
      <c r="E178" s="3">
        <v>1462</v>
      </c>
      <c r="F178" s="3">
        <v>4</v>
      </c>
      <c r="G178" s="3" t="s">
        <v>10</v>
      </c>
      <c r="H178" s="3" t="s">
        <v>242</v>
      </c>
      <c r="I178" s="3">
        <v>7</v>
      </c>
      <c r="J178" s="3" t="s">
        <v>30</v>
      </c>
      <c r="K178" s="18">
        <v>103</v>
      </c>
      <c r="L178" s="16">
        <v>130</v>
      </c>
      <c r="M178" s="6" t="str" cm="1">
        <f t="array" ref="M178">_xlfn.IFS(L178&lt;100,"Economy",L178&lt;200,"Standard",L178&lt;350,"Powerful",L178&lt;500,"High Performance",L178&lt;800,"Sports Performance",L178&gt;=800,"Super Performance")</f>
        <v>Standard</v>
      </c>
    </row>
    <row r="179" spans="1:13" x14ac:dyDescent="0.25">
      <c r="A179" s="5" t="s">
        <v>93</v>
      </c>
      <c r="B179" s="3" t="s">
        <v>263</v>
      </c>
      <c r="C179" s="3" t="s">
        <v>266</v>
      </c>
      <c r="D179" s="4">
        <v>971000</v>
      </c>
      <c r="E179" s="3">
        <v>1462</v>
      </c>
      <c r="F179" s="3">
        <v>4</v>
      </c>
      <c r="G179" s="3" t="s">
        <v>10</v>
      </c>
      <c r="H179" s="3" t="s">
        <v>242</v>
      </c>
      <c r="I179" s="3">
        <v>7</v>
      </c>
      <c r="J179" s="3" t="s">
        <v>12</v>
      </c>
      <c r="K179" s="18">
        <v>103</v>
      </c>
      <c r="L179" s="16">
        <v>130</v>
      </c>
      <c r="M179" s="6" t="str" cm="1">
        <f t="array" ref="M179">_xlfn.IFS(L179&lt;100,"Economy",L179&lt;200,"Standard",L179&lt;350,"Powerful",L179&lt;500,"High Performance",L179&lt;800,"Sports Performance",L179&gt;=800,"Super Performance")</f>
        <v>Standard</v>
      </c>
    </row>
    <row r="180" spans="1:13" x14ac:dyDescent="0.25">
      <c r="A180" s="5" t="s">
        <v>93</v>
      </c>
      <c r="B180" s="3" t="s">
        <v>263</v>
      </c>
      <c r="C180" s="3" t="s">
        <v>99</v>
      </c>
      <c r="D180" s="4">
        <v>834000</v>
      </c>
      <c r="E180" s="3">
        <v>1462</v>
      </c>
      <c r="F180" s="3">
        <v>4</v>
      </c>
      <c r="G180" s="3" t="s">
        <v>10</v>
      </c>
      <c r="H180" s="3" t="s">
        <v>242</v>
      </c>
      <c r="I180" s="3">
        <v>7</v>
      </c>
      <c r="J180" s="3" t="s">
        <v>12</v>
      </c>
      <c r="K180" s="18">
        <v>103</v>
      </c>
      <c r="L180" s="16">
        <v>180</v>
      </c>
      <c r="M180" s="6" t="str" cm="1">
        <f t="array" ref="M180">_xlfn.IFS(L180&lt;100,"Economy",L180&lt;200,"Standard",L180&lt;350,"Powerful",L180&lt;500,"High Performance",L180&lt;800,"Sports Performance",L180&gt;=800,"Super Performance")</f>
        <v>Standard</v>
      </c>
    </row>
    <row r="181" spans="1:13" x14ac:dyDescent="0.25">
      <c r="A181" s="5" t="s">
        <v>93</v>
      </c>
      <c r="B181" s="3" t="s">
        <v>263</v>
      </c>
      <c r="C181" s="3" t="s">
        <v>267</v>
      </c>
      <c r="D181" s="4">
        <v>1013000</v>
      </c>
      <c r="E181" s="3">
        <v>1462</v>
      </c>
      <c r="F181" s="3">
        <v>4</v>
      </c>
      <c r="G181" s="3" t="s">
        <v>10</v>
      </c>
      <c r="H181" s="3" t="s">
        <v>226</v>
      </c>
      <c r="I181" s="3">
        <v>7</v>
      </c>
      <c r="J181" s="3" t="s">
        <v>30</v>
      </c>
      <c r="K181" s="18">
        <v>104</v>
      </c>
      <c r="L181" s="16">
        <v>138</v>
      </c>
      <c r="M181" s="6" t="str" cm="1">
        <f t="array" ref="M181">_xlfn.IFS(L181&lt;100,"Economy",L181&lt;200,"Standard",L181&lt;350,"Powerful",L181&lt;500,"High Performance",L181&lt;800,"Sports Performance",L181&gt;=800,"Super Performance")</f>
        <v>Standard</v>
      </c>
    </row>
    <row r="182" spans="1:13" x14ac:dyDescent="0.25">
      <c r="A182" s="5" t="s">
        <v>93</v>
      </c>
      <c r="B182" s="3" t="s">
        <v>263</v>
      </c>
      <c r="C182" s="3" t="s">
        <v>268</v>
      </c>
      <c r="D182" s="4">
        <v>986689</v>
      </c>
      <c r="E182" s="3">
        <v>1498</v>
      </c>
      <c r="F182" s="3">
        <v>4</v>
      </c>
      <c r="G182" s="3" t="s">
        <v>36</v>
      </c>
      <c r="H182" s="3" t="s">
        <v>226</v>
      </c>
      <c r="I182" s="3">
        <v>7</v>
      </c>
      <c r="J182" s="3" t="s">
        <v>12</v>
      </c>
      <c r="K182" s="18">
        <v>95</v>
      </c>
      <c r="L182" s="16">
        <v>225</v>
      </c>
      <c r="M182" s="6" t="str" cm="1">
        <f t="array" ref="M182">_xlfn.IFS(L182&lt;100,"Economy",L182&lt;200,"Standard",L182&lt;350,"Powerful",L182&lt;500,"High Performance",L182&lt;800,"Sports Performance",L182&gt;=800,"Super Performance")</f>
        <v>Powerful</v>
      </c>
    </row>
    <row r="183" spans="1:13" x14ac:dyDescent="0.25">
      <c r="A183" s="5" t="s">
        <v>93</v>
      </c>
      <c r="B183" s="3" t="s">
        <v>263</v>
      </c>
      <c r="C183" s="3" t="s">
        <v>269</v>
      </c>
      <c r="D183" s="4">
        <v>1069689</v>
      </c>
      <c r="E183" s="3">
        <v>1498</v>
      </c>
      <c r="F183" s="3">
        <v>4</v>
      </c>
      <c r="G183" s="3" t="s">
        <v>36</v>
      </c>
      <c r="H183" s="3" t="s">
        <v>226</v>
      </c>
      <c r="I183" s="3">
        <v>7</v>
      </c>
      <c r="J183" s="3" t="s">
        <v>12</v>
      </c>
      <c r="K183" s="18">
        <v>95</v>
      </c>
      <c r="L183" s="16">
        <v>225</v>
      </c>
      <c r="M183" s="6" t="str" cm="1">
        <f t="array" ref="M183">_xlfn.IFS(L183&lt;100,"Economy",L183&lt;200,"Standard",L183&lt;350,"Powerful",L183&lt;500,"High Performance",L183&lt;800,"Sports Performance",L183&gt;=800,"Super Performance")</f>
        <v>Powerful</v>
      </c>
    </row>
    <row r="184" spans="1:13" x14ac:dyDescent="0.25">
      <c r="A184" s="5" t="s">
        <v>93</v>
      </c>
      <c r="B184" s="3" t="s">
        <v>263</v>
      </c>
      <c r="C184" s="3" t="s">
        <v>270</v>
      </c>
      <c r="D184" s="4">
        <v>1120689</v>
      </c>
      <c r="E184" s="3">
        <v>1498</v>
      </c>
      <c r="F184" s="3">
        <v>4</v>
      </c>
      <c r="G184" s="3" t="s">
        <v>36</v>
      </c>
      <c r="H184" s="3" t="s">
        <v>226</v>
      </c>
      <c r="I184" s="3">
        <v>7</v>
      </c>
      <c r="J184" s="3" t="s">
        <v>12</v>
      </c>
      <c r="K184" s="18">
        <v>95</v>
      </c>
      <c r="L184" s="16">
        <v>225</v>
      </c>
      <c r="M184" s="6" t="str" cm="1">
        <f t="array" ref="M184">_xlfn.IFS(L184&lt;100,"Economy",L184&lt;200,"Standard",L184&lt;350,"Powerful",L184&lt;500,"High Performance",L184&lt;800,"Sports Performance",L184&gt;=800,"Super Performance")</f>
        <v>Powerful</v>
      </c>
    </row>
    <row r="185" spans="1:13" x14ac:dyDescent="0.25">
      <c r="A185" s="5" t="s">
        <v>93</v>
      </c>
      <c r="B185" s="3" t="s">
        <v>263</v>
      </c>
      <c r="C185" s="3" t="s">
        <v>271</v>
      </c>
      <c r="D185" s="4">
        <v>887689</v>
      </c>
      <c r="E185" s="3">
        <v>1462</v>
      </c>
      <c r="F185" s="3">
        <v>4</v>
      </c>
      <c r="G185" s="3" t="s">
        <v>272</v>
      </c>
      <c r="H185" s="3" t="s">
        <v>242</v>
      </c>
      <c r="I185" s="3">
        <v>7</v>
      </c>
      <c r="J185" s="3" t="s">
        <v>12</v>
      </c>
      <c r="K185" s="18">
        <v>103</v>
      </c>
      <c r="L185" s="16">
        <v>180</v>
      </c>
      <c r="M185" s="6" t="str" cm="1">
        <f t="array" ref="M185">_xlfn.IFS(L185&lt;100,"Economy",L185&lt;200,"Standard",L185&lt;350,"Powerful",L185&lt;500,"High Performance",L185&lt;800,"Sports Performance",L185&gt;=800,"Super Performance")</f>
        <v>Standard</v>
      </c>
    </row>
    <row r="186" spans="1:13" x14ac:dyDescent="0.25">
      <c r="A186" s="5" t="s">
        <v>68</v>
      </c>
      <c r="B186" s="3" t="s">
        <v>273</v>
      </c>
      <c r="C186" s="3" t="s">
        <v>274</v>
      </c>
      <c r="D186" s="4">
        <v>6948200</v>
      </c>
      <c r="E186" s="3">
        <v>1968</v>
      </c>
      <c r="F186" s="3">
        <v>4</v>
      </c>
      <c r="G186" s="3" t="s">
        <v>36</v>
      </c>
      <c r="H186" s="3" t="s">
        <v>206</v>
      </c>
      <c r="I186" s="3">
        <v>4</v>
      </c>
      <c r="J186" s="3" t="s">
        <v>30</v>
      </c>
      <c r="K186" s="18">
        <v>190</v>
      </c>
      <c r="L186" s="16">
        <v>400</v>
      </c>
      <c r="M186" s="6" t="str" cm="1">
        <f t="array" ref="M186">_xlfn.IFS(L186&lt;100,"Economy",L186&lt;200,"Standard",L186&lt;350,"Powerful",L186&lt;500,"High Performance",L186&lt;800,"Sports Performance",L186&gt;=800,"Super Performance")</f>
        <v>High Performance</v>
      </c>
    </row>
    <row r="187" spans="1:13" x14ac:dyDescent="0.25">
      <c r="A187" s="5" t="s">
        <v>78</v>
      </c>
      <c r="B187" s="3" t="s">
        <v>275</v>
      </c>
      <c r="C187" s="3" t="s">
        <v>276</v>
      </c>
      <c r="D187" s="4">
        <v>10490000</v>
      </c>
      <c r="E187" s="3">
        <v>2998</v>
      </c>
      <c r="F187" s="3">
        <v>6</v>
      </c>
      <c r="G187" s="3" t="s">
        <v>10</v>
      </c>
      <c r="H187" s="3" t="s">
        <v>66</v>
      </c>
      <c r="I187" s="3">
        <v>7</v>
      </c>
      <c r="J187" s="3" t="s">
        <v>30</v>
      </c>
      <c r="K187" s="18">
        <v>335</v>
      </c>
      <c r="L187" s="16">
        <v>450</v>
      </c>
      <c r="M187" s="6" t="str" cm="1">
        <f t="array" ref="M187">_xlfn.IFS(L187&lt;100,"Economy",L187&lt;200,"Standard",L187&lt;350,"Powerful",L187&lt;500,"High Performance",L187&lt;800,"Sports Performance",L187&gt;=800,"Super Performance")</f>
        <v>High Performance</v>
      </c>
    </row>
    <row r="188" spans="1:13" x14ac:dyDescent="0.25">
      <c r="A188" s="5" t="s">
        <v>78</v>
      </c>
      <c r="B188" s="3" t="s">
        <v>275</v>
      </c>
      <c r="C188" s="3" t="s">
        <v>277</v>
      </c>
      <c r="D188" s="4">
        <v>10250000</v>
      </c>
      <c r="E188" s="3">
        <v>2993</v>
      </c>
      <c r="F188" s="3">
        <v>6</v>
      </c>
      <c r="G188" s="3" t="s">
        <v>36</v>
      </c>
      <c r="H188" s="3" t="s">
        <v>66</v>
      </c>
      <c r="I188" s="3">
        <v>7</v>
      </c>
      <c r="J188" s="3" t="s">
        <v>30</v>
      </c>
      <c r="K188" s="18">
        <v>262</v>
      </c>
      <c r="L188" s="16">
        <v>620</v>
      </c>
      <c r="M188" s="6" t="str" cm="1">
        <f t="array" ref="M188">_xlfn.IFS(L188&lt;100,"Economy",L188&lt;200,"Standard",L188&lt;350,"Powerful",L188&lt;500,"High Performance",L188&lt;800,"Sports Performance",L188&gt;=800,"Super Performance")</f>
        <v>Sports Performance</v>
      </c>
    </row>
    <row r="189" spans="1:13" x14ac:dyDescent="0.25">
      <c r="A189" s="5" t="s">
        <v>259</v>
      </c>
      <c r="B189" s="3" t="s">
        <v>278</v>
      </c>
      <c r="C189" s="3" t="s">
        <v>279</v>
      </c>
      <c r="D189" s="4">
        <v>52000000</v>
      </c>
      <c r="E189" s="3">
        <v>6496</v>
      </c>
      <c r="F189" s="3">
        <v>12</v>
      </c>
      <c r="G189" s="3" t="s">
        <v>10</v>
      </c>
      <c r="H189" s="3" t="s">
        <v>212</v>
      </c>
      <c r="I189" s="3">
        <v>2</v>
      </c>
      <c r="J189" s="3" t="s">
        <v>30</v>
      </c>
      <c r="K189" s="18">
        <v>789</v>
      </c>
      <c r="L189" s="16">
        <v>718</v>
      </c>
      <c r="M189" s="6" t="str" cm="1">
        <f t="array" ref="M189">_xlfn.IFS(L189&lt;100,"Economy",L189&lt;200,"Standard",L189&lt;350,"Powerful",L189&lt;500,"High Performance",L189&lt;800,"Sports Performance",L189&gt;=800,"Super Performance")</f>
        <v>Sports Performance</v>
      </c>
    </row>
    <row r="190" spans="1:13" x14ac:dyDescent="0.25">
      <c r="A190" s="5" t="s">
        <v>280</v>
      </c>
      <c r="B190" s="3" t="s">
        <v>281</v>
      </c>
      <c r="C190" s="3" t="s">
        <v>282</v>
      </c>
      <c r="D190" s="4">
        <v>26501830</v>
      </c>
      <c r="E190" s="3">
        <v>5000</v>
      </c>
      <c r="F190" s="3">
        <v>8</v>
      </c>
      <c r="G190" s="3" t="s">
        <v>10</v>
      </c>
      <c r="H190" s="3" t="s">
        <v>212</v>
      </c>
      <c r="I190" s="3">
        <v>2</v>
      </c>
      <c r="J190" s="3" t="s">
        <v>30</v>
      </c>
      <c r="K190" s="18">
        <v>567</v>
      </c>
      <c r="L190" s="16">
        <v>700</v>
      </c>
      <c r="M190" s="6" t="str" cm="1">
        <f t="array" ref="M190">_xlfn.IFS(L190&lt;100,"Economy",L190&lt;200,"Standard",L190&lt;350,"Powerful",L190&lt;500,"High Performance",L190&lt;800,"Sports Performance",L190&gt;=800,"Super Performance")</f>
        <v>Sports Performance</v>
      </c>
    </row>
    <row r="191" spans="1:13" x14ac:dyDescent="0.25">
      <c r="A191" s="5" t="s">
        <v>280</v>
      </c>
      <c r="B191" s="3" t="s">
        <v>281</v>
      </c>
      <c r="C191" s="3" t="s">
        <v>283</v>
      </c>
      <c r="D191" s="4">
        <v>28004965</v>
      </c>
      <c r="E191" s="3">
        <v>5000</v>
      </c>
      <c r="F191" s="3">
        <v>8</v>
      </c>
      <c r="G191" s="3" t="s">
        <v>10</v>
      </c>
      <c r="H191" s="3" t="s">
        <v>206</v>
      </c>
      <c r="I191" s="3">
        <v>2</v>
      </c>
      <c r="J191" s="3" t="s">
        <v>30</v>
      </c>
      <c r="K191" s="18">
        <v>567</v>
      </c>
      <c r="L191" s="16">
        <v>700</v>
      </c>
      <c r="M191" s="6" t="str" cm="1">
        <f t="array" ref="M191">_xlfn.IFS(L191&lt;100,"Economy",L191&lt;200,"Standard",L191&lt;350,"Powerful",L191&lt;500,"High Performance",L191&lt;800,"Sports Performance",L191&gt;=800,"Super Performance")</f>
        <v>Sports Performance</v>
      </c>
    </row>
    <row r="192" spans="1:13" x14ac:dyDescent="0.25">
      <c r="A192" s="5" t="s">
        <v>280</v>
      </c>
      <c r="B192" s="3" t="s">
        <v>281</v>
      </c>
      <c r="C192" s="3" t="s">
        <v>284</v>
      </c>
      <c r="D192" s="4">
        <v>9092578</v>
      </c>
      <c r="E192" s="3">
        <v>1997</v>
      </c>
      <c r="F192" s="3">
        <v>6</v>
      </c>
      <c r="G192" s="3" t="s">
        <v>10</v>
      </c>
      <c r="H192" s="3" t="s">
        <v>212</v>
      </c>
      <c r="I192" s="3">
        <v>2</v>
      </c>
      <c r="J192" s="3" t="s">
        <v>30</v>
      </c>
      <c r="K192" s="18">
        <v>297</v>
      </c>
      <c r="L192" s="16">
        <v>400</v>
      </c>
      <c r="M192" s="6" t="str" cm="1">
        <f t="array" ref="M192">_xlfn.IFS(L192&lt;100,"Economy",L192&lt;200,"Standard",L192&lt;350,"Powerful",L192&lt;500,"High Performance",L192&lt;800,"Sports Performance",L192&gt;=800,"Super Performance")</f>
        <v>High Performance</v>
      </c>
    </row>
    <row r="193" spans="1:13" x14ac:dyDescent="0.25">
      <c r="A193" s="5" t="s">
        <v>78</v>
      </c>
      <c r="B193" s="3" t="s">
        <v>285</v>
      </c>
      <c r="C193" s="3" t="s">
        <v>286</v>
      </c>
      <c r="D193" s="4">
        <v>15490000</v>
      </c>
      <c r="E193" s="3">
        <v>4395</v>
      </c>
      <c r="F193" s="3">
        <v>8</v>
      </c>
      <c r="G193" s="3" t="s">
        <v>10</v>
      </c>
      <c r="H193" s="3" t="s">
        <v>27</v>
      </c>
      <c r="I193" s="3">
        <v>4</v>
      </c>
      <c r="J193" s="3" t="s">
        <v>30</v>
      </c>
      <c r="K193" s="18">
        <v>625</v>
      </c>
      <c r="L193" s="16">
        <v>750</v>
      </c>
      <c r="M193" s="6" t="str" cm="1">
        <f t="array" ref="M193">_xlfn.IFS(L193&lt;100,"Economy",L193&lt;200,"Standard",L193&lt;350,"Powerful",L193&lt;500,"High Performance",L193&lt;800,"Sports Performance",L193&gt;=800,"Super Performance")</f>
        <v>Sports Performance</v>
      </c>
    </row>
    <row r="194" spans="1:13" x14ac:dyDescent="0.25">
      <c r="A194" s="5" t="s">
        <v>287</v>
      </c>
      <c r="B194" s="3" t="s">
        <v>288</v>
      </c>
      <c r="C194" s="3" t="s">
        <v>289</v>
      </c>
      <c r="D194" s="4">
        <v>10205494</v>
      </c>
      <c r="E194" s="3">
        <v>2993</v>
      </c>
      <c r="F194" s="3">
        <v>6</v>
      </c>
      <c r="G194" s="3" t="s">
        <v>36</v>
      </c>
      <c r="H194" s="3" t="s">
        <v>66</v>
      </c>
      <c r="I194" s="3">
        <v>7</v>
      </c>
      <c r="J194" s="3" t="s">
        <v>30</v>
      </c>
      <c r="K194" s="18">
        <v>258</v>
      </c>
      <c r="L194" s="16">
        <v>600</v>
      </c>
      <c r="M194" s="6" t="str" cm="1">
        <f t="array" ref="M194">_xlfn.IFS(L194&lt;100,"Economy",L194&lt;200,"Standard",L194&lt;350,"Powerful",L194&lt;500,"High Performance",L194&lt;800,"Sports Performance",L194&gt;=800,"Super Performance")</f>
        <v>Sports Performance</v>
      </c>
    </row>
    <row r="195" spans="1:13" x14ac:dyDescent="0.25">
      <c r="A195" s="5" t="s">
        <v>287</v>
      </c>
      <c r="B195" s="3" t="s">
        <v>288</v>
      </c>
      <c r="C195" s="3" t="s">
        <v>290</v>
      </c>
      <c r="D195" s="4">
        <v>9689321</v>
      </c>
      <c r="E195" s="3">
        <v>2993</v>
      </c>
      <c r="F195" s="3">
        <v>6</v>
      </c>
      <c r="G195" s="3" t="s">
        <v>36</v>
      </c>
      <c r="H195" s="3" t="s">
        <v>66</v>
      </c>
      <c r="I195" s="3">
        <v>7</v>
      </c>
      <c r="J195" s="3" t="s">
        <v>30</v>
      </c>
      <c r="K195" s="18">
        <v>258</v>
      </c>
      <c r="L195" s="16">
        <v>600</v>
      </c>
      <c r="M195" s="6" t="str" cm="1">
        <f t="array" ref="M195">_xlfn.IFS(L195&lt;100,"Economy",L195&lt;200,"Standard",L195&lt;350,"Powerful",L195&lt;500,"High Performance",L195&lt;800,"Sports Performance",L195&gt;=800,"Super Performance")</f>
        <v>Sports Performance</v>
      </c>
    </row>
    <row r="196" spans="1:13" x14ac:dyDescent="0.25">
      <c r="A196" s="5" t="s">
        <v>287</v>
      </c>
      <c r="B196" s="3" t="s">
        <v>288</v>
      </c>
      <c r="C196" s="3" t="s">
        <v>291</v>
      </c>
      <c r="D196" s="4">
        <v>8433741</v>
      </c>
      <c r="E196" s="3">
        <v>2995</v>
      </c>
      <c r="F196" s="3">
        <v>6</v>
      </c>
      <c r="G196" s="3" t="s">
        <v>10</v>
      </c>
      <c r="H196" s="3" t="s">
        <v>66</v>
      </c>
      <c r="I196" s="3">
        <v>7</v>
      </c>
      <c r="J196" s="3" t="s">
        <v>30</v>
      </c>
      <c r="K196" s="18">
        <v>394</v>
      </c>
      <c r="L196" s="16">
        <v>450</v>
      </c>
      <c r="M196" s="6" t="str" cm="1">
        <f t="array" ref="M196">_xlfn.IFS(L196&lt;100,"Economy",L196&lt;200,"Standard",L196&lt;350,"Powerful",L196&lt;500,"High Performance",L196&lt;800,"Sports Performance",L196&gt;=800,"Super Performance")</f>
        <v>High Performance</v>
      </c>
    </row>
    <row r="197" spans="1:13" x14ac:dyDescent="0.25">
      <c r="A197" s="5" t="s">
        <v>287</v>
      </c>
      <c r="B197" s="3" t="s">
        <v>288</v>
      </c>
      <c r="C197" s="3" t="s">
        <v>292</v>
      </c>
      <c r="D197" s="4">
        <v>8077550</v>
      </c>
      <c r="E197" s="3">
        <v>2995</v>
      </c>
      <c r="F197" s="3">
        <v>6</v>
      </c>
      <c r="G197" s="3" t="s">
        <v>10</v>
      </c>
      <c r="H197" s="3" t="s">
        <v>66</v>
      </c>
      <c r="I197" s="3">
        <v>7</v>
      </c>
      <c r="J197" s="3" t="s">
        <v>30</v>
      </c>
      <c r="K197" s="18">
        <v>394</v>
      </c>
      <c r="L197" s="16">
        <v>450</v>
      </c>
      <c r="M197" s="6" t="str" cm="1">
        <f t="array" ref="M197">_xlfn.IFS(L197&lt;100,"Economy",L197&lt;200,"Standard",L197&lt;350,"Powerful",L197&lt;500,"High Performance",L197&lt;800,"Sports Performance",L197&gt;=800,"Super Performance")</f>
        <v>High Performance</v>
      </c>
    </row>
    <row r="198" spans="1:13" x14ac:dyDescent="0.25">
      <c r="A198" s="5" t="s">
        <v>287</v>
      </c>
      <c r="B198" s="3" t="s">
        <v>288</v>
      </c>
      <c r="C198" s="3" t="s">
        <v>293</v>
      </c>
      <c r="D198" s="4">
        <v>8877094</v>
      </c>
      <c r="E198" s="3">
        <v>2993</v>
      </c>
      <c r="F198" s="3">
        <v>6</v>
      </c>
      <c r="G198" s="3" t="s">
        <v>36</v>
      </c>
      <c r="H198" s="3" t="s">
        <v>66</v>
      </c>
      <c r="I198" s="3">
        <v>7</v>
      </c>
      <c r="J198" s="3" t="s">
        <v>30</v>
      </c>
      <c r="K198" s="18">
        <v>258</v>
      </c>
      <c r="L198" s="16">
        <v>600</v>
      </c>
      <c r="M198" s="6" t="str" cm="1">
        <f t="array" ref="M198">_xlfn.IFS(L198&lt;100,"Economy",L198&lt;200,"Standard",L198&lt;350,"Powerful",L198&lt;500,"High Performance",L198&lt;800,"Sports Performance",L198&gt;=800,"Super Performance")</f>
        <v>Sports Performance</v>
      </c>
    </row>
    <row r="199" spans="1:13" x14ac:dyDescent="0.25">
      <c r="A199" s="5" t="s">
        <v>287</v>
      </c>
      <c r="B199" s="3" t="s">
        <v>288</v>
      </c>
      <c r="C199" s="3" t="s">
        <v>294</v>
      </c>
      <c r="D199" s="4">
        <v>7693664</v>
      </c>
      <c r="E199" s="3">
        <v>2995</v>
      </c>
      <c r="F199" s="3">
        <v>6</v>
      </c>
      <c r="G199" s="3" t="s">
        <v>10</v>
      </c>
      <c r="H199" s="3" t="s">
        <v>66</v>
      </c>
      <c r="I199" s="3">
        <v>7</v>
      </c>
      <c r="J199" s="3" t="s">
        <v>30</v>
      </c>
      <c r="K199" s="18">
        <v>394</v>
      </c>
      <c r="L199" s="16">
        <v>450</v>
      </c>
      <c r="M199" s="6" t="str" cm="1">
        <f t="array" ref="M199">_xlfn.IFS(L199&lt;100,"Economy",L199&lt;200,"Standard",L199&lt;350,"Powerful",L199&lt;500,"High Performance",L199&lt;800,"Sports Performance",L199&gt;=800,"Super Performance")</f>
        <v>High Performance</v>
      </c>
    </row>
    <row r="200" spans="1:13" x14ac:dyDescent="0.25">
      <c r="A200" s="5" t="s">
        <v>287</v>
      </c>
      <c r="B200" s="3" t="s">
        <v>288</v>
      </c>
      <c r="C200" s="3" t="s">
        <v>295</v>
      </c>
      <c r="D200" s="4">
        <v>10861088</v>
      </c>
      <c r="E200" s="3">
        <v>2993</v>
      </c>
      <c r="F200" s="3">
        <v>6</v>
      </c>
      <c r="G200" s="3" t="s">
        <v>36</v>
      </c>
      <c r="H200" s="3" t="s">
        <v>66</v>
      </c>
      <c r="I200" s="3">
        <v>7</v>
      </c>
      <c r="J200" s="3" t="s">
        <v>30</v>
      </c>
      <c r="K200" s="18">
        <v>258</v>
      </c>
      <c r="L200" s="16">
        <v>600</v>
      </c>
      <c r="M200" s="6" t="str" cm="1">
        <f t="array" ref="M200">_xlfn.IFS(L200&lt;100,"Economy",L200&lt;200,"Standard",L200&lt;350,"Powerful",L200&lt;500,"High Performance",L200&lt;800,"Sports Performance",L200&gt;=800,"Super Performance")</f>
        <v>Sports Performance</v>
      </c>
    </row>
    <row r="201" spans="1:13" x14ac:dyDescent="0.25">
      <c r="A201" s="5" t="s">
        <v>287</v>
      </c>
      <c r="B201" s="3" t="s">
        <v>288</v>
      </c>
      <c r="C201" s="3" t="s">
        <v>296</v>
      </c>
      <c r="D201" s="4">
        <v>8937846</v>
      </c>
      <c r="E201" s="3">
        <v>2995</v>
      </c>
      <c r="F201" s="3">
        <v>6</v>
      </c>
      <c r="G201" s="3" t="s">
        <v>10</v>
      </c>
      <c r="H201" s="3" t="s">
        <v>66</v>
      </c>
      <c r="I201" s="3">
        <v>7</v>
      </c>
      <c r="J201" s="3" t="s">
        <v>30</v>
      </c>
      <c r="K201" s="18">
        <v>394</v>
      </c>
      <c r="L201" s="16">
        <v>450</v>
      </c>
      <c r="M201" s="6" t="str" cm="1">
        <f t="array" ref="M201">_xlfn.IFS(L201&lt;100,"Economy",L201&lt;200,"Standard",L201&lt;350,"Powerful",L201&lt;500,"High Performance",L201&lt;800,"Sports Performance",L201&gt;=800,"Super Performance")</f>
        <v>High Performance</v>
      </c>
    </row>
    <row r="202" spans="1:13" x14ac:dyDescent="0.25">
      <c r="A202" s="5" t="s">
        <v>297</v>
      </c>
      <c r="B202" s="3" t="s">
        <v>298</v>
      </c>
      <c r="C202" s="3" t="s">
        <v>299</v>
      </c>
      <c r="D202" s="4">
        <v>13151000</v>
      </c>
      <c r="E202" s="3">
        <v>2995</v>
      </c>
      <c r="F202" s="3">
        <v>6</v>
      </c>
      <c r="G202" s="3" t="s">
        <v>10</v>
      </c>
      <c r="H202" s="3" t="s">
        <v>66</v>
      </c>
      <c r="I202" s="3">
        <v>5</v>
      </c>
      <c r="J202" s="3" t="s">
        <v>30</v>
      </c>
      <c r="K202" s="18">
        <v>340</v>
      </c>
      <c r="L202" s="16">
        <v>450</v>
      </c>
      <c r="M202" s="6" t="str" cm="1">
        <f t="array" ref="M202">_xlfn.IFS(L202&lt;100,"Economy",L202&lt;200,"Standard",L202&lt;350,"Powerful",L202&lt;500,"High Performance",L202&lt;800,"Sports Performance",L202&gt;=800,"Super Performance")</f>
        <v>High Performance</v>
      </c>
    </row>
    <row r="203" spans="1:13" x14ac:dyDescent="0.25">
      <c r="A203" s="5" t="s">
        <v>297</v>
      </c>
      <c r="B203" s="3" t="s">
        <v>298</v>
      </c>
      <c r="C203" s="3" t="s">
        <v>300</v>
      </c>
      <c r="D203" s="4">
        <v>19763000</v>
      </c>
      <c r="E203" s="3">
        <v>2995</v>
      </c>
      <c r="F203" s="3">
        <v>8</v>
      </c>
      <c r="G203" s="3" t="s">
        <v>10</v>
      </c>
      <c r="H203" s="3" t="s">
        <v>66</v>
      </c>
      <c r="I203" s="3">
        <v>5</v>
      </c>
      <c r="J203" s="3" t="s">
        <v>30</v>
      </c>
      <c r="K203" s="18">
        <v>550</v>
      </c>
      <c r="L203" s="16">
        <v>770</v>
      </c>
      <c r="M203" s="6" t="str" cm="1">
        <f t="array" ref="M203">_xlfn.IFS(L203&lt;100,"Economy",L203&lt;200,"Standard",L203&lt;350,"Powerful",L203&lt;500,"High Performance",L203&lt;800,"Sports Performance",L203&gt;=800,"Super Performance")</f>
        <v>Sports Performance</v>
      </c>
    </row>
    <row r="204" spans="1:13" x14ac:dyDescent="0.25">
      <c r="A204" s="5" t="s">
        <v>301</v>
      </c>
      <c r="B204" s="3" t="s">
        <v>302</v>
      </c>
      <c r="C204" s="3" t="s">
        <v>303</v>
      </c>
      <c r="D204" s="4">
        <v>739074</v>
      </c>
      <c r="E204" s="3">
        <v>1248</v>
      </c>
      <c r="F204" s="3">
        <v>4</v>
      </c>
      <c r="G204" s="3" t="s">
        <v>36</v>
      </c>
      <c r="H204" s="3" t="s">
        <v>304</v>
      </c>
      <c r="I204" s="3">
        <v>5</v>
      </c>
      <c r="J204" s="3" t="s">
        <v>12</v>
      </c>
      <c r="K204" s="18">
        <v>93</v>
      </c>
      <c r="L204" s="16">
        <v>209</v>
      </c>
      <c r="M204" s="6" t="str" cm="1">
        <f t="array" ref="M204">_xlfn.IFS(L204&lt;100,"Economy",L204&lt;200,"Standard",L204&lt;350,"Powerful",L204&lt;500,"High Performance",L204&lt;800,"Sports Performance",L204&gt;=800,"Super Performance")</f>
        <v>Powerful</v>
      </c>
    </row>
    <row r="205" spans="1:13" x14ac:dyDescent="0.25">
      <c r="A205" s="5" t="s">
        <v>143</v>
      </c>
      <c r="B205" s="3" t="s">
        <v>305</v>
      </c>
      <c r="C205" s="3" t="s">
        <v>247</v>
      </c>
      <c r="D205" s="4">
        <v>3600000</v>
      </c>
      <c r="E205" s="3">
        <v>1496</v>
      </c>
      <c r="F205" s="3">
        <v>3</v>
      </c>
      <c r="G205" s="3" t="s">
        <v>10</v>
      </c>
      <c r="H205" s="3" t="s">
        <v>11</v>
      </c>
      <c r="I205" s="3">
        <v>5</v>
      </c>
      <c r="J205" s="3" t="s">
        <v>30</v>
      </c>
      <c r="K205" s="18">
        <v>116</v>
      </c>
      <c r="L205" s="16">
        <v>270</v>
      </c>
      <c r="M205" s="6" t="str" cm="1">
        <f t="array" ref="M205">_xlfn.IFS(L205&lt;100,"Economy",L205&lt;200,"Standard",L205&lt;350,"Powerful",L205&lt;500,"High Performance",L205&lt;800,"Sports Performance",L205&gt;=800,"Super Performance")</f>
        <v>Powerful</v>
      </c>
    </row>
    <row r="206" spans="1:13" x14ac:dyDescent="0.25">
      <c r="A206" s="5" t="s">
        <v>63</v>
      </c>
      <c r="B206" s="3" t="s">
        <v>83</v>
      </c>
      <c r="C206" s="3" t="s">
        <v>306</v>
      </c>
      <c r="D206" s="4">
        <v>8931819</v>
      </c>
      <c r="E206" s="3">
        <v>2987</v>
      </c>
      <c r="F206" s="3">
        <v>6</v>
      </c>
      <c r="G206" s="3" t="s">
        <v>36</v>
      </c>
      <c r="H206" s="3" t="s">
        <v>66</v>
      </c>
      <c r="I206" s="3">
        <v>5</v>
      </c>
      <c r="J206" s="3" t="s">
        <v>30</v>
      </c>
      <c r="K206" s="18">
        <v>240</v>
      </c>
      <c r="L206" s="16">
        <v>570</v>
      </c>
      <c r="M206" s="6" t="str" cm="1">
        <f t="array" ref="M206">_xlfn.IFS(L206&lt;100,"Economy",L206&lt;200,"Standard",L206&lt;350,"Powerful",L206&lt;500,"High Performance",L206&lt;800,"Sports Performance",L206&gt;=800,"Super Performance")</f>
        <v>Sports Performance</v>
      </c>
    </row>
    <row r="207" spans="1:13" x14ac:dyDescent="0.25">
      <c r="A207" s="5" t="s">
        <v>170</v>
      </c>
      <c r="B207" s="3" t="s">
        <v>307</v>
      </c>
      <c r="C207" s="3" t="s">
        <v>308</v>
      </c>
      <c r="D207" s="4">
        <v>9900000</v>
      </c>
      <c r="E207" s="3">
        <v>3456</v>
      </c>
      <c r="F207" s="3">
        <v>6</v>
      </c>
      <c r="G207" s="3" t="s">
        <v>10</v>
      </c>
      <c r="H207" s="3" t="s">
        <v>66</v>
      </c>
      <c r="I207" s="3">
        <v>5</v>
      </c>
      <c r="J207" s="3" t="s">
        <v>30</v>
      </c>
      <c r="K207" s="18">
        <v>262</v>
      </c>
      <c r="L207" s="16">
        <v>335</v>
      </c>
      <c r="M207" s="6" t="str" cm="1">
        <f t="array" ref="M207">_xlfn.IFS(L207&lt;100,"Economy",L207&lt;200,"Standard",L207&lt;350,"Powerful",L207&lt;500,"High Performance",L207&lt;800,"Sports Performance",L207&gt;=800,"Super Performance")</f>
        <v>Powerful</v>
      </c>
    </row>
    <row r="208" spans="1:13" x14ac:dyDescent="0.25">
      <c r="A208" s="5" t="s">
        <v>170</v>
      </c>
      <c r="B208" s="3" t="s">
        <v>309</v>
      </c>
      <c r="C208" s="3" t="s">
        <v>87</v>
      </c>
      <c r="D208" s="4">
        <v>23290000</v>
      </c>
      <c r="E208" s="3">
        <v>4461</v>
      </c>
      <c r="F208" s="3">
        <v>0</v>
      </c>
      <c r="G208" s="3" t="s">
        <v>36</v>
      </c>
      <c r="H208" s="3" t="s">
        <v>66</v>
      </c>
      <c r="I208" s="3">
        <v>7</v>
      </c>
      <c r="J208" s="3" t="s">
        <v>30</v>
      </c>
      <c r="K208" s="18">
        <v>261</v>
      </c>
      <c r="L208" s="16">
        <v>650</v>
      </c>
      <c r="M208" s="6" t="str" cm="1">
        <f t="array" ref="M208">_xlfn.IFS(L208&lt;100,"Economy",L208&lt;200,"Standard",L208&lt;350,"Powerful",L208&lt;500,"High Performance",L208&lt;800,"Sports Performance",L208&gt;=800,"Super Performance")</f>
        <v>Sports Performance</v>
      </c>
    </row>
    <row r="209" spans="1:13" x14ac:dyDescent="0.25">
      <c r="A209" s="5" t="s">
        <v>202</v>
      </c>
      <c r="B209" s="3" t="s">
        <v>310</v>
      </c>
      <c r="C209" s="3" t="s">
        <v>311</v>
      </c>
      <c r="D209" s="4">
        <v>992748</v>
      </c>
      <c r="E209" s="3">
        <v>2179</v>
      </c>
      <c r="F209" s="3">
        <v>3</v>
      </c>
      <c r="G209" s="3" t="s">
        <v>36</v>
      </c>
      <c r="H209" s="3" t="s">
        <v>66</v>
      </c>
      <c r="I209" s="3">
        <v>9</v>
      </c>
      <c r="J209" s="3" t="s">
        <v>12</v>
      </c>
      <c r="K209" s="18">
        <v>120</v>
      </c>
      <c r="L209" s="16">
        <v>280</v>
      </c>
      <c r="M209" s="6" t="str" cm="1">
        <f t="array" ref="M209">_xlfn.IFS(L209&lt;100,"Economy",L209&lt;200,"Standard",L209&lt;350,"Powerful",L209&lt;500,"High Performance",L209&lt;800,"Sports Performance",L209&gt;=800,"Super Performance")</f>
        <v>Powerful</v>
      </c>
    </row>
    <row r="210" spans="1:13" x14ac:dyDescent="0.25">
      <c r="A210" s="5" t="s">
        <v>202</v>
      </c>
      <c r="B210" s="3" t="s">
        <v>310</v>
      </c>
      <c r="C210" s="3" t="s">
        <v>312</v>
      </c>
      <c r="D210" s="4">
        <v>1029650</v>
      </c>
      <c r="E210" s="3">
        <v>2179</v>
      </c>
      <c r="F210" s="3">
        <v>3</v>
      </c>
      <c r="G210" s="3" t="s">
        <v>36</v>
      </c>
      <c r="H210" s="3" t="s">
        <v>66</v>
      </c>
      <c r="I210" s="3">
        <v>9</v>
      </c>
      <c r="J210" s="3" t="s">
        <v>12</v>
      </c>
      <c r="K210" s="18">
        <v>120</v>
      </c>
      <c r="L210" s="16">
        <v>280</v>
      </c>
      <c r="M210" s="6" t="str" cm="1">
        <f t="array" ref="M210">_xlfn.IFS(L210&lt;100,"Economy",L210&lt;200,"Standard",L210&lt;350,"Powerful",L210&lt;500,"High Performance",L210&lt;800,"Sports Performance",L210&gt;=800,"Super Performance")</f>
        <v>Powerful</v>
      </c>
    </row>
    <row r="211" spans="1:13" x14ac:dyDescent="0.25">
      <c r="A211" s="5" t="s">
        <v>202</v>
      </c>
      <c r="B211" s="3" t="s">
        <v>310</v>
      </c>
      <c r="C211" s="3" t="s">
        <v>313</v>
      </c>
      <c r="D211" s="4">
        <v>1142157</v>
      </c>
      <c r="E211" s="3">
        <v>2179</v>
      </c>
      <c r="F211" s="3">
        <v>3</v>
      </c>
      <c r="G211" s="3" t="s">
        <v>36</v>
      </c>
      <c r="H211" s="3" t="s">
        <v>66</v>
      </c>
      <c r="I211" s="3">
        <v>9</v>
      </c>
      <c r="J211" s="3" t="s">
        <v>12</v>
      </c>
      <c r="K211" s="18">
        <v>120</v>
      </c>
      <c r="L211" s="16">
        <v>280</v>
      </c>
      <c r="M211" s="6" t="str" cm="1">
        <f t="array" ref="M211">_xlfn.IFS(L211&lt;100,"Economy",L211&lt;200,"Standard",L211&lt;350,"Powerful",L211&lt;500,"High Performance",L211&lt;800,"Sports Performance",L211&gt;=800,"Super Performance")</f>
        <v>Powerful</v>
      </c>
    </row>
    <row r="212" spans="1:13" x14ac:dyDescent="0.25">
      <c r="A212" s="5" t="s">
        <v>202</v>
      </c>
      <c r="B212" s="3" t="s">
        <v>314</v>
      </c>
      <c r="C212" s="3" t="s">
        <v>315</v>
      </c>
      <c r="D212" s="4">
        <v>1293214</v>
      </c>
      <c r="E212" s="3">
        <v>72</v>
      </c>
      <c r="F212" s="3">
        <v>0</v>
      </c>
      <c r="G212" s="3" t="s">
        <v>141</v>
      </c>
      <c r="H212" s="3" t="s">
        <v>27</v>
      </c>
      <c r="I212" s="3">
        <v>5</v>
      </c>
      <c r="J212" s="3" t="s">
        <v>30</v>
      </c>
      <c r="K212" s="18">
        <v>41</v>
      </c>
      <c r="L212" s="16">
        <v>91</v>
      </c>
      <c r="M212" s="6" t="str" cm="1">
        <f t="array" ref="M212">_xlfn.IFS(L212&lt;100,"Economy",L212&lt;200,"Standard",L212&lt;350,"Powerful",L212&lt;500,"High Performance",L212&lt;800,"Sports Performance",L212&gt;=800,"Super Performance")</f>
        <v>Economy</v>
      </c>
    </row>
    <row r="213" spans="1:13" x14ac:dyDescent="0.25">
      <c r="A213" s="5" t="s">
        <v>202</v>
      </c>
      <c r="B213" s="3" t="s">
        <v>314</v>
      </c>
      <c r="C213" s="3" t="s">
        <v>316</v>
      </c>
      <c r="D213" s="4">
        <v>1267208</v>
      </c>
      <c r="E213" s="3">
        <v>72</v>
      </c>
      <c r="F213" s="3">
        <v>0</v>
      </c>
      <c r="G213" s="3" t="s">
        <v>141</v>
      </c>
      <c r="H213" s="3" t="s">
        <v>27</v>
      </c>
      <c r="I213" s="3">
        <v>5</v>
      </c>
      <c r="J213" s="3" t="s">
        <v>30</v>
      </c>
      <c r="K213" s="18">
        <v>41</v>
      </c>
      <c r="L213" s="16">
        <v>91</v>
      </c>
      <c r="M213" s="6" t="str" cm="1">
        <f t="array" ref="M213">_xlfn.IFS(L213&lt;100,"Economy",L213&lt;200,"Standard",L213&lt;350,"Powerful",L213&lt;500,"High Performance",L213&lt;800,"Sports Performance",L213&gt;=800,"Super Performance")</f>
        <v>Economy</v>
      </c>
    </row>
    <row r="214" spans="1:13" x14ac:dyDescent="0.25">
      <c r="A214" s="5" t="s">
        <v>202</v>
      </c>
      <c r="B214" s="3" t="s">
        <v>314</v>
      </c>
      <c r="C214" s="3" t="s">
        <v>317</v>
      </c>
      <c r="D214" s="4">
        <v>1303241</v>
      </c>
      <c r="E214" s="3">
        <v>72</v>
      </c>
      <c r="F214" s="3">
        <v>0</v>
      </c>
      <c r="G214" s="3" t="s">
        <v>141</v>
      </c>
      <c r="H214" s="3" t="s">
        <v>27</v>
      </c>
      <c r="I214" s="3">
        <v>5</v>
      </c>
      <c r="J214" s="3" t="s">
        <v>30</v>
      </c>
      <c r="K214" s="18">
        <v>41</v>
      </c>
      <c r="L214" s="16">
        <v>91</v>
      </c>
      <c r="M214" s="6" t="str" cm="1">
        <f t="array" ref="M214">_xlfn.IFS(L214&lt;100,"Economy",L214&lt;200,"Standard",L214&lt;350,"Powerful",L214&lt;500,"High Performance",L214&lt;800,"Sports Performance",L214&gt;=800,"Super Performance")</f>
        <v>Economy</v>
      </c>
    </row>
    <row r="215" spans="1:13" x14ac:dyDescent="0.25">
      <c r="A215" s="5" t="s">
        <v>146</v>
      </c>
      <c r="B215" s="3" t="s">
        <v>318</v>
      </c>
      <c r="C215" s="3" t="s">
        <v>319</v>
      </c>
      <c r="D215" s="4">
        <v>6952964</v>
      </c>
      <c r="E215" s="3">
        <v>1998</v>
      </c>
      <c r="F215" s="3">
        <v>4</v>
      </c>
      <c r="G215" s="3" t="s">
        <v>10</v>
      </c>
      <c r="H215" s="3" t="s">
        <v>206</v>
      </c>
      <c r="I215" s="3">
        <v>4</v>
      </c>
      <c r="J215" s="3" t="s">
        <v>30</v>
      </c>
      <c r="K215" s="18">
        <v>240</v>
      </c>
      <c r="L215" s="16">
        <v>340</v>
      </c>
      <c r="M215" s="6" t="str" cm="1">
        <f t="array" ref="M215">_xlfn.IFS(L215&lt;100,"Economy",L215&lt;200,"Standard",L215&lt;350,"Powerful",L215&lt;500,"High Performance",L215&lt;800,"Sports Performance",L215&gt;=800,"Super Performance")</f>
        <v>Powerful</v>
      </c>
    </row>
    <row r="216" spans="1:13" x14ac:dyDescent="0.25">
      <c r="A216" s="5" t="s">
        <v>146</v>
      </c>
      <c r="B216" s="3" t="s">
        <v>320</v>
      </c>
      <c r="C216" s="3" t="s">
        <v>321</v>
      </c>
      <c r="D216" s="4">
        <v>7246802</v>
      </c>
      <c r="E216" s="3">
        <v>1997</v>
      </c>
      <c r="F216" s="3">
        <v>4</v>
      </c>
      <c r="G216" s="3" t="s">
        <v>10</v>
      </c>
      <c r="H216" s="3" t="s">
        <v>66</v>
      </c>
      <c r="I216" s="3">
        <v>5</v>
      </c>
      <c r="J216" s="3" t="s">
        <v>30</v>
      </c>
      <c r="K216" s="18">
        <v>250</v>
      </c>
      <c r="L216" s="16">
        <v>365</v>
      </c>
      <c r="M216" s="6" t="str" cm="1">
        <f t="array" ref="M216">_xlfn.IFS(L216&lt;100,"Economy",L216&lt;200,"Standard",L216&lt;350,"Powerful",L216&lt;500,"High Performance",L216&lt;800,"Sports Performance",L216&gt;=800,"Super Performance")</f>
        <v>High Performance</v>
      </c>
    </row>
    <row r="217" spans="1:13" x14ac:dyDescent="0.25">
      <c r="A217" s="5" t="s">
        <v>90</v>
      </c>
      <c r="B217" s="3" t="s">
        <v>322</v>
      </c>
      <c r="C217" s="3" t="s">
        <v>323</v>
      </c>
      <c r="D217" s="4">
        <v>21583466</v>
      </c>
      <c r="E217" s="3">
        <v>3982</v>
      </c>
      <c r="F217" s="3">
        <v>8</v>
      </c>
      <c r="G217" s="3" t="s">
        <v>10</v>
      </c>
      <c r="H217" s="3" t="s">
        <v>212</v>
      </c>
      <c r="I217" s="3">
        <v>2</v>
      </c>
      <c r="J217" s="3" t="s">
        <v>30</v>
      </c>
      <c r="K217" s="18">
        <v>510</v>
      </c>
      <c r="L217" s="16">
        <v>650</v>
      </c>
      <c r="M217" s="6" t="str" cm="1">
        <f t="array" ref="M217">_xlfn.IFS(L217&lt;100,"Economy",L217&lt;200,"Standard",L217&lt;350,"Powerful",L217&lt;500,"High Performance",L217&lt;800,"Sports Performance",L217&gt;=800,"Super Performance")</f>
        <v>Sports Performance</v>
      </c>
    </row>
    <row r="218" spans="1:13" x14ac:dyDescent="0.25">
      <c r="A218" s="5" t="s">
        <v>90</v>
      </c>
      <c r="B218" s="3" t="s">
        <v>322</v>
      </c>
      <c r="C218" s="3" t="s">
        <v>324</v>
      </c>
      <c r="D218" s="4">
        <v>23264134</v>
      </c>
      <c r="E218" s="3">
        <v>3982</v>
      </c>
      <c r="F218" s="3">
        <v>8</v>
      </c>
      <c r="G218" s="3" t="s">
        <v>10</v>
      </c>
      <c r="H218" s="3" t="s">
        <v>212</v>
      </c>
      <c r="I218" s="3">
        <v>2</v>
      </c>
      <c r="J218" s="3" t="s">
        <v>30</v>
      </c>
      <c r="K218" s="18">
        <v>585</v>
      </c>
      <c r="L218" s="16">
        <v>700</v>
      </c>
      <c r="M218" s="6" t="str" cm="1">
        <f t="array" ref="M218">_xlfn.IFS(L218&lt;100,"Economy",L218&lt;200,"Standard",L218&lt;350,"Powerful",L218&lt;500,"High Performance",L218&lt;800,"Sports Performance",L218&gt;=800,"Super Performance")</f>
        <v>Sports Performance</v>
      </c>
    </row>
    <row r="219" spans="1:13" x14ac:dyDescent="0.25">
      <c r="A219" s="5" t="s">
        <v>90</v>
      </c>
      <c r="B219" s="3" t="s">
        <v>322</v>
      </c>
      <c r="C219" s="3" t="s">
        <v>325</v>
      </c>
      <c r="D219" s="4">
        <v>22733626</v>
      </c>
      <c r="E219" s="3">
        <v>3982</v>
      </c>
      <c r="F219" s="3">
        <v>8</v>
      </c>
      <c r="G219" s="3" t="s">
        <v>10</v>
      </c>
      <c r="H219" s="3" t="s">
        <v>212</v>
      </c>
      <c r="I219" s="3">
        <v>2</v>
      </c>
      <c r="J219" s="3" t="s">
        <v>30</v>
      </c>
      <c r="K219" s="18">
        <v>476</v>
      </c>
      <c r="L219" s="16">
        <v>630</v>
      </c>
      <c r="M219" s="6" t="str" cm="1">
        <f t="array" ref="M219">_xlfn.IFS(L219&lt;100,"Economy",L219&lt;200,"Standard",L219&lt;350,"Powerful",L219&lt;500,"High Performance",L219&lt;800,"Sports Performance",L219&gt;=800,"Super Performance")</f>
        <v>Sports Performance</v>
      </c>
    </row>
    <row r="220" spans="1:13" x14ac:dyDescent="0.25">
      <c r="A220" s="5" t="s">
        <v>85</v>
      </c>
      <c r="B220" s="3" t="s">
        <v>326</v>
      </c>
      <c r="C220" s="3" t="s">
        <v>327</v>
      </c>
      <c r="D220" s="4">
        <v>41000000</v>
      </c>
      <c r="E220" s="3">
        <v>5204</v>
      </c>
      <c r="F220" s="3">
        <v>10</v>
      </c>
      <c r="G220" s="3" t="s">
        <v>10</v>
      </c>
      <c r="H220" s="3" t="s">
        <v>206</v>
      </c>
      <c r="I220" s="3">
        <v>2</v>
      </c>
      <c r="J220" s="3" t="s">
        <v>30</v>
      </c>
      <c r="K220" s="18">
        <v>631</v>
      </c>
      <c r="L220" s="16">
        <v>600</v>
      </c>
      <c r="M220" s="6" t="str" cm="1">
        <f t="array" ref="M220">_xlfn.IFS(L220&lt;100,"Economy",L220&lt;200,"Standard",L220&lt;350,"Powerful",L220&lt;500,"High Performance",L220&lt;800,"Sports Performance",L220&gt;=800,"Super Performance")</f>
        <v>Sports Performance</v>
      </c>
    </row>
    <row r="221" spans="1:13" x14ac:dyDescent="0.25">
      <c r="A221" s="5" t="s">
        <v>85</v>
      </c>
      <c r="B221" s="3" t="s">
        <v>326</v>
      </c>
      <c r="C221" s="3" t="s">
        <v>328</v>
      </c>
      <c r="D221" s="4">
        <v>32200000</v>
      </c>
      <c r="E221" s="3">
        <v>5204</v>
      </c>
      <c r="F221" s="3">
        <v>10</v>
      </c>
      <c r="G221" s="3" t="s">
        <v>10</v>
      </c>
      <c r="H221" s="3" t="s">
        <v>212</v>
      </c>
      <c r="I221" s="3">
        <v>2</v>
      </c>
      <c r="J221" s="3" t="s">
        <v>30</v>
      </c>
      <c r="K221" s="18">
        <v>610</v>
      </c>
      <c r="L221" s="16">
        <v>560</v>
      </c>
      <c r="M221" s="6" t="str" cm="1">
        <f t="array" ref="M221">_xlfn.IFS(L221&lt;100,"Economy",L221&lt;200,"Standard",L221&lt;350,"Powerful",L221&lt;500,"High Performance",L221&lt;800,"Sports Performance",L221&gt;=800,"Super Performance")</f>
        <v>Sports Performance</v>
      </c>
    </row>
    <row r="222" spans="1:13" x14ac:dyDescent="0.25">
      <c r="A222" s="5" t="s">
        <v>40</v>
      </c>
      <c r="B222" s="3" t="s">
        <v>154</v>
      </c>
      <c r="C222" s="3" t="s">
        <v>329</v>
      </c>
      <c r="D222" s="4">
        <v>623000</v>
      </c>
      <c r="E222" s="3">
        <v>1498</v>
      </c>
      <c r="F222" s="3">
        <v>4</v>
      </c>
      <c r="G222" s="3" t="s">
        <v>36</v>
      </c>
      <c r="H222" s="3" t="s">
        <v>11</v>
      </c>
      <c r="I222" s="3">
        <v>5</v>
      </c>
      <c r="J222" s="3" t="s">
        <v>12</v>
      </c>
      <c r="K222" s="18">
        <v>100</v>
      </c>
      <c r="L222" s="16">
        <v>215</v>
      </c>
      <c r="M222" s="6" t="str" cm="1">
        <f t="array" ref="M222">_xlfn.IFS(L222&lt;100,"Economy",L222&lt;200,"Standard",L222&lt;350,"Powerful",L222&lt;500,"High Performance",L222&lt;800,"Sports Performance",L222&gt;=800,"Super Performance")</f>
        <v>Powerful</v>
      </c>
    </row>
    <row r="223" spans="1:13" x14ac:dyDescent="0.25">
      <c r="A223" s="5" t="s">
        <v>330</v>
      </c>
      <c r="B223" s="3" t="s">
        <v>331</v>
      </c>
      <c r="C223" s="3" t="s">
        <v>332</v>
      </c>
      <c r="D223" s="4">
        <v>707025</v>
      </c>
      <c r="E223" s="3">
        <v>1498</v>
      </c>
      <c r="F223" s="3">
        <v>4</v>
      </c>
      <c r="G223" s="3" t="s">
        <v>10</v>
      </c>
      <c r="H223" s="3" t="s">
        <v>27</v>
      </c>
      <c r="I223" s="3">
        <v>5</v>
      </c>
      <c r="J223" s="3" t="s">
        <v>12</v>
      </c>
      <c r="K223" s="18">
        <v>99</v>
      </c>
      <c r="L223" s="16">
        <v>134</v>
      </c>
      <c r="M223" s="6" t="str" cm="1">
        <f t="array" ref="M223">_xlfn.IFS(L223&lt;100,"Economy",L223&lt;200,"Standard",L223&lt;350,"Powerful",L223&lt;500,"High Performance",L223&lt;800,"Sports Performance",L223&gt;=800,"Super Performance")</f>
        <v>Standard</v>
      </c>
    </row>
    <row r="224" spans="1:13" x14ac:dyDescent="0.25">
      <c r="A224" s="5" t="s">
        <v>330</v>
      </c>
      <c r="B224" s="3" t="s">
        <v>331</v>
      </c>
      <c r="C224" s="3" t="s">
        <v>333</v>
      </c>
      <c r="D224" s="4">
        <v>836461</v>
      </c>
      <c r="E224" s="3">
        <v>1498</v>
      </c>
      <c r="F224" s="3">
        <v>4</v>
      </c>
      <c r="G224" s="3" t="s">
        <v>10</v>
      </c>
      <c r="H224" s="3" t="s">
        <v>27</v>
      </c>
      <c r="I224" s="3">
        <v>5</v>
      </c>
      <c r="J224" s="3" t="s">
        <v>12</v>
      </c>
      <c r="K224" s="18">
        <v>99</v>
      </c>
      <c r="L224" s="16">
        <v>134</v>
      </c>
      <c r="M224" s="6" t="str" cm="1">
        <f t="array" ref="M224">_xlfn.IFS(L224&lt;100,"Economy",L224&lt;200,"Standard",L224&lt;350,"Powerful",L224&lt;500,"High Performance",L224&lt;800,"Sports Performance",L224&gt;=800,"Super Performance")</f>
        <v>Standard</v>
      </c>
    </row>
    <row r="225" spans="1:13" x14ac:dyDescent="0.25">
      <c r="A225" s="5" t="s">
        <v>330</v>
      </c>
      <c r="B225" s="3" t="s">
        <v>331</v>
      </c>
      <c r="C225" s="3" t="s">
        <v>334</v>
      </c>
      <c r="D225" s="4">
        <v>912534</v>
      </c>
      <c r="E225" s="3">
        <v>1461</v>
      </c>
      <c r="F225" s="3">
        <v>4</v>
      </c>
      <c r="G225" s="3" t="s">
        <v>36</v>
      </c>
      <c r="H225" s="3" t="s">
        <v>27</v>
      </c>
      <c r="I225" s="3">
        <v>5</v>
      </c>
      <c r="J225" s="3" t="s">
        <v>12</v>
      </c>
      <c r="K225" s="18">
        <v>86</v>
      </c>
      <c r="L225" s="16">
        <v>200</v>
      </c>
      <c r="M225" s="6" t="str" cm="1">
        <f t="array" ref="M225">_xlfn.IFS(L225&lt;100,"Economy",L225&lt;200,"Standard",L225&lt;350,"Powerful",L225&lt;500,"High Performance",L225&lt;800,"Sports Performance",L225&gt;=800,"Super Performance")</f>
        <v>Powerful</v>
      </c>
    </row>
    <row r="226" spans="1:13" x14ac:dyDescent="0.25">
      <c r="A226" s="5" t="s">
        <v>330</v>
      </c>
      <c r="B226" s="3" t="s">
        <v>331</v>
      </c>
      <c r="C226" s="3" t="s">
        <v>335</v>
      </c>
      <c r="D226" s="4">
        <v>993997</v>
      </c>
      <c r="E226" s="3">
        <v>1461</v>
      </c>
      <c r="F226" s="3">
        <v>4</v>
      </c>
      <c r="G226" s="3" t="s">
        <v>36</v>
      </c>
      <c r="H226" s="3" t="s">
        <v>27</v>
      </c>
      <c r="I226" s="3">
        <v>5</v>
      </c>
      <c r="J226" s="3" t="s">
        <v>12</v>
      </c>
      <c r="K226" s="18">
        <v>86</v>
      </c>
      <c r="L226" s="16">
        <v>200</v>
      </c>
      <c r="M226" s="6" t="str" cm="1">
        <f t="array" ref="M226">_xlfn.IFS(L226&lt;100,"Economy",L226&lt;200,"Standard",L226&lt;350,"Powerful",L226&lt;500,"High Performance",L226&lt;800,"Sports Performance",L226&gt;=800,"Super Performance")</f>
        <v>Powerful</v>
      </c>
    </row>
    <row r="227" spans="1:13" x14ac:dyDescent="0.25">
      <c r="A227" s="5" t="s">
        <v>330</v>
      </c>
      <c r="B227" s="3" t="s">
        <v>331</v>
      </c>
      <c r="C227" s="3" t="s">
        <v>336</v>
      </c>
      <c r="D227" s="4">
        <v>860997</v>
      </c>
      <c r="E227" s="3">
        <v>1461</v>
      </c>
      <c r="F227" s="3">
        <v>4</v>
      </c>
      <c r="G227" s="3" t="s">
        <v>36</v>
      </c>
      <c r="H227" s="3" t="s">
        <v>27</v>
      </c>
      <c r="I227" s="3">
        <v>5</v>
      </c>
      <c r="J227" s="3" t="s">
        <v>12</v>
      </c>
      <c r="K227" s="18">
        <v>86</v>
      </c>
      <c r="L227" s="16">
        <v>200</v>
      </c>
      <c r="M227" s="6" t="str" cm="1">
        <f t="array" ref="M227">_xlfn.IFS(L227&lt;100,"Economy",L227&lt;200,"Standard",L227&lt;350,"Powerful",L227&lt;500,"High Performance",L227&lt;800,"Sports Performance",L227&gt;=800,"Super Performance")</f>
        <v>Powerful</v>
      </c>
    </row>
    <row r="228" spans="1:13" x14ac:dyDescent="0.25">
      <c r="A228" s="5" t="s">
        <v>330</v>
      </c>
      <c r="B228" s="3" t="s">
        <v>331</v>
      </c>
      <c r="C228" s="3" t="s">
        <v>337</v>
      </c>
      <c r="D228" s="4">
        <v>993997</v>
      </c>
      <c r="E228" s="3">
        <v>1498</v>
      </c>
      <c r="F228" s="3">
        <v>4</v>
      </c>
      <c r="G228" s="3" t="s">
        <v>10</v>
      </c>
      <c r="H228" s="3" t="s">
        <v>27</v>
      </c>
      <c r="I228" s="3">
        <v>5</v>
      </c>
      <c r="J228" s="3" t="s">
        <v>30</v>
      </c>
      <c r="K228" s="18">
        <v>101</v>
      </c>
      <c r="L228" s="16">
        <v>134</v>
      </c>
      <c r="M228" s="6" t="str" cm="1">
        <f t="array" ref="M228">_xlfn.IFS(L228&lt;100,"Economy",L228&lt;200,"Standard",L228&lt;350,"Powerful",L228&lt;500,"High Performance",L228&lt;800,"Sports Performance",L228&gt;=800,"Super Performance")</f>
        <v>Standard</v>
      </c>
    </row>
    <row r="229" spans="1:13" x14ac:dyDescent="0.25">
      <c r="A229" s="5" t="s">
        <v>330</v>
      </c>
      <c r="B229" s="3" t="s">
        <v>331</v>
      </c>
      <c r="C229" s="3" t="s">
        <v>338</v>
      </c>
      <c r="D229" s="4">
        <v>877285</v>
      </c>
      <c r="E229" s="3">
        <v>1461</v>
      </c>
      <c r="F229" s="3">
        <v>4</v>
      </c>
      <c r="G229" s="3" t="s">
        <v>36</v>
      </c>
      <c r="H229" s="3" t="s">
        <v>27</v>
      </c>
      <c r="I229" s="3">
        <v>5</v>
      </c>
      <c r="J229" s="3" t="s">
        <v>12</v>
      </c>
      <c r="K229" s="18">
        <v>86</v>
      </c>
      <c r="L229" s="16">
        <v>200</v>
      </c>
      <c r="M229" s="6" t="str" cm="1">
        <f t="array" ref="M229">_xlfn.IFS(L229&lt;100,"Economy",L229&lt;200,"Standard",L229&lt;350,"Powerful",L229&lt;500,"High Performance",L229&lt;800,"Sports Performance",L229&gt;=800,"Super Performance")</f>
        <v>Powerful</v>
      </c>
    </row>
    <row r="230" spans="1:13" x14ac:dyDescent="0.25">
      <c r="A230" s="5" t="s">
        <v>170</v>
      </c>
      <c r="B230" s="3" t="s">
        <v>339</v>
      </c>
      <c r="C230" s="3" t="s">
        <v>340</v>
      </c>
      <c r="D230" s="4">
        <v>5695000</v>
      </c>
      <c r="E230" s="3">
        <v>2487</v>
      </c>
      <c r="F230" s="3">
        <v>4</v>
      </c>
      <c r="G230" s="3" t="s">
        <v>194</v>
      </c>
      <c r="H230" s="3" t="s">
        <v>27</v>
      </c>
      <c r="I230" s="3">
        <v>5</v>
      </c>
      <c r="J230" s="3" t="s">
        <v>30</v>
      </c>
      <c r="K230" s="18">
        <v>176</v>
      </c>
      <c r="L230" s="16">
        <v>221</v>
      </c>
      <c r="M230" s="6" t="str" cm="1">
        <f t="array" ref="M230">_xlfn.IFS(L230&lt;100,"Economy",L230&lt;200,"Standard",L230&lt;350,"Powerful",L230&lt;500,"High Performance",L230&lt;800,"Sports Performance",L230&gt;=800,"Super Performance")</f>
        <v>Powerful</v>
      </c>
    </row>
    <row r="231" spans="1:13" x14ac:dyDescent="0.25">
      <c r="A231" s="5" t="s">
        <v>7</v>
      </c>
      <c r="B231" s="3" t="s">
        <v>179</v>
      </c>
      <c r="C231" s="3" t="s">
        <v>341</v>
      </c>
      <c r="D231" s="4">
        <v>675090</v>
      </c>
      <c r="E231" s="3">
        <v>1186</v>
      </c>
      <c r="F231" s="3">
        <v>3</v>
      </c>
      <c r="G231" s="3" t="s">
        <v>36</v>
      </c>
      <c r="H231" s="3" t="s">
        <v>11</v>
      </c>
      <c r="I231" s="3">
        <v>5</v>
      </c>
      <c r="J231" s="3" t="s">
        <v>12</v>
      </c>
      <c r="K231" s="18">
        <v>75</v>
      </c>
      <c r="L231" s="16">
        <v>190</v>
      </c>
      <c r="M231" s="6" t="str" cm="1">
        <f t="array" ref="M231">_xlfn.IFS(L231&lt;100,"Economy",L231&lt;200,"Standard",L231&lt;350,"Powerful",L231&lt;500,"High Performance",L231&lt;800,"Sports Performance",L231&gt;=800,"Super Performance")</f>
        <v>Standard</v>
      </c>
    </row>
    <row r="232" spans="1:13" x14ac:dyDescent="0.25">
      <c r="A232" s="5" t="s">
        <v>280</v>
      </c>
      <c r="B232" s="3" t="s">
        <v>281</v>
      </c>
      <c r="C232" s="3" t="s">
        <v>342</v>
      </c>
      <c r="D232" s="4">
        <v>23659454</v>
      </c>
      <c r="E232" s="3">
        <v>5000</v>
      </c>
      <c r="F232" s="3">
        <v>0</v>
      </c>
      <c r="G232" s="3" t="s">
        <v>10</v>
      </c>
      <c r="H232" s="3" t="s">
        <v>206</v>
      </c>
      <c r="I232" s="3">
        <v>2</v>
      </c>
      <c r="J232" s="3" t="s">
        <v>30</v>
      </c>
      <c r="K232" s="18">
        <v>495</v>
      </c>
      <c r="L232" s="16">
        <v>625</v>
      </c>
      <c r="M232" s="6" t="str" cm="1">
        <f t="array" ref="M232">_xlfn.IFS(L232&lt;100,"Economy",L232&lt;200,"Standard",L232&lt;350,"Powerful",L232&lt;500,"High Performance",L232&lt;800,"Sports Performance",L232&gt;=800,"Super Performance")</f>
        <v>Sports Performance</v>
      </c>
    </row>
    <row r="233" spans="1:13" x14ac:dyDescent="0.25">
      <c r="A233" s="5" t="s">
        <v>170</v>
      </c>
      <c r="B233" s="3" t="s">
        <v>343</v>
      </c>
      <c r="C233" s="3" t="s">
        <v>87</v>
      </c>
      <c r="D233" s="4">
        <v>23290000</v>
      </c>
      <c r="E233" s="3">
        <v>5700</v>
      </c>
      <c r="F233" s="3">
        <v>0</v>
      </c>
      <c r="G233" s="3" t="s">
        <v>36</v>
      </c>
      <c r="H233" s="3" t="s">
        <v>66</v>
      </c>
      <c r="I233" s="3">
        <v>7</v>
      </c>
      <c r="J233" s="3" t="s">
        <v>30</v>
      </c>
      <c r="K233" s="18">
        <v>380</v>
      </c>
      <c r="L233" s="16">
        <v>546</v>
      </c>
      <c r="M233" s="6" t="str" cm="1">
        <f t="array" ref="M233">_xlfn.IFS(L233&lt;100,"Economy",L233&lt;200,"Standard",L233&lt;350,"Powerful",L233&lt;500,"High Performance",L233&lt;800,"Sports Performance",L233&gt;=800,"Super Performance")</f>
        <v>Sports Performance</v>
      </c>
    </row>
    <row r="234" spans="1:13" x14ac:dyDescent="0.25">
      <c r="A234" s="5" t="s">
        <v>22</v>
      </c>
      <c r="B234" s="3" t="s">
        <v>344</v>
      </c>
      <c r="C234" s="3" t="s">
        <v>345</v>
      </c>
      <c r="D234" s="4">
        <v>292667</v>
      </c>
      <c r="E234" s="3">
        <v>624</v>
      </c>
      <c r="F234" s="3">
        <v>2</v>
      </c>
      <c r="G234" s="3" t="s">
        <v>10</v>
      </c>
      <c r="H234" s="3" t="s">
        <v>11</v>
      </c>
      <c r="I234" s="3">
        <v>4</v>
      </c>
      <c r="J234" s="3" t="s">
        <v>12</v>
      </c>
      <c r="K234" s="18">
        <v>38</v>
      </c>
      <c r="L234" s="16">
        <v>51</v>
      </c>
      <c r="M234" s="6" t="str" cm="1">
        <f t="array" ref="M234">_xlfn.IFS(L234&lt;100,"Economy",L234&lt;200,"Standard",L234&lt;350,"Powerful",L234&lt;500,"High Performance",L234&lt;800,"Sports Performance",L234&gt;=800,"Super Performance")</f>
        <v>Economy</v>
      </c>
    </row>
    <row r="235" spans="1:13" x14ac:dyDescent="0.25">
      <c r="A235" s="5" t="s">
        <v>22</v>
      </c>
      <c r="B235" s="3" t="s">
        <v>344</v>
      </c>
      <c r="C235" s="3" t="s">
        <v>346</v>
      </c>
      <c r="D235" s="4">
        <v>236447</v>
      </c>
      <c r="E235" s="3">
        <v>624</v>
      </c>
      <c r="F235" s="3">
        <v>2</v>
      </c>
      <c r="G235" s="3" t="s">
        <v>10</v>
      </c>
      <c r="H235" s="3" t="s">
        <v>11</v>
      </c>
      <c r="I235" s="3">
        <v>4</v>
      </c>
      <c r="J235" s="3" t="s">
        <v>12</v>
      </c>
      <c r="K235" s="18">
        <v>38</v>
      </c>
      <c r="L235" s="16">
        <v>51</v>
      </c>
      <c r="M235" s="6" t="str" cm="1">
        <f t="array" ref="M235">_xlfn.IFS(L235&lt;100,"Economy",L235&lt;200,"Standard",L235&lt;350,"Powerful",L235&lt;500,"High Performance",L235&lt;800,"Sports Performance",L235&gt;=800,"Super Performance")</f>
        <v>Economy</v>
      </c>
    </row>
    <row r="236" spans="1:13" x14ac:dyDescent="0.25">
      <c r="A236" s="5" t="s">
        <v>22</v>
      </c>
      <c r="B236" s="3" t="s">
        <v>344</v>
      </c>
      <c r="C236" s="3" t="s">
        <v>347</v>
      </c>
      <c r="D236" s="4">
        <v>334768</v>
      </c>
      <c r="E236" s="3">
        <v>624</v>
      </c>
      <c r="F236" s="3">
        <v>2</v>
      </c>
      <c r="G236" s="3" t="s">
        <v>10</v>
      </c>
      <c r="H236" s="3" t="s">
        <v>11</v>
      </c>
      <c r="I236" s="3">
        <v>4</v>
      </c>
      <c r="J236" s="3" t="s">
        <v>30</v>
      </c>
      <c r="K236" s="18">
        <v>38</v>
      </c>
      <c r="L236" s="16">
        <v>51</v>
      </c>
      <c r="M236" s="6" t="str" cm="1">
        <f t="array" ref="M236">_xlfn.IFS(L236&lt;100,"Economy",L236&lt;200,"Standard",L236&lt;350,"Powerful",L236&lt;500,"High Performance",L236&lt;800,"Sports Performance",L236&gt;=800,"Super Performance")</f>
        <v>Economy</v>
      </c>
    </row>
    <row r="237" spans="1:13" x14ac:dyDescent="0.25">
      <c r="A237" s="5" t="s">
        <v>22</v>
      </c>
      <c r="B237" s="3" t="s">
        <v>344</v>
      </c>
      <c r="C237" s="3" t="s">
        <v>348</v>
      </c>
      <c r="D237" s="4">
        <v>272223</v>
      </c>
      <c r="E237" s="3">
        <v>624</v>
      </c>
      <c r="F237" s="3">
        <v>2</v>
      </c>
      <c r="G237" s="3" t="s">
        <v>10</v>
      </c>
      <c r="H237" s="3" t="s">
        <v>11</v>
      </c>
      <c r="I237" s="3">
        <v>4</v>
      </c>
      <c r="J237" s="3" t="s">
        <v>12</v>
      </c>
      <c r="K237" s="18">
        <v>38</v>
      </c>
      <c r="L237" s="16">
        <v>51</v>
      </c>
      <c r="M237" s="6" t="str" cm="1">
        <f t="array" ref="M237">_xlfn.IFS(L237&lt;100,"Economy",L237&lt;200,"Standard",L237&lt;350,"Powerful",L237&lt;500,"High Performance",L237&lt;800,"Sports Performance",L237&gt;=800,"Super Performance")</f>
        <v>Economy</v>
      </c>
    </row>
    <row r="238" spans="1:13" x14ac:dyDescent="0.25">
      <c r="A238" s="5" t="s">
        <v>22</v>
      </c>
      <c r="B238" s="3" t="s">
        <v>344</v>
      </c>
      <c r="C238" s="3" t="s">
        <v>349</v>
      </c>
      <c r="D238" s="4">
        <v>314815</v>
      </c>
      <c r="E238" s="3">
        <v>624</v>
      </c>
      <c r="F238" s="3">
        <v>2</v>
      </c>
      <c r="G238" s="3" t="s">
        <v>10</v>
      </c>
      <c r="H238" s="3" t="s">
        <v>11</v>
      </c>
      <c r="I238" s="3">
        <v>4</v>
      </c>
      <c r="J238" s="3" t="s">
        <v>30</v>
      </c>
      <c r="K238" s="18">
        <v>38</v>
      </c>
      <c r="L238" s="16">
        <v>51</v>
      </c>
      <c r="M238" s="6" t="str" cm="1">
        <f t="array" ref="M238">_xlfn.IFS(L238&lt;100,"Economy",L238&lt;200,"Standard",L238&lt;350,"Powerful",L238&lt;500,"High Performance",L238&lt;800,"Sports Performance",L238&gt;=800,"Super Performance")</f>
        <v>Economy</v>
      </c>
    </row>
    <row r="239" spans="1:13" x14ac:dyDescent="0.25">
      <c r="A239" s="5" t="s">
        <v>350</v>
      </c>
      <c r="B239" s="3" t="s">
        <v>351</v>
      </c>
      <c r="C239" s="3" t="s">
        <v>352</v>
      </c>
      <c r="D239" s="4">
        <v>353290</v>
      </c>
      <c r="E239" s="3">
        <v>799</v>
      </c>
      <c r="F239" s="3">
        <v>3</v>
      </c>
      <c r="G239" s="3" t="s">
        <v>10</v>
      </c>
      <c r="H239" s="3" t="s">
        <v>11</v>
      </c>
      <c r="I239" s="3">
        <v>5</v>
      </c>
      <c r="J239" s="3" t="s">
        <v>12</v>
      </c>
      <c r="K239" s="18">
        <v>54</v>
      </c>
      <c r="L239" s="16">
        <v>72</v>
      </c>
      <c r="M239" s="6" t="str" cm="1">
        <f t="array" ref="M239">_xlfn.IFS(L239&lt;100,"Economy",L239&lt;200,"Standard",L239&lt;350,"Powerful",L239&lt;500,"High Performance",L239&lt;800,"Sports Performance",L239&gt;=800,"Super Performance")</f>
        <v>Economy</v>
      </c>
    </row>
    <row r="240" spans="1:13" x14ac:dyDescent="0.25">
      <c r="A240" s="5" t="s">
        <v>350</v>
      </c>
      <c r="B240" s="3" t="s">
        <v>351</v>
      </c>
      <c r="C240" s="3" t="s">
        <v>353</v>
      </c>
      <c r="D240" s="4">
        <v>283290</v>
      </c>
      <c r="E240" s="3">
        <v>799</v>
      </c>
      <c r="F240" s="3">
        <v>3</v>
      </c>
      <c r="G240" s="3" t="s">
        <v>10</v>
      </c>
      <c r="H240" s="3" t="s">
        <v>11</v>
      </c>
      <c r="I240" s="3">
        <v>5</v>
      </c>
      <c r="J240" s="3" t="s">
        <v>12</v>
      </c>
      <c r="K240" s="18">
        <v>54</v>
      </c>
      <c r="L240" s="16">
        <v>72</v>
      </c>
      <c r="M240" s="6" t="str" cm="1">
        <f t="array" ref="M240">_xlfn.IFS(L240&lt;100,"Economy",L240&lt;200,"Standard",L240&lt;350,"Powerful",L240&lt;500,"High Performance",L240&lt;800,"Sports Performance",L240&gt;=800,"Super Performance")</f>
        <v>Economy</v>
      </c>
    </row>
    <row r="241" spans="1:13" x14ac:dyDescent="0.25">
      <c r="A241" s="5" t="s">
        <v>350</v>
      </c>
      <c r="B241" s="3" t="s">
        <v>351</v>
      </c>
      <c r="C241" s="3" t="s">
        <v>354</v>
      </c>
      <c r="D241" s="4">
        <v>383290</v>
      </c>
      <c r="E241" s="3">
        <v>799</v>
      </c>
      <c r="F241" s="3">
        <v>3</v>
      </c>
      <c r="G241" s="3" t="s">
        <v>10</v>
      </c>
      <c r="H241" s="3" t="s">
        <v>11</v>
      </c>
      <c r="I241" s="3">
        <v>5</v>
      </c>
      <c r="J241" s="3" t="s">
        <v>12</v>
      </c>
      <c r="K241" s="18">
        <v>54</v>
      </c>
      <c r="L241" s="16">
        <v>72</v>
      </c>
      <c r="M241" s="6" t="str" cm="1">
        <f t="array" ref="M241">_xlfn.IFS(L241&lt;100,"Economy",L241&lt;200,"Standard",L241&lt;350,"Powerful",L241&lt;500,"High Performance",L241&lt;800,"Sports Performance",L241&gt;=800,"Super Performance")</f>
        <v>Economy</v>
      </c>
    </row>
    <row r="242" spans="1:13" x14ac:dyDescent="0.25">
      <c r="A242" s="5" t="s">
        <v>350</v>
      </c>
      <c r="B242" s="3" t="s">
        <v>351</v>
      </c>
      <c r="C242" s="3" t="s">
        <v>355</v>
      </c>
      <c r="D242" s="4">
        <v>413290</v>
      </c>
      <c r="E242" s="3">
        <v>799</v>
      </c>
      <c r="F242" s="3">
        <v>3</v>
      </c>
      <c r="G242" s="3" t="s">
        <v>10</v>
      </c>
      <c r="H242" s="3" t="s">
        <v>11</v>
      </c>
      <c r="I242" s="3">
        <v>5</v>
      </c>
      <c r="J242" s="3" t="s">
        <v>12</v>
      </c>
      <c r="K242" s="18">
        <v>54</v>
      </c>
      <c r="L242" s="16">
        <v>72</v>
      </c>
      <c r="M242" s="6" t="str" cm="1">
        <f t="array" ref="M242">_xlfn.IFS(L242&lt;100,"Economy",L242&lt;200,"Standard",L242&lt;350,"Powerful",L242&lt;500,"High Performance",L242&lt;800,"Sports Performance",L242&gt;=800,"Super Performance")</f>
        <v>Economy</v>
      </c>
    </row>
    <row r="243" spans="1:13" x14ac:dyDescent="0.25">
      <c r="A243" s="5" t="s">
        <v>350</v>
      </c>
      <c r="B243" s="3" t="s">
        <v>351</v>
      </c>
      <c r="C243" s="3" t="s">
        <v>356</v>
      </c>
      <c r="D243" s="4">
        <v>433290</v>
      </c>
      <c r="E243" s="3">
        <v>999</v>
      </c>
      <c r="F243" s="3">
        <v>3</v>
      </c>
      <c r="G243" s="3" t="s">
        <v>10</v>
      </c>
      <c r="H243" s="3" t="s">
        <v>11</v>
      </c>
      <c r="I243" s="3">
        <v>5</v>
      </c>
      <c r="J243" s="3" t="s">
        <v>12</v>
      </c>
      <c r="K243" s="18">
        <v>68</v>
      </c>
      <c r="L243" s="16">
        <v>91</v>
      </c>
      <c r="M243" s="6" t="str" cm="1">
        <f t="array" ref="M243">_xlfn.IFS(L243&lt;100,"Economy",L243&lt;200,"Standard",L243&lt;350,"Powerful",L243&lt;500,"High Performance",L243&lt;800,"Sports Performance",L243&gt;=800,"Super Performance")</f>
        <v>Economy</v>
      </c>
    </row>
    <row r="244" spans="1:13" x14ac:dyDescent="0.25">
      <c r="A244" s="5" t="s">
        <v>350</v>
      </c>
      <c r="B244" s="3" t="s">
        <v>351</v>
      </c>
      <c r="C244" s="3" t="s">
        <v>357</v>
      </c>
      <c r="D244" s="4">
        <v>454490</v>
      </c>
      <c r="E244" s="3">
        <v>999</v>
      </c>
      <c r="F244" s="3">
        <v>3</v>
      </c>
      <c r="G244" s="3" t="s">
        <v>10</v>
      </c>
      <c r="H244" s="3" t="s">
        <v>11</v>
      </c>
      <c r="I244" s="3">
        <v>5</v>
      </c>
      <c r="J244" s="3" t="s">
        <v>12</v>
      </c>
      <c r="K244" s="18">
        <v>68</v>
      </c>
      <c r="L244" s="16">
        <v>91</v>
      </c>
      <c r="M244" s="6" t="str" cm="1">
        <f t="array" ref="M244">_xlfn.IFS(L244&lt;100,"Economy",L244&lt;200,"Standard",L244&lt;350,"Powerful",L244&lt;500,"High Performance",L244&lt;800,"Sports Performance",L244&gt;=800,"Super Performance")</f>
        <v>Economy</v>
      </c>
    </row>
    <row r="245" spans="1:13" x14ac:dyDescent="0.25">
      <c r="A245" s="5" t="s">
        <v>350</v>
      </c>
      <c r="B245" s="3" t="s">
        <v>351</v>
      </c>
      <c r="C245" s="3" t="s">
        <v>358</v>
      </c>
      <c r="D245" s="4">
        <v>463290</v>
      </c>
      <c r="E245" s="3">
        <v>999</v>
      </c>
      <c r="F245" s="3">
        <v>3</v>
      </c>
      <c r="G245" s="3" t="s">
        <v>10</v>
      </c>
      <c r="H245" s="3" t="s">
        <v>11</v>
      </c>
      <c r="I245" s="3">
        <v>5</v>
      </c>
      <c r="J245" s="3" t="s">
        <v>30</v>
      </c>
      <c r="K245" s="18">
        <v>68</v>
      </c>
      <c r="L245" s="16">
        <v>91</v>
      </c>
      <c r="M245" s="6" t="str" cm="1">
        <f t="array" ref="M245">_xlfn.IFS(L245&lt;100,"Economy",L245&lt;200,"Standard",L245&lt;350,"Powerful",L245&lt;500,"High Performance",L245&lt;800,"Sports Performance",L245&gt;=800,"Super Performance")</f>
        <v>Economy</v>
      </c>
    </row>
    <row r="246" spans="1:13" x14ac:dyDescent="0.25">
      <c r="A246" s="5" t="s">
        <v>350</v>
      </c>
      <c r="B246" s="3" t="s">
        <v>351</v>
      </c>
      <c r="C246" s="3" t="s">
        <v>359</v>
      </c>
      <c r="D246" s="4">
        <v>484490</v>
      </c>
      <c r="E246" s="3">
        <v>999</v>
      </c>
      <c r="F246" s="3">
        <v>3</v>
      </c>
      <c r="G246" s="3" t="s">
        <v>10</v>
      </c>
      <c r="H246" s="3" t="s">
        <v>11</v>
      </c>
      <c r="I246" s="3">
        <v>5</v>
      </c>
      <c r="J246" s="3" t="s">
        <v>30</v>
      </c>
      <c r="K246" s="18">
        <v>68</v>
      </c>
      <c r="L246" s="16">
        <v>91</v>
      </c>
      <c r="M246" s="6" t="str" cm="1">
        <f t="array" ref="M246">_xlfn.IFS(L246&lt;100,"Economy",L246&lt;200,"Standard",L246&lt;350,"Powerful",L246&lt;500,"High Performance",L246&lt;800,"Sports Performance",L246&gt;=800,"Super Performance")</f>
        <v>Economy</v>
      </c>
    </row>
    <row r="247" spans="1:13" x14ac:dyDescent="0.25">
      <c r="A247" s="5" t="s">
        <v>350</v>
      </c>
      <c r="B247" s="3" t="s">
        <v>351</v>
      </c>
      <c r="C247" s="3" t="s">
        <v>360</v>
      </c>
      <c r="D247" s="4">
        <v>440990</v>
      </c>
      <c r="E247" s="3">
        <v>999</v>
      </c>
      <c r="F247" s="3">
        <v>3</v>
      </c>
      <c r="G247" s="3" t="s">
        <v>10</v>
      </c>
      <c r="H247" s="3" t="s">
        <v>11</v>
      </c>
      <c r="I247" s="3">
        <v>5</v>
      </c>
      <c r="J247" s="3" t="s">
        <v>12</v>
      </c>
      <c r="K247" s="18">
        <v>68</v>
      </c>
      <c r="L247" s="16">
        <v>91</v>
      </c>
      <c r="M247" s="6" t="str" cm="1">
        <f t="array" ref="M247">_xlfn.IFS(L247&lt;100,"Economy",L247&lt;200,"Standard",L247&lt;350,"Powerful",L247&lt;500,"High Performance",L247&lt;800,"Sports Performance",L247&gt;=800,"Super Performance")</f>
        <v>Economy</v>
      </c>
    </row>
    <row r="248" spans="1:13" x14ac:dyDescent="0.25">
      <c r="A248" s="5" t="s">
        <v>350</v>
      </c>
      <c r="B248" s="3" t="s">
        <v>351</v>
      </c>
      <c r="C248" s="3" t="s">
        <v>361</v>
      </c>
      <c r="D248" s="4">
        <v>470990</v>
      </c>
      <c r="E248" s="3">
        <v>999</v>
      </c>
      <c r="F248" s="3">
        <v>3</v>
      </c>
      <c r="G248" s="3" t="s">
        <v>10</v>
      </c>
      <c r="H248" s="3" t="s">
        <v>11</v>
      </c>
      <c r="I248" s="3">
        <v>5</v>
      </c>
      <c r="J248" s="3" t="s">
        <v>30</v>
      </c>
      <c r="K248" s="18">
        <v>68</v>
      </c>
      <c r="L248" s="16">
        <v>91</v>
      </c>
      <c r="M248" s="6" t="str" cm="1">
        <f t="array" ref="M248">_xlfn.IFS(L248&lt;100,"Economy",L248&lt;200,"Standard",L248&lt;350,"Powerful",L248&lt;500,"High Performance",L248&lt;800,"Sports Performance",L248&gt;=800,"Super Performance")</f>
        <v>Economy</v>
      </c>
    </row>
    <row r="249" spans="1:13" x14ac:dyDescent="0.25">
      <c r="A249" s="5" t="s">
        <v>350</v>
      </c>
      <c r="B249" s="3" t="s">
        <v>351</v>
      </c>
      <c r="C249" s="3" t="s">
        <v>362</v>
      </c>
      <c r="D249" s="4">
        <v>462190</v>
      </c>
      <c r="E249" s="3">
        <v>999</v>
      </c>
      <c r="F249" s="3">
        <v>3</v>
      </c>
      <c r="G249" s="3" t="s">
        <v>10</v>
      </c>
      <c r="H249" s="3" t="s">
        <v>11</v>
      </c>
      <c r="I249" s="3">
        <v>5</v>
      </c>
      <c r="J249" s="3" t="s">
        <v>12</v>
      </c>
      <c r="K249" s="18">
        <v>68</v>
      </c>
      <c r="L249" s="16">
        <v>91</v>
      </c>
      <c r="M249" s="6" t="str" cm="1">
        <f t="array" ref="M249">_xlfn.IFS(L249&lt;100,"Economy",L249&lt;200,"Standard",L249&lt;350,"Powerful",L249&lt;500,"High Performance",L249&lt;800,"Sports Performance",L249&gt;=800,"Super Performance")</f>
        <v>Economy</v>
      </c>
    </row>
    <row r="250" spans="1:13" x14ac:dyDescent="0.25">
      <c r="A250" s="5" t="s">
        <v>350</v>
      </c>
      <c r="B250" s="3" t="s">
        <v>351</v>
      </c>
      <c r="C250" s="3" t="s">
        <v>363</v>
      </c>
      <c r="D250" s="4">
        <v>492190</v>
      </c>
      <c r="E250" s="3">
        <v>999</v>
      </c>
      <c r="F250" s="3">
        <v>3</v>
      </c>
      <c r="G250" s="3" t="s">
        <v>10</v>
      </c>
      <c r="H250" s="3" t="s">
        <v>11</v>
      </c>
      <c r="I250" s="3">
        <v>5</v>
      </c>
      <c r="J250" s="3" t="s">
        <v>30</v>
      </c>
      <c r="K250" s="18">
        <v>68</v>
      </c>
      <c r="L250" s="16">
        <v>91</v>
      </c>
      <c r="M250" s="6" t="str" cm="1">
        <f t="array" ref="M250">_xlfn.IFS(L250&lt;100,"Economy",L250&lt;200,"Standard",L250&lt;350,"Powerful",L250&lt;500,"High Performance",L250&lt;800,"Sports Performance",L250&gt;=800,"Super Performance")</f>
        <v>Economy</v>
      </c>
    </row>
    <row r="251" spans="1:13" x14ac:dyDescent="0.25">
      <c r="A251" s="5" t="s">
        <v>364</v>
      </c>
      <c r="B251" s="3" t="s">
        <v>365</v>
      </c>
      <c r="C251" s="3" t="s">
        <v>366</v>
      </c>
      <c r="D251" s="4">
        <v>502492</v>
      </c>
      <c r="E251" s="3">
        <v>1198</v>
      </c>
      <c r="F251" s="3">
        <v>3</v>
      </c>
      <c r="G251" s="3" t="s">
        <v>10</v>
      </c>
      <c r="H251" s="3" t="s">
        <v>11</v>
      </c>
      <c r="I251" s="3">
        <v>5</v>
      </c>
      <c r="J251" s="3" t="s">
        <v>12</v>
      </c>
      <c r="K251" s="18">
        <v>68</v>
      </c>
      <c r="L251" s="16">
        <v>104</v>
      </c>
      <c r="M251" s="6" t="str" cm="1">
        <f t="array" ref="M251">_xlfn.IFS(L251&lt;100,"Economy",L251&lt;200,"Standard",L251&lt;350,"Powerful",L251&lt;500,"High Performance",L251&lt;800,"Sports Performance",L251&gt;=800,"Super Performance")</f>
        <v>Standard</v>
      </c>
    </row>
    <row r="252" spans="1:13" x14ac:dyDescent="0.25">
      <c r="A252" s="5" t="s">
        <v>364</v>
      </c>
      <c r="B252" s="3" t="s">
        <v>365</v>
      </c>
      <c r="C252" s="3" t="s">
        <v>367</v>
      </c>
      <c r="D252" s="4">
        <v>499990</v>
      </c>
      <c r="E252" s="3">
        <v>1198</v>
      </c>
      <c r="F252" s="3">
        <v>3</v>
      </c>
      <c r="G252" s="3" t="s">
        <v>10</v>
      </c>
      <c r="H252" s="3" t="s">
        <v>11</v>
      </c>
      <c r="I252" s="3">
        <v>5</v>
      </c>
      <c r="J252" s="3" t="s">
        <v>12</v>
      </c>
      <c r="K252" s="18">
        <v>68</v>
      </c>
      <c r="L252" s="16">
        <v>104</v>
      </c>
      <c r="M252" s="6" t="str" cm="1">
        <f t="array" ref="M252">_xlfn.IFS(L252&lt;100,"Economy",L252&lt;200,"Standard",L252&lt;350,"Powerful",L252&lt;500,"High Performance",L252&lt;800,"Sports Performance",L252&gt;=800,"Super Performance")</f>
        <v>Standard</v>
      </c>
    </row>
    <row r="253" spans="1:13" x14ac:dyDescent="0.25">
      <c r="A253" s="5" t="s">
        <v>364</v>
      </c>
      <c r="B253" s="3" t="s">
        <v>365</v>
      </c>
      <c r="C253" s="3" t="s">
        <v>368</v>
      </c>
      <c r="D253" s="4">
        <v>469990</v>
      </c>
      <c r="E253" s="3">
        <v>1198</v>
      </c>
      <c r="F253" s="3">
        <v>3</v>
      </c>
      <c r="G253" s="3" t="s">
        <v>10</v>
      </c>
      <c r="H253" s="3" t="s">
        <v>11</v>
      </c>
      <c r="I253" s="3">
        <v>5</v>
      </c>
      <c r="J253" s="3" t="s">
        <v>12</v>
      </c>
      <c r="K253" s="18">
        <v>68</v>
      </c>
      <c r="L253" s="16">
        <v>104</v>
      </c>
      <c r="M253" s="6" t="str" cm="1">
        <f t="array" ref="M253">_xlfn.IFS(L253&lt;100,"Economy",L253&lt;200,"Standard",L253&lt;350,"Powerful",L253&lt;500,"High Performance",L253&lt;800,"Sports Performance",L253&gt;=800,"Super Performance")</f>
        <v>Standard</v>
      </c>
    </row>
    <row r="254" spans="1:13" x14ac:dyDescent="0.25">
      <c r="A254" s="5" t="s">
        <v>364</v>
      </c>
      <c r="B254" s="3" t="s">
        <v>365</v>
      </c>
      <c r="C254" s="3" t="s">
        <v>369</v>
      </c>
      <c r="D254" s="4">
        <v>553015</v>
      </c>
      <c r="E254" s="3">
        <v>1198</v>
      </c>
      <c r="F254" s="3">
        <v>3</v>
      </c>
      <c r="G254" s="3" t="s">
        <v>10</v>
      </c>
      <c r="H254" s="3" t="s">
        <v>11</v>
      </c>
      <c r="I254" s="3">
        <v>5</v>
      </c>
      <c r="J254" s="3" t="s">
        <v>12</v>
      </c>
      <c r="K254" s="18">
        <v>68</v>
      </c>
      <c r="L254" s="16">
        <v>104</v>
      </c>
      <c r="M254" s="6" t="str" cm="1">
        <f t="array" ref="M254">_xlfn.IFS(L254&lt;100,"Economy",L254&lt;200,"Standard",L254&lt;350,"Powerful",L254&lt;500,"High Performance",L254&lt;800,"Sports Performance",L254&gt;=800,"Super Performance")</f>
        <v>Standard</v>
      </c>
    </row>
    <row r="255" spans="1:13" x14ac:dyDescent="0.25">
      <c r="A255" s="5" t="s">
        <v>364</v>
      </c>
      <c r="B255" s="3" t="s">
        <v>365</v>
      </c>
      <c r="C255" s="3" t="s">
        <v>370</v>
      </c>
      <c r="D255" s="4">
        <v>618015</v>
      </c>
      <c r="E255" s="3">
        <v>1198</v>
      </c>
      <c r="F255" s="3">
        <v>3</v>
      </c>
      <c r="G255" s="3" t="s">
        <v>10</v>
      </c>
      <c r="H255" s="3" t="s">
        <v>11</v>
      </c>
      <c r="I255" s="3">
        <v>5</v>
      </c>
      <c r="J255" s="3" t="s">
        <v>12</v>
      </c>
      <c r="K255" s="18">
        <v>78</v>
      </c>
      <c r="L255" s="16">
        <v>104</v>
      </c>
      <c r="M255" s="6" t="str" cm="1">
        <f t="array" ref="M255">_xlfn.IFS(L255&lt;100,"Economy",L255&lt;200,"Standard",L255&lt;350,"Powerful",L255&lt;500,"High Performance",L255&lt;800,"Sports Performance",L255&gt;=800,"Super Performance")</f>
        <v>Standard</v>
      </c>
    </row>
    <row r="256" spans="1:13" x14ac:dyDescent="0.25">
      <c r="A256" s="5" t="s">
        <v>93</v>
      </c>
      <c r="B256" s="3" t="s">
        <v>371</v>
      </c>
      <c r="C256" s="3" t="s">
        <v>372</v>
      </c>
      <c r="D256" s="4">
        <v>422444</v>
      </c>
      <c r="E256" s="3">
        <v>998</v>
      </c>
      <c r="F256" s="3">
        <v>3</v>
      </c>
      <c r="G256" s="3" t="s">
        <v>10</v>
      </c>
      <c r="H256" s="3" t="s">
        <v>11</v>
      </c>
      <c r="I256" s="3">
        <v>5</v>
      </c>
      <c r="J256" s="3" t="s">
        <v>12</v>
      </c>
      <c r="K256" s="18">
        <v>68</v>
      </c>
      <c r="L256" s="16">
        <v>90</v>
      </c>
      <c r="M256" s="6" t="str" cm="1">
        <f t="array" ref="M256">_xlfn.IFS(L256&lt;100,"Economy",L256&lt;200,"Standard",L256&lt;350,"Powerful",L256&lt;500,"High Performance",L256&lt;800,"Sports Performance",L256&gt;=800,"Super Performance")</f>
        <v>Economy</v>
      </c>
    </row>
    <row r="257" spans="1:13" x14ac:dyDescent="0.25">
      <c r="A257" s="5" t="s">
        <v>330</v>
      </c>
      <c r="B257" s="3" t="s">
        <v>373</v>
      </c>
      <c r="C257" s="3" t="s">
        <v>374</v>
      </c>
      <c r="D257" s="4">
        <v>599950</v>
      </c>
      <c r="E257" s="3">
        <v>1198</v>
      </c>
      <c r="F257" s="3">
        <v>3</v>
      </c>
      <c r="G257" s="3" t="s">
        <v>10</v>
      </c>
      <c r="H257" s="3" t="s">
        <v>11</v>
      </c>
      <c r="I257" s="3">
        <v>5</v>
      </c>
      <c r="J257" s="3" t="s">
        <v>12</v>
      </c>
      <c r="K257" s="18">
        <v>68</v>
      </c>
      <c r="L257" s="16">
        <v>104</v>
      </c>
      <c r="M257" s="6" t="str" cm="1">
        <f t="array" ref="M257">_xlfn.IFS(L257&lt;100,"Economy",L257&lt;200,"Standard",L257&lt;350,"Powerful",L257&lt;500,"High Performance",L257&lt;800,"Sports Performance",L257&gt;=800,"Super Performance")</f>
        <v>Standard</v>
      </c>
    </row>
    <row r="258" spans="1:13" x14ac:dyDescent="0.25">
      <c r="A258" s="5" t="s">
        <v>63</v>
      </c>
      <c r="B258" s="3" t="s">
        <v>83</v>
      </c>
      <c r="C258" s="3" t="s">
        <v>375</v>
      </c>
      <c r="D258" s="4">
        <v>7882867</v>
      </c>
      <c r="E258" s="3">
        <v>2987</v>
      </c>
      <c r="F258" s="3">
        <v>6</v>
      </c>
      <c r="G258" s="3" t="s">
        <v>36</v>
      </c>
      <c r="H258" s="3" t="s">
        <v>66</v>
      </c>
      <c r="I258" s="3">
        <v>5</v>
      </c>
      <c r="J258" s="3" t="s">
        <v>30</v>
      </c>
      <c r="K258" s="18">
        <v>240</v>
      </c>
      <c r="L258" s="16">
        <v>570</v>
      </c>
      <c r="M258" s="6" t="str" cm="1">
        <f t="array" ref="M258">_xlfn.IFS(L258&lt;100,"Economy",L258&lt;200,"Standard",L258&lt;350,"Powerful",L258&lt;500,"High Performance",L258&lt;800,"Sports Performance",L258&gt;=800,"Super Performance")</f>
        <v>Sports Performance</v>
      </c>
    </row>
    <row r="259" spans="1:13" x14ac:dyDescent="0.25">
      <c r="A259" s="5" t="s">
        <v>63</v>
      </c>
      <c r="B259" s="3" t="s">
        <v>83</v>
      </c>
      <c r="C259" s="3" t="s">
        <v>376</v>
      </c>
      <c r="D259" s="4">
        <v>11400000</v>
      </c>
      <c r="E259" s="3">
        <v>6417</v>
      </c>
      <c r="F259" s="3">
        <v>8</v>
      </c>
      <c r="G259" s="3" t="s">
        <v>10</v>
      </c>
      <c r="H259" s="3" t="s">
        <v>66</v>
      </c>
      <c r="I259" s="3">
        <v>5</v>
      </c>
      <c r="J259" s="3" t="s">
        <v>30</v>
      </c>
      <c r="K259" s="18">
        <v>468</v>
      </c>
      <c r="L259" s="16">
        <v>624</v>
      </c>
      <c r="M259" s="6" t="str" cm="1">
        <f t="array" ref="M259">_xlfn.IFS(L259&lt;100,"Economy",L259&lt;200,"Standard",L259&lt;350,"Powerful",L259&lt;500,"High Performance",L259&lt;800,"Sports Performance",L259&gt;=800,"Super Performance")</f>
        <v>Sports Performance</v>
      </c>
    </row>
    <row r="260" spans="1:13" x14ac:dyDescent="0.25">
      <c r="A260" s="5" t="s">
        <v>377</v>
      </c>
      <c r="B260" s="3" t="s">
        <v>378</v>
      </c>
      <c r="C260" s="3" t="s">
        <v>262</v>
      </c>
      <c r="D260" s="4">
        <v>40456503</v>
      </c>
      <c r="E260" s="3">
        <v>5198</v>
      </c>
      <c r="F260" s="3">
        <v>12</v>
      </c>
      <c r="G260" s="3" t="s">
        <v>10</v>
      </c>
      <c r="H260" s="3" t="s">
        <v>212</v>
      </c>
      <c r="I260" s="3">
        <v>2</v>
      </c>
      <c r="J260" s="3" t="s">
        <v>30</v>
      </c>
      <c r="K260" s="18">
        <v>608</v>
      </c>
      <c r="L260" s="16">
        <v>700</v>
      </c>
      <c r="M260" s="6" t="str" cm="1">
        <f t="array" ref="M260">_xlfn.IFS(L260&lt;100,"Economy",L260&lt;200,"Standard",L260&lt;350,"Powerful",L260&lt;500,"High Performance",L260&lt;800,"Sports Performance",L260&gt;=800,"Super Performance")</f>
        <v>Sports Performance</v>
      </c>
    </row>
    <row r="261" spans="1:13" x14ac:dyDescent="0.25">
      <c r="A261" s="5" t="s">
        <v>93</v>
      </c>
      <c r="B261" s="3" t="s">
        <v>379</v>
      </c>
      <c r="C261" s="3" t="s">
        <v>97</v>
      </c>
      <c r="D261" s="4">
        <v>426289</v>
      </c>
      <c r="E261" s="3">
        <v>998</v>
      </c>
      <c r="F261" s="3">
        <v>3</v>
      </c>
      <c r="G261" s="3" t="s">
        <v>10</v>
      </c>
      <c r="H261" s="3" t="s">
        <v>11</v>
      </c>
      <c r="I261" s="3">
        <v>5</v>
      </c>
      <c r="J261" s="3" t="s">
        <v>12</v>
      </c>
      <c r="K261" s="18">
        <v>68</v>
      </c>
      <c r="L261" s="16">
        <v>90</v>
      </c>
      <c r="M261" s="6" t="str" cm="1">
        <f t="array" ref="M261">_xlfn.IFS(L261&lt;100,"Economy",L261&lt;200,"Standard",L261&lt;350,"Powerful",L261&lt;500,"High Performance",L261&lt;800,"Sports Performance",L261&gt;=800,"Super Performance")</f>
        <v>Economy</v>
      </c>
    </row>
    <row r="262" spans="1:13" x14ac:dyDescent="0.25">
      <c r="A262" s="5" t="s">
        <v>93</v>
      </c>
      <c r="B262" s="3" t="s">
        <v>379</v>
      </c>
      <c r="C262" s="3" t="s">
        <v>380</v>
      </c>
      <c r="D262" s="4">
        <v>434659</v>
      </c>
      <c r="E262" s="3">
        <v>998</v>
      </c>
      <c r="F262" s="3">
        <v>3</v>
      </c>
      <c r="G262" s="3" t="s">
        <v>10</v>
      </c>
      <c r="H262" s="3" t="s">
        <v>11</v>
      </c>
      <c r="I262" s="3">
        <v>5</v>
      </c>
      <c r="J262" s="3" t="s">
        <v>12</v>
      </c>
      <c r="K262" s="18">
        <v>68</v>
      </c>
      <c r="L262" s="16">
        <v>90</v>
      </c>
      <c r="M262" s="6" t="str" cm="1">
        <f t="array" ref="M262">_xlfn.IFS(L262&lt;100,"Economy",L262&lt;200,"Standard",L262&lt;350,"Powerful",L262&lt;500,"High Performance",L262&lt;800,"Sports Performance",L262&gt;=800,"Super Performance")</f>
        <v>Economy</v>
      </c>
    </row>
    <row r="263" spans="1:13" x14ac:dyDescent="0.25">
      <c r="A263" s="5" t="s">
        <v>202</v>
      </c>
      <c r="B263" s="3" t="s">
        <v>381</v>
      </c>
      <c r="C263" s="3" t="s">
        <v>311</v>
      </c>
      <c r="D263" s="4">
        <v>881425</v>
      </c>
      <c r="E263" s="3" t="s">
        <v>1386</v>
      </c>
      <c r="F263" s="3">
        <v>0</v>
      </c>
      <c r="G263" s="3" t="s">
        <v>141</v>
      </c>
      <c r="H263" s="3" t="s">
        <v>11</v>
      </c>
      <c r="I263" s="3">
        <v>4</v>
      </c>
      <c r="J263" s="3" t="s">
        <v>30</v>
      </c>
      <c r="K263" s="18">
        <v>25.8</v>
      </c>
      <c r="L263" s="16">
        <v>70</v>
      </c>
      <c r="M263" s="6" t="str" cm="1">
        <f t="array" ref="M263">_xlfn.IFS(L263&lt;100,"Economy",L263&lt;200,"Standard",L263&lt;350,"Powerful",L263&lt;500,"High Performance",L263&lt;800,"Sports Performance",L263&gt;=800,"Super Performance")</f>
        <v>Economy</v>
      </c>
    </row>
    <row r="264" spans="1:13" x14ac:dyDescent="0.25">
      <c r="A264" s="5" t="s">
        <v>202</v>
      </c>
      <c r="B264" s="3" t="s">
        <v>381</v>
      </c>
      <c r="C264" s="3" t="s">
        <v>312</v>
      </c>
      <c r="D264" s="4">
        <v>957177</v>
      </c>
      <c r="E264" s="3" t="s">
        <v>1386</v>
      </c>
      <c r="F264" s="3">
        <v>0</v>
      </c>
      <c r="G264" s="3" t="s">
        <v>141</v>
      </c>
      <c r="H264" s="3" t="s">
        <v>11</v>
      </c>
      <c r="I264" s="3">
        <v>4</v>
      </c>
      <c r="J264" s="3" t="s">
        <v>30</v>
      </c>
      <c r="K264" s="18">
        <v>25.8</v>
      </c>
      <c r="L264" s="16">
        <v>70</v>
      </c>
      <c r="M264" s="6" t="str" cm="1">
        <f t="array" ref="M264">_xlfn.IFS(L264&lt;100,"Economy",L264&lt;200,"Standard",L264&lt;350,"Powerful",L264&lt;500,"High Performance",L264&lt;800,"Sports Performance",L264&gt;=800,"Super Performance")</f>
        <v>Economy</v>
      </c>
    </row>
    <row r="265" spans="1:13" x14ac:dyDescent="0.25">
      <c r="A265" s="5" t="s">
        <v>382</v>
      </c>
      <c r="B265" s="3" t="s">
        <v>383</v>
      </c>
      <c r="C265" s="3" t="s">
        <v>384</v>
      </c>
      <c r="D265" s="4">
        <v>2769000</v>
      </c>
      <c r="E265" s="3">
        <v>1984</v>
      </c>
      <c r="F265" s="3">
        <v>5</v>
      </c>
      <c r="G265" s="3" t="s">
        <v>36</v>
      </c>
      <c r="H265" s="3" t="s">
        <v>11</v>
      </c>
      <c r="I265" s="3">
        <v>5</v>
      </c>
      <c r="J265" s="3" t="s">
        <v>30</v>
      </c>
      <c r="K265" s="18">
        <v>150</v>
      </c>
      <c r="L265" s="16">
        <v>350</v>
      </c>
      <c r="M265" s="6" t="str" cm="1">
        <f t="array" ref="M265">_xlfn.IFS(L265&lt;100,"Economy",L265&lt;200,"Standard",L265&lt;350,"Powerful",L265&lt;500,"High Performance",L265&lt;800,"Sports Performance",L265&gt;=800,"Super Performance")</f>
        <v>High Performance</v>
      </c>
    </row>
    <row r="266" spans="1:13" x14ac:dyDescent="0.25">
      <c r="A266" s="5" t="s">
        <v>382</v>
      </c>
      <c r="B266" s="3" t="s">
        <v>383</v>
      </c>
      <c r="C266" s="3" t="s">
        <v>385</v>
      </c>
      <c r="D266" s="4">
        <v>3191000</v>
      </c>
      <c r="E266" s="3">
        <v>1984</v>
      </c>
      <c r="F266" s="3">
        <v>5</v>
      </c>
      <c r="G266" s="3" t="s">
        <v>36</v>
      </c>
      <c r="H266" s="3" t="s">
        <v>11</v>
      </c>
      <c r="I266" s="3">
        <v>5</v>
      </c>
      <c r="J266" s="3" t="s">
        <v>30</v>
      </c>
      <c r="K266" s="18">
        <v>150</v>
      </c>
      <c r="L266" s="16">
        <v>350</v>
      </c>
      <c r="M266" s="6" t="str" cm="1">
        <f t="array" ref="M266">_xlfn.IFS(L266&lt;100,"Economy",L266&lt;200,"Standard",L266&lt;350,"Powerful",L266&lt;500,"High Performance",L266&lt;800,"Sports Performance",L266&gt;=800,"Super Performance")</f>
        <v>High Performance</v>
      </c>
    </row>
    <row r="267" spans="1:13" x14ac:dyDescent="0.25">
      <c r="A267" s="5" t="s">
        <v>90</v>
      </c>
      <c r="B267" s="3" t="s">
        <v>386</v>
      </c>
      <c r="C267" s="3" t="s">
        <v>387</v>
      </c>
      <c r="D267" s="4">
        <v>7285332</v>
      </c>
      <c r="E267" s="3">
        <v>2987</v>
      </c>
      <c r="F267" s="3">
        <v>6</v>
      </c>
      <c r="G267" s="3" t="s">
        <v>36</v>
      </c>
      <c r="H267" s="3" t="s">
        <v>27</v>
      </c>
      <c r="I267" s="3">
        <v>5</v>
      </c>
      <c r="J267" s="3" t="s">
        <v>30</v>
      </c>
      <c r="K267" s="18">
        <v>268.7</v>
      </c>
      <c r="L267" s="16">
        <v>620</v>
      </c>
      <c r="M267" s="6" t="str" cm="1">
        <f t="array" ref="M267">_xlfn.IFS(L267&lt;100,"Economy",L267&lt;200,"Standard",L267&lt;350,"Powerful",L267&lt;500,"High Performance",L267&lt;800,"Sports Performance",L267&gt;=800,"Super Performance")</f>
        <v>Sports Performance</v>
      </c>
    </row>
    <row r="268" spans="1:13" x14ac:dyDescent="0.25">
      <c r="A268" s="5" t="s">
        <v>85</v>
      </c>
      <c r="B268" s="3" t="s">
        <v>326</v>
      </c>
      <c r="C268" s="3" t="s">
        <v>388</v>
      </c>
      <c r="D268" s="4">
        <v>37133704</v>
      </c>
      <c r="E268" s="3">
        <v>5204</v>
      </c>
      <c r="F268" s="3">
        <v>10</v>
      </c>
      <c r="G268" s="3" t="s">
        <v>10</v>
      </c>
      <c r="H268" s="3" t="s">
        <v>212</v>
      </c>
      <c r="I268" s="3">
        <v>2</v>
      </c>
      <c r="J268" s="3" t="s">
        <v>30</v>
      </c>
      <c r="K268" s="18">
        <v>610</v>
      </c>
      <c r="L268" s="16">
        <v>560</v>
      </c>
      <c r="M268" s="6" t="str" cm="1">
        <f t="array" ref="M268">_xlfn.IFS(L268&lt;100,"Economy",L268&lt;200,"Standard",L268&lt;350,"Powerful",L268&lt;500,"High Performance",L268&lt;800,"Sports Performance",L268&gt;=800,"Super Performance")</f>
        <v>Sports Performance</v>
      </c>
    </row>
    <row r="269" spans="1:13" x14ac:dyDescent="0.25">
      <c r="A269" s="5" t="s">
        <v>85</v>
      </c>
      <c r="B269" s="3" t="s">
        <v>326</v>
      </c>
      <c r="C269" s="3" t="s">
        <v>389</v>
      </c>
      <c r="D269" s="4">
        <v>32452486</v>
      </c>
      <c r="E269" s="3">
        <v>5204</v>
      </c>
      <c r="F269" s="3">
        <v>10</v>
      </c>
      <c r="G269" s="3" t="s">
        <v>10</v>
      </c>
      <c r="H269" s="3" t="s">
        <v>212</v>
      </c>
      <c r="I269" s="3">
        <v>2</v>
      </c>
      <c r="J269" s="3" t="s">
        <v>30</v>
      </c>
      <c r="K269" s="18">
        <v>580</v>
      </c>
      <c r="L269" s="16">
        <v>540</v>
      </c>
      <c r="M269" s="6" t="str" cm="1">
        <f t="array" ref="M269">_xlfn.IFS(L269&lt;100,"Economy",L269&lt;200,"Standard",L269&lt;350,"Powerful",L269&lt;500,"High Performance",L269&lt;800,"Sports Performance",L269&gt;=800,"Super Performance")</f>
        <v>Sports Performance</v>
      </c>
    </row>
    <row r="270" spans="1:13" x14ac:dyDescent="0.25">
      <c r="A270" s="5" t="s">
        <v>85</v>
      </c>
      <c r="B270" s="3" t="s">
        <v>326</v>
      </c>
      <c r="C270" s="3" t="s">
        <v>390</v>
      </c>
      <c r="D270" s="4">
        <v>35150732</v>
      </c>
      <c r="E270" s="3">
        <v>5204</v>
      </c>
      <c r="F270" s="3">
        <v>10</v>
      </c>
      <c r="G270" s="3" t="s">
        <v>10</v>
      </c>
      <c r="H270" s="3" t="s">
        <v>212</v>
      </c>
      <c r="I270" s="3">
        <v>2</v>
      </c>
      <c r="J270" s="3" t="s">
        <v>30</v>
      </c>
      <c r="K270" s="18">
        <v>610</v>
      </c>
      <c r="L270" s="16">
        <v>560</v>
      </c>
      <c r="M270" s="6" t="str" cm="1">
        <f t="array" ref="M270">_xlfn.IFS(L270&lt;100,"Economy",L270&lt;200,"Standard",L270&lt;350,"Powerful",L270&lt;500,"High Performance",L270&lt;800,"Sports Performance",L270&gt;=800,"Super Performance")</f>
        <v>Sports Performance</v>
      </c>
    </row>
    <row r="271" spans="1:13" x14ac:dyDescent="0.25">
      <c r="A271" s="5" t="s">
        <v>85</v>
      </c>
      <c r="B271" s="3" t="s">
        <v>326</v>
      </c>
      <c r="C271" s="3" t="s">
        <v>391</v>
      </c>
      <c r="D271" s="4">
        <v>37614126</v>
      </c>
      <c r="E271" s="3">
        <v>5204</v>
      </c>
      <c r="F271" s="3">
        <v>10</v>
      </c>
      <c r="G271" s="3" t="s">
        <v>10</v>
      </c>
      <c r="H271" s="3" t="s">
        <v>212</v>
      </c>
      <c r="I271" s="3">
        <v>2</v>
      </c>
      <c r="J271" s="3" t="s">
        <v>30</v>
      </c>
      <c r="K271" s="18">
        <v>639</v>
      </c>
      <c r="L271" s="16">
        <v>600</v>
      </c>
      <c r="M271" s="6" t="str" cm="1">
        <f t="array" ref="M271">_xlfn.IFS(L271&lt;100,"Economy",L271&lt;200,"Standard",L271&lt;350,"Powerful",L271&lt;500,"High Performance",L271&lt;800,"Sports Performance",L271&gt;=800,"Super Performance")</f>
        <v>Sports Performance</v>
      </c>
    </row>
    <row r="272" spans="1:13" x14ac:dyDescent="0.25">
      <c r="A272" s="5" t="s">
        <v>85</v>
      </c>
      <c r="B272" s="3" t="s">
        <v>326</v>
      </c>
      <c r="C272" s="3" t="s">
        <v>392</v>
      </c>
      <c r="D272" s="4">
        <v>35535000</v>
      </c>
      <c r="E272" s="3">
        <v>5204</v>
      </c>
      <c r="F272" s="3">
        <v>10</v>
      </c>
      <c r="G272" s="3" t="s">
        <v>10</v>
      </c>
      <c r="H272" s="3" t="s">
        <v>212</v>
      </c>
      <c r="I272" s="3">
        <v>2</v>
      </c>
      <c r="J272" s="3" t="s">
        <v>30</v>
      </c>
      <c r="K272" s="18">
        <v>571</v>
      </c>
      <c r="L272" s="16">
        <v>540</v>
      </c>
      <c r="M272" s="6" t="str" cm="1">
        <f t="array" ref="M272">_xlfn.IFS(L272&lt;100,"Economy",L272&lt;200,"Standard",L272&lt;350,"Powerful",L272&lt;500,"High Performance",L272&lt;800,"Sports Performance",L272&gt;=800,"Super Performance")</f>
        <v>Sports Performance</v>
      </c>
    </row>
    <row r="273" spans="1:13" x14ac:dyDescent="0.25">
      <c r="A273" s="5" t="s">
        <v>85</v>
      </c>
      <c r="B273" s="3" t="s">
        <v>326</v>
      </c>
      <c r="C273" s="3" t="s">
        <v>393</v>
      </c>
      <c r="D273" s="4">
        <v>40742932</v>
      </c>
      <c r="E273" s="3">
        <v>5204</v>
      </c>
      <c r="F273" s="3">
        <v>10</v>
      </c>
      <c r="G273" s="3" t="s">
        <v>10</v>
      </c>
      <c r="H273" s="3" t="s">
        <v>212</v>
      </c>
      <c r="I273" s="3">
        <v>2</v>
      </c>
      <c r="J273" s="3" t="s">
        <v>30</v>
      </c>
      <c r="K273" s="18">
        <v>602</v>
      </c>
      <c r="L273" s="16">
        <v>560</v>
      </c>
      <c r="M273" s="6" t="str" cm="1">
        <f t="array" ref="M273">_xlfn.IFS(L273&lt;100,"Economy",L273&lt;200,"Standard",L273&lt;350,"Powerful",L273&lt;500,"High Performance",L273&lt;800,"Sports Performance",L273&gt;=800,"Super Performance")</f>
        <v>Sports Performance</v>
      </c>
    </row>
    <row r="274" spans="1:13" x14ac:dyDescent="0.25">
      <c r="A274" s="5" t="s">
        <v>85</v>
      </c>
      <c r="B274" s="3" t="s">
        <v>326</v>
      </c>
      <c r="C274" s="3" t="s">
        <v>394</v>
      </c>
      <c r="D274" s="4">
        <v>37300000</v>
      </c>
      <c r="E274" s="3">
        <v>5204</v>
      </c>
      <c r="F274" s="3">
        <v>10</v>
      </c>
      <c r="G274" s="3" t="s">
        <v>10</v>
      </c>
      <c r="H274" s="3" t="s">
        <v>212</v>
      </c>
      <c r="I274" s="3">
        <v>2</v>
      </c>
      <c r="J274" s="3" t="s">
        <v>30</v>
      </c>
      <c r="K274" s="18">
        <v>631</v>
      </c>
      <c r="L274" s="16">
        <v>600</v>
      </c>
      <c r="M274" s="6" t="str" cm="1">
        <f t="array" ref="M274">_xlfn.IFS(L274&lt;100,"Economy",L274&lt;200,"Standard",L274&lt;350,"Powerful",L274&lt;500,"High Performance",L274&lt;800,"Sports Performance",L274&gt;=800,"Super Performance")</f>
        <v>Sports Performance</v>
      </c>
    </row>
    <row r="275" spans="1:13" x14ac:dyDescent="0.25">
      <c r="A275" s="5" t="s">
        <v>131</v>
      </c>
      <c r="B275" s="3" t="s">
        <v>395</v>
      </c>
      <c r="C275" s="3" t="s">
        <v>396</v>
      </c>
      <c r="D275" s="4">
        <v>1035000</v>
      </c>
      <c r="E275" s="3">
        <v>1498</v>
      </c>
      <c r="F275" s="3">
        <v>0</v>
      </c>
      <c r="G275" s="3" t="s">
        <v>36</v>
      </c>
      <c r="H275" s="3" t="s">
        <v>66</v>
      </c>
      <c r="I275" s="3">
        <v>5</v>
      </c>
      <c r="J275" s="3" t="s">
        <v>12</v>
      </c>
      <c r="K275" s="18">
        <v>100</v>
      </c>
      <c r="L275" s="16">
        <v>200</v>
      </c>
      <c r="M275" s="6" t="str" cm="1">
        <f t="array" ref="M275">_xlfn.IFS(L275&lt;100,"Economy",L275&lt;200,"Standard",L275&lt;350,"Powerful",L275&lt;500,"High Performance",L275&lt;800,"Sports Performance",L275&gt;=800,"Super Performance")</f>
        <v>Powerful</v>
      </c>
    </row>
    <row r="276" spans="1:13" x14ac:dyDescent="0.25">
      <c r="A276" s="5" t="s">
        <v>131</v>
      </c>
      <c r="B276" s="3" t="s">
        <v>395</v>
      </c>
      <c r="C276" s="3" t="s">
        <v>397</v>
      </c>
      <c r="D276" s="4">
        <v>1048050</v>
      </c>
      <c r="E276" s="3">
        <v>1498</v>
      </c>
      <c r="F276" s="3">
        <v>0</v>
      </c>
      <c r="G276" s="3" t="s">
        <v>36</v>
      </c>
      <c r="H276" s="3" t="s">
        <v>66</v>
      </c>
      <c r="I276" s="3">
        <v>5</v>
      </c>
      <c r="J276" s="3" t="s">
        <v>12</v>
      </c>
      <c r="K276" s="18">
        <v>100</v>
      </c>
      <c r="L276" s="16">
        <v>200</v>
      </c>
      <c r="M276" s="6" t="str" cm="1">
        <f t="array" ref="M276">_xlfn.IFS(L276&lt;100,"Economy",L276&lt;200,"Standard",L276&lt;350,"Powerful",L276&lt;500,"High Performance",L276&lt;800,"Sports Performance",L276&gt;=800,"Super Performance")</f>
        <v>Powerful</v>
      </c>
    </row>
    <row r="277" spans="1:13" x14ac:dyDescent="0.25">
      <c r="A277" s="5" t="s">
        <v>131</v>
      </c>
      <c r="B277" s="3" t="s">
        <v>395</v>
      </c>
      <c r="C277" s="3" t="s">
        <v>398</v>
      </c>
      <c r="D277" s="4">
        <v>995000</v>
      </c>
      <c r="E277" s="3">
        <v>1498</v>
      </c>
      <c r="F277" s="3">
        <v>0</v>
      </c>
      <c r="G277" s="3" t="s">
        <v>36</v>
      </c>
      <c r="H277" s="3" t="s">
        <v>66</v>
      </c>
      <c r="I277" s="3">
        <v>5</v>
      </c>
      <c r="J277" s="3" t="s">
        <v>12</v>
      </c>
      <c r="K277" s="18">
        <v>100</v>
      </c>
      <c r="L277" s="16">
        <v>200</v>
      </c>
      <c r="M277" s="6" t="str" cm="1">
        <f t="array" ref="M277">_xlfn.IFS(L277&lt;100,"Economy",L277&lt;200,"Standard",L277&lt;350,"Powerful",L277&lt;500,"High Performance",L277&lt;800,"Sports Performance",L277&gt;=800,"Super Performance")</f>
        <v>Powerful</v>
      </c>
    </row>
    <row r="278" spans="1:13" x14ac:dyDescent="0.25">
      <c r="A278" s="5" t="s">
        <v>330</v>
      </c>
      <c r="B278" s="3" t="s">
        <v>399</v>
      </c>
      <c r="C278" s="3" t="s">
        <v>400</v>
      </c>
      <c r="D278" s="4">
        <v>21240272</v>
      </c>
      <c r="E278" s="3">
        <v>3799</v>
      </c>
      <c r="F278" s="3">
        <v>6</v>
      </c>
      <c r="G278" s="3" t="s">
        <v>10</v>
      </c>
      <c r="H278" s="3" t="s">
        <v>212</v>
      </c>
      <c r="I278" s="3">
        <v>4</v>
      </c>
      <c r="J278" s="3" t="s">
        <v>30</v>
      </c>
      <c r="K278" s="18">
        <v>570</v>
      </c>
      <c r="L278" s="16">
        <v>637</v>
      </c>
      <c r="M278" s="6" t="str" cm="1">
        <f t="array" ref="M278">_xlfn.IFS(L278&lt;100,"Economy",L278&lt;200,"Standard",L278&lt;350,"Powerful",L278&lt;500,"High Performance",L278&lt;800,"Sports Performance",L278&gt;=800,"Super Performance")</f>
        <v>Sports Performance</v>
      </c>
    </row>
    <row r="279" spans="1:13" x14ac:dyDescent="0.25">
      <c r="A279" s="5" t="s">
        <v>78</v>
      </c>
      <c r="B279" s="3" t="s">
        <v>401</v>
      </c>
      <c r="C279" s="3" t="s">
        <v>402</v>
      </c>
      <c r="D279" s="4">
        <v>5980000</v>
      </c>
      <c r="E279" s="3">
        <v>1998</v>
      </c>
      <c r="F279" s="3">
        <v>6</v>
      </c>
      <c r="G279" s="3" t="s">
        <v>10</v>
      </c>
      <c r="H279" s="3" t="s">
        <v>27</v>
      </c>
      <c r="I279" s="3">
        <v>5</v>
      </c>
      <c r="J279" s="3" t="s">
        <v>30</v>
      </c>
      <c r="K279" s="18">
        <v>252</v>
      </c>
      <c r="L279" s="16">
        <v>350</v>
      </c>
      <c r="M279" s="6" t="str" cm="1">
        <f t="array" ref="M279">_xlfn.IFS(L279&lt;100,"Economy",L279&lt;200,"Standard",L279&lt;350,"Powerful",L279&lt;500,"High Performance",L279&lt;800,"Sports Performance",L279&gt;=800,"Super Performance")</f>
        <v>High Performance</v>
      </c>
    </row>
    <row r="280" spans="1:13" x14ac:dyDescent="0.25">
      <c r="A280" s="5" t="s">
        <v>68</v>
      </c>
      <c r="B280" s="3" t="s">
        <v>403</v>
      </c>
      <c r="C280" s="3" t="s">
        <v>404</v>
      </c>
      <c r="D280" s="4">
        <v>5038000</v>
      </c>
      <c r="E280" s="3">
        <v>1395</v>
      </c>
      <c r="F280" s="3">
        <v>4</v>
      </c>
      <c r="G280" s="3" t="s">
        <v>10</v>
      </c>
      <c r="H280" s="3" t="s">
        <v>206</v>
      </c>
      <c r="I280" s="3">
        <v>4</v>
      </c>
      <c r="J280" s="3" t="s">
        <v>30</v>
      </c>
      <c r="K280" s="18">
        <v>148</v>
      </c>
      <c r="L280" s="16">
        <v>250</v>
      </c>
      <c r="M280" s="6" t="str" cm="1">
        <f t="array" ref="M280">_xlfn.IFS(L280&lt;100,"Economy",L280&lt;200,"Standard",L280&lt;350,"Powerful",L280&lt;500,"High Performance",L280&lt;800,"Sports Performance",L280&gt;=800,"Super Performance")</f>
        <v>Powerful</v>
      </c>
    </row>
    <row r="281" spans="1:13" x14ac:dyDescent="0.25">
      <c r="A281" s="5" t="s">
        <v>350</v>
      </c>
      <c r="B281" s="3" t="s">
        <v>405</v>
      </c>
      <c r="C281" s="3" t="s">
        <v>406</v>
      </c>
      <c r="D281" s="4">
        <v>863299</v>
      </c>
      <c r="E281" s="3">
        <v>1461</v>
      </c>
      <c r="F281" s="3">
        <v>4</v>
      </c>
      <c r="G281" s="3" t="s">
        <v>36</v>
      </c>
      <c r="H281" s="3" t="s">
        <v>242</v>
      </c>
      <c r="I281" s="3">
        <v>8</v>
      </c>
      <c r="J281" s="3" t="s">
        <v>12</v>
      </c>
      <c r="K281" s="18">
        <v>85</v>
      </c>
      <c r="L281" s="16">
        <v>200</v>
      </c>
      <c r="M281" s="6" t="str" cm="1">
        <f t="array" ref="M281">_xlfn.IFS(L281&lt;100,"Economy",L281&lt;200,"Standard",L281&lt;350,"Powerful",L281&lt;500,"High Performance",L281&lt;800,"Sports Performance",L281&gt;=800,"Super Performance")</f>
        <v>Powerful</v>
      </c>
    </row>
    <row r="282" spans="1:13" x14ac:dyDescent="0.25">
      <c r="A282" s="5" t="s">
        <v>350</v>
      </c>
      <c r="B282" s="3" t="s">
        <v>405</v>
      </c>
      <c r="C282" s="3" t="s">
        <v>407</v>
      </c>
      <c r="D282" s="4">
        <v>964199</v>
      </c>
      <c r="E282" s="3">
        <v>1461</v>
      </c>
      <c r="F282" s="3">
        <v>4</v>
      </c>
      <c r="G282" s="3" t="s">
        <v>36</v>
      </c>
      <c r="H282" s="3" t="s">
        <v>242</v>
      </c>
      <c r="I282" s="3">
        <v>8</v>
      </c>
      <c r="J282" s="3" t="s">
        <v>12</v>
      </c>
      <c r="K282" s="18">
        <v>85</v>
      </c>
      <c r="L282" s="16">
        <v>200</v>
      </c>
      <c r="M282" s="6" t="str" cm="1">
        <f t="array" ref="M282">_xlfn.IFS(L282&lt;100,"Economy",L282&lt;200,"Standard",L282&lt;350,"Powerful",L282&lt;500,"High Performance",L282&lt;800,"Sports Performance",L282&gt;=800,"Super Performance")</f>
        <v>Powerful</v>
      </c>
    </row>
    <row r="283" spans="1:13" x14ac:dyDescent="0.25">
      <c r="A283" s="5" t="s">
        <v>350</v>
      </c>
      <c r="B283" s="3" t="s">
        <v>405</v>
      </c>
      <c r="C283" s="3" t="s">
        <v>408</v>
      </c>
      <c r="D283" s="4">
        <v>1211599</v>
      </c>
      <c r="E283" s="3">
        <v>1461</v>
      </c>
      <c r="F283" s="3">
        <v>4</v>
      </c>
      <c r="G283" s="3" t="s">
        <v>36</v>
      </c>
      <c r="H283" s="3" t="s">
        <v>242</v>
      </c>
      <c r="I283" s="3">
        <v>8</v>
      </c>
      <c r="J283" s="3" t="s">
        <v>12</v>
      </c>
      <c r="K283" s="18">
        <v>110</v>
      </c>
      <c r="L283" s="16">
        <v>245</v>
      </c>
      <c r="M283" s="6" t="str" cm="1">
        <f t="array" ref="M283">_xlfn.IFS(L283&lt;100,"Economy",L283&lt;200,"Standard",L283&lt;350,"Powerful",L283&lt;500,"High Performance",L283&lt;800,"Sports Performance",L283&gt;=800,"Super Performance")</f>
        <v>Powerful</v>
      </c>
    </row>
    <row r="284" spans="1:13" x14ac:dyDescent="0.25">
      <c r="A284" s="5" t="s">
        <v>350</v>
      </c>
      <c r="B284" s="3" t="s">
        <v>405</v>
      </c>
      <c r="C284" s="3" t="s">
        <v>409</v>
      </c>
      <c r="D284" s="4">
        <v>1211599</v>
      </c>
      <c r="E284" s="3">
        <v>1461</v>
      </c>
      <c r="F284" s="3">
        <v>4</v>
      </c>
      <c r="G284" s="3" t="s">
        <v>36</v>
      </c>
      <c r="H284" s="3" t="s">
        <v>242</v>
      </c>
      <c r="I284" s="3">
        <v>7</v>
      </c>
      <c r="J284" s="3" t="s">
        <v>12</v>
      </c>
      <c r="K284" s="18">
        <v>110</v>
      </c>
      <c r="L284" s="16">
        <v>245</v>
      </c>
      <c r="M284" s="6" t="str" cm="1">
        <f t="array" ref="M284">_xlfn.IFS(L284&lt;100,"Economy",L284&lt;200,"Standard",L284&lt;350,"Powerful",L284&lt;500,"High Performance",L284&lt;800,"Sports Performance",L284&gt;=800,"Super Performance")</f>
        <v>Powerful</v>
      </c>
    </row>
    <row r="285" spans="1:13" x14ac:dyDescent="0.25">
      <c r="A285" s="5" t="s">
        <v>350</v>
      </c>
      <c r="B285" s="3" t="s">
        <v>405</v>
      </c>
      <c r="C285" s="3" t="s">
        <v>410</v>
      </c>
      <c r="D285" s="4">
        <v>1053899</v>
      </c>
      <c r="E285" s="3">
        <v>1461</v>
      </c>
      <c r="F285" s="3">
        <v>4</v>
      </c>
      <c r="G285" s="3" t="s">
        <v>36</v>
      </c>
      <c r="H285" s="3" t="s">
        <v>242</v>
      </c>
      <c r="I285" s="3">
        <v>8</v>
      </c>
      <c r="J285" s="3" t="s">
        <v>12</v>
      </c>
      <c r="K285" s="18">
        <v>85</v>
      </c>
      <c r="L285" s="16">
        <v>200</v>
      </c>
      <c r="M285" s="6" t="str" cm="1">
        <f t="array" ref="M285">_xlfn.IFS(L285&lt;100,"Economy",L285&lt;200,"Standard",L285&lt;350,"Powerful",L285&lt;500,"High Performance",L285&lt;800,"Sports Performance",L285&gt;=800,"Super Performance")</f>
        <v>Powerful</v>
      </c>
    </row>
    <row r="286" spans="1:13" x14ac:dyDescent="0.25">
      <c r="A286" s="5" t="s">
        <v>350</v>
      </c>
      <c r="B286" s="3" t="s">
        <v>405</v>
      </c>
      <c r="C286" s="3" t="s">
        <v>411</v>
      </c>
      <c r="D286" s="4">
        <v>1130099</v>
      </c>
      <c r="E286" s="3">
        <v>1461</v>
      </c>
      <c r="F286" s="3">
        <v>4</v>
      </c>
      <c r="G286" s="3" t="s">
        <v>36</v>
      </c>
      <c r="H286" s="3" t="s">
        <v>242</v>
      </c>
      <c r="I286" s="3">
        <v>8</v>
      </c>
      <c r="J286" s="3" t="s">
        <v>12</v>
      </c>
      <c r="K286" s="18">
        <v>85</v>
      </c>
      <c r="L286" s="16">
        <v>200</v>
      </c>
      <c r="M286" s="6" t="str" cm="1">
        <f t="array" ref="M286">_xlfn.IFS(L286&lt;100,"Economy",L286&lt;200,"Standard",L286&lt;350,"Powerful",L286&lt;500,"High Performance",L286&lt;800,"Sports Performance",L286&gt;=800,"Super Performance")</f>
        <v>Powerful</v>
      </c>
    </row>
    <row r="287" spans="1:13" x14ac:dyDescent="0.25">
      <c r="A287" s="5" t="s">
        <v>350</v>
      </c>
      <c r="B287" s="3" t="s">
        <v>405</v>
      </c>
      <c r="C287" s="3" t="s">
        <v>412</v>
      </c>
      <c r="D287" s="4">
        <v>964199</v>
      </c>
      <c r="E287" s="3">
        <v>1461</v>
      </c>
      <c r="F287" s="3">
        <v>4</v>
      </c>
      <c r="G287" s="3" t="s">
        <v>36</v>
      </c>
      <c r="H287" s="3" t="s">
        <v>242</v>
      </c>
      <c r="I287" s="3">
        <v>7</v>
      </c>
      <c r="J287" s="3" t="s">
        <v>12</v>
      </c>
      <c r="K287" s="18">
        <v>85</v>
      </c>
      <c r="L287" s="16">
        <v>200</v>
      </c>
      <c r="M287" s="6" t="str" cm="1">
        <f t="array" ref="M287">_xlfn.IFS(L287&lt;100,"Economy",L287&lt;200,"Standard",L287&lt;350,"Powerful",L287&lt;500,"High Performance",L287&lt;800,"Sports Performance",L287&gt;=800,"Super Performance")</f>
        <v>Powerful</v>
      </c>
    </row>
    <row r="288" spans="1:13" x14ac:dyDescent="0.25">
      <c r="A288" s="5" t="s">
        <v>202</v>
      </c>
      <c r="B288" s="3" t="s">
        <v>413</v>
      </c>
      <c r="C288" s="3" t="s">
        <v>414</v>
      </c>
      <c r="D288" s="4">
        <v>1539488</v>
      </c>
      <c r="E288" s="3">
        <v>2179</v>
      </c>
      <c r="F288" s="3">
        <v>4</v>
      </c>
      <c r="G288" s="3" t="s">
        <v>36</v>
      </c>
      <c r="H288" s="3" t="s">
        <v>66</v>
      </c>
      <c r="I288" s="3">
        <v>7</v>
      </c>
      <c r="J288" s="3" t="s">
        <v>30</v>
      </c>
      <c r="K288" s="18">
        <v>155</v>
      </c>
      <c r="L288" s="16">
        <v>330</v>
      </c>
      <c r="M288" s="6" t="str" cm="1">
        <f t="array" ref="M288">_xlfn.IFS(L288&lt;100,"Economy",L288&lt;200,"Standard",L288&lt;350,"Powerful",L288&lt;500,"High Performance",L288&lt;800,"Sports Performance",L288&gt;=800,"Super Performance")</f>
        <v>Powerful</v>
      </c>
    </row>
    <row r="289" spans="1:13" x14ac:dyDescent="0.25">
      <c r="A289" s="5" t="s">
        <v>202</v>
      </c>
      <c r="B289" s="3" t="s">
        <v>413</v>
      </c>
      <c r="C289" s="3" t="s">
        <v>415</v>
      </c>
      <c r="D289" s="4">
        <v>1588943</v>
      </c>
      <c r="E289" s="3">
        <v>2179</v>
      </c>
      <c r="F289" s="3">
        <v>4</v>
      </c>
      <c r="G289" s="3" t="s">
        <v>36</v>
      </c>
      <c r="H289" s="3" t="s">
        <v>66</v>
      </c>
      <c r="I289" s="3">
        <v>7</v>
      </c>
      <c r="J289" s="3" t="s">
        <v>12</v>
      </c>
      <c r="K289" s="18">
        <v>155</v>
      </c>
      <c r="L289" s="16">
        <v>330</v>
      </c>
      <c r="M289" s="6" t="str" cm="1">
        <f t="array" ref="M289">_xlfn.IFS(L289&lt;100,"Economy",L289&lt;200,"Standard",L289&lt;350,"Powerful",L289&lt;500,"High Performance",L289&lt;800,"Sports Performance",L289&gt;=800,"Super Performance")</f>
        <v>Powerful</v>
      </c>
    </row>
    <row r="290" spans="1:13" x14ac:dyDescent="0.25">
      <c r="A290" s="5" t="s">
        <v>202</v>
      </c>
      <c r="B290" s="3" t="s">
        <v>413</v>
      </c>
      <c r="C290" s="3" t="s">
        <v>416</v>
      </c>
      <c r="D290" s="4">
        <v>1710118</v>
      </c>
      <c r="E290" s="3">
        <v>2179</v>
      </c>
      <c r="F290" s="3">
        <v>4</v>
      </c>
      <c r="G290" s="3" t="s">
        <v>36</v>
      </c>
      <c r="H290" s="3" t="s">
        <v>66</v>
      </c>
      <c r="I290" s="3">
        <v>7</v>
      </c>
      <c r="J290" s="3" t="s">
        <v>30</v>
      </c>
      <c r="K290" s="18">
        <v>155</v>
      </c>
      <c r="L290" s="16">
        <v>330</v>
      </c>
      <c r="M290" s="6" t="str" cm="1">
        <f t="array" ref="M290">_xlfn.IFS(L290&lt;100,"Economy",L290&lt;200,"Standard",L290&lt;350,"Powerful",L290&lt;500,"High Performance",L290&lt;800,"Sports Performance",L290&gt;=800,"Super Performance")</f>
        <v>Powerful</v>
      </c>
    </row>
    <row r="291" spans="1:13" x14ac:dyDescent="0.25">
      <c r="A291" s="5" t="s">
        <v>202</v>
      </c>
      <c r="B291" s="3" t="s">
        <v>413</v>
      </c>
      <c r="C291" s="3" t="s">
        <v>417</v>
      </c>
      <c r="D291" s="4">
        <v>1716319</v>
      </c>
      <c r="E291" s="3">
        <v>2179</v>
      </c>
      <c r="F291" s="3">
        <v>4</v>
      </c>
      <c r="G291" s="3" t="s">
        <v>36</v>
      </c>
      <c r="H291" s="3" t="s">
        <v>66</v>
      </c>
      <c r="I291" s="3">
        <v>7</v>
      </c>
      <c r="J291" s="3" t="s">
        <v>12</v>
      </c>
      <c r="K291" s="18">
        <v>155</v>
      </c>
      <c r="L291" s="16">
        <v>330</v>
      </c>
      <c r="M291" s="6" t="str" cm="1">
        <f t="array" ref="M291">_xlfn.IFS(L291&lt;100,"Economy",L291&lt;200,"Standard",L291&lt;350,"Powerful",L291&lt;500,"High Performance",L291&lt;800,"Sports Performance",L291&gt;=800,"Super Performance")</f>
        <v>Powerful</v>
      </c>
    </row>
    <row r="292" spans="1:13" x14ac:dyDescent="0.25">
      <c r="A292" s="5" t="s">
        <v>202</v>
      </c>
      <c r="B292" s="3" t="s">
        <v>413</v>
      </c>
      <c r="C292" s="3" t="s">
        <v>418</v>
      </c>
      <c r="D292" s="4">
        <v>1837586</v>
      </c>
      <c r="E292" s="3">
        <v>2179</v>
      </c>
      <c r="F292" s="3">
        <v>4</v>
      </c>
      <c r="G292" s="3" t="s">
        <v>36</v>
      </c>
      <c r="H292" s="3" t="s">
        <v>66</v>
      </c>
      <c r="I292" s="3">
        <v>7</v>
      </c>
      <c r="J292" s="3" t="s">
        <v>30</v>
      </c>
      <c r="K292" s="18">
        <v>155</v>
      </c>
      <c r="L292" s="16">
        <v>330</v>
      </c>
      <c r="M292" s="6" t="str" cm="1">
        <f t="array" ref="M292">_xlfn.IFS(L292&lt;100,"Economy",L292&lt;200,"Standard",L292&lt;350,"Powerful",L292&lt;500,"High Performance",L292&lt;800,"Sports Performance",L292&gt;=800,"Super Performance")</f>
        <v>Powerful</v>
      </c>
    </row>
    <row r="293" spans="1:13" x14ac:dyDescent="0.25">
      <c r="A293" s="5" t="s">
        <v>202</v>
      </c>
      <c r="B293" s="3" t="s">
        <v>413</v>
      </c>
      <c r="C293" s="3" t="s">
        <v>419</v>
      </c>
      <c r="D293" s="4">
        <v>1741319</v>
      </c>
      <c r="E293" s="3">
        <v>2179</v>
      </c>
      <c r="F293" s="3">
        <v>4</v>
      </c>
      <c r="G293" s="3" t="s">
        <v>36</v>
      </c>
      <c r="H293" s="3" t="s">
        <v>66</v>
      </c>
      <c r="I293" s="3">
        <v>7</v>
      </c>
      <c r="J293" s="3" t="s">
        <v>12</v>
      </c>
      <c r="K293" s="18">
        <v>155</v>
      </c>
      <c r="L293" s="16">
        <v>330</v>
      </c>
      <c r="M293" s="6" t="str" cm="1">
        <f t="array" ref="M293">_xlfn.IFS(L293&lt;100,"Economy",L293&lt;200,"Standard",L293&lt;350,"Powerful",L293&lt;500,"High Performance",L293&lt;800,"Sports Performance",L293&gt;=800,"Super Performance")</f>
        <v>Powerful</v>
      </c>
    </row>
    <row r="294" spans="1:13" x14ac:dyDescent="0.25">
      <c r="A294" s="5" t="s">
        <v>202</v>
      </c>
      <c r="B294" s="3" t="s">
        <v>413</v>
      </c>
      <c r="C294" s="3" t="s">
        <v>420</v>
      </c>
      <c r="D294" s="4">
        <v>1862586</v>
      </c>
      <c r="E294" s="3">
        <v>2179</v>
      </c>
      <c r="F294" s="3">
        <v>4</v>
      </c>
      <c r="G294" s="3" t="s">
        <v>36</v>
      </c>
      <c r="H294" s="3" t="s">
        <v>66</v>
      </c>
      <c r="I294" s="3">
        <v>7</v>
      </c>
      <c r="J294" s="3" t="s">
        <v>30</v>
      </c>
      <c r="K294" s="18">
        <v>155</v>
      </c>
      <c r="L294" s="16">
        <v>330</v>
      </c>
      <c r="M294" s="6" t="str" cm="1">
        <f t="array" ref="M294">_xlfn.IFS(L294&lt;100,"Economy",L294&lt;200,"Standard",L294&lt;350,"Powerful",L294&lt;500,"High Performance",L294&lt;800,"Sports Performance",L294&gt;=800,"Super Performance")</f>
        <v>Powerful</v>
      </c>
    </row>
    <row r="295" spans="1:13" x14ac:dyDescent="0.25">
      <c r="A295" s="5" t="s">
        <v>202</v>
      </c>
      <c r="B295" s="3" t="s">
        <v>413</v>
      </c>
      <c r="C295" s="3" t="s">
        <v>421</v>
      </c>
      <c r="D295" s="4">
        <v>1852488</v>
      </c>
      <c r="E295" s="3">
        <v>2179</v>
      </c>
      <c r="F295" s="3">
        <v>4</v>
      </c>
      <c r="G295" s="3" t="s">
        <v>36</v>
      </c>
      <c r="H295" s="3" t="s">
        <v>66</v>
      </c>
      <c r="I295" s="3">
        <v>7</v>
      </c>
      <c r="J295" s="3" t="s">
        <v>12</v>
      </c>
      <c r="K295" s="18">
        <v>155</v>
      </c>
      <c r="L295" s="16">
        <v>330</v>
      </c>
      <c r="M295" s="6" t="str" cm="1">
        <f t="array" ref="M295">_xlfn.IFS(L295&lt;100,"Economy",L295&lt;200,"Standard",L295&lt;350,"Powerful",L295&lt;500,"High Performance",L295&lt;800,"Sports Performance",L295&gt;=800,"Super Performance")</f>
        <v>Powerful</v>
      </c>
    </row>
    <row r="296" spans="1:13" x14ac:dyDescent="0.25">
      <c r="A296" s="5" t="s">
        <v>202</v>
      </c>
      <c r="B296" s="3" t="s">
        <v>413</v>
      </c>
      <c r="C296" s="3" t="s">
        <v>422</v>
      </c>
      <c r="D296" s="4">
        <v>1973664</v>
      </c>
      <c r="E296" s="3">
        <v>2179</v>
      </c>
      <c r="F296" s="3">
        <v>4</v>
      </c>
      <c r="G296" s="3" t="s">
        <v>36</v>
      </c>
      <c r="H296" s="3" t="s">
        <v>66</v>
      </c>
      <c r="I296" s="3">
        <v>7</v>
      </c>
      <c r="J296" s="3" t="s">
        <v>30</v>
      </c>
      <c r="K296" s="18">
        <v>155</v>
      </c>
      <c r="L296" s="16">
        <v>330</v>
      </c>
      <c r="M296" s="6" t="str" cm="1">
        <f t="array" ref="M296">_xlfn.IFS(L296&lt;100,"Economy",L296&lt;200,"Standard",L296&lt;350,"Powerful",L296&lt;500,"High Performance",L296&lt;800,"Sports Performance",L296&gt;=800,"Super Performance")</f>
        <v>Powerful</v>
      </c>
    </row>
    <row r="297" spans="1:13" x14ac:dyDescent="0.25">
      <c r="A297" s="5" t="s">
        <v>202</v>
      </c>
      <c r="B297" s="3" t="s">
        <v>413</v>
      </c>
      <c r="C297" s="3" t="s">
        <v>423</v>
      </c>
      <c r="D297" s="4">
        <v>1230924</v>
      </c>
      <c r="E297" s="3">
        <v>2179</v>
      </c>
      <c r="F297" s="3">
        <v>4</v>
      </c>
      <c r="G297" s="3" t="s">
        <v>36</v>
      </c>
      <c r="H297" s="3" t="s">
        <v>66</v>
      </c>
      <c r="I297" s="3">
        <v>7</v>
      </c>
      <c r="J297" s="3" t="s">
        <v>12</v>
      </c>
      <c r="K297" s="18">
        <v>155</v>
      </c>
      <c r="L297" s="16">
        <v>360</v>
      </c>
      <c r="M297" s="6" t="str" cm="1">
        <f t="array" ref="M297">_xlfn.IFS(L297&lt;100,"Economy",L297&lt;200,"Standard",L297&lt;350,"Powerful",L297&lt;500,"High Performance",L297&lt;800,"Sports Performance",L297&gt;=800,"Super Performance")</f>
        <v>High Performance</v>
      </c>
    </row>
    <row r="298" spans="1:13" x14ac:dyDescent="0.25">
      <c r="A298" s="5" t="s">
        <v>55</v>
      </c>
      <c r="B298" s="3" t="s">
        <v>424</v>
      </c>
      <c r="C298" s="3" t="s">
        <v>425</v>
      </c>
      <c r="D298" s="4">
        <v>1605000</v>
      </c>
      <c r="E298" s="3">
        <v>2393</v>
      </c>
      <c r="F298" s="3">
        <v>4</v>
      </c>
      <c r="G298" s="3" t="s">
        <v>36</v>
      </c>
      <c r="H298" s="3" t="s">
        <v>242</v>
      </c>
      <c r="I298" s="3">
        <v>7</v>
      </c>
      <c r="J298" s="3" t="s">
        <v>12</v>
      </c>
      <c r="K298" s="18">
        <v>150</v>
      </c>
      <c r="L298" s="16">
        <v>343</v>
      </c>
      <c r="M298" s="6" t="str" cm="1">
        <f t="array" ref="M298">_xlfn.IFS(L298&lt;100,"Economy",L298&lt;200,"Standard",L298&lt;350,"Powerful",L298&lt;500,"High Performance",L298&lt;800,"Sports Performance",L298&gt;=800,"Super Performance")</f>
        <v>Powerful</v>
      </c>
    </row>
    <row r="299" spans="1:13" x14ac:dyDescent="0.25">
      <c r="A299" s="5" t="s">
        <v>55</v>
      </c>
      <c r="B299" s="3" t="s">
        <v>424</v>
      </c>
      <c r="C299" s="3" t="s">
        <v>426</v>
      </c>
      <c r="D299" s="4">
        <v>1927000</v>
      </c>
      <c r="E299" s="3">
        <v>2393</v>
      </c>
      <c r="F299" s="3">
        <v>4</v>
      </c>
      <c r="G299" s="3" t="s">
        <v>36</v>
      </c>
      <c r="H299" s="3" t="s">
        <v>242</v>
      </c>
      <c r="I299" s="3">
        <v>7</v>
      </c>
      <c r="J299" s="3" t="s">
        <v>12</v>
      </c>
      <c r="K299" s="18">
        <v>150</v>
      </c>
      <c r="L299" s="16">
        <v>343</v>
      </c>
      <c r="M299" s="6" t="str" cm="1">
        <f t="array" ref="M299">_xlfn.IFS(L299&lt;100,"Economy",L299&lt;200,"Standard",L299&lt;350,"Powerful",L299&lt;500,"High Performance",L299&lt;800,"Sports Performance",L299&gt;=800,"Super Performance")</f>
        <v>Powerful</v>
      </c>
    </row>
    <row r="300" spans="1:13" x14ac:dyDescent="0.25">
      <c r="A300" s="5" t="s">
        <v>55</v>
      </c>
      <c r="B300" s="3" t="s">
        <v>424</v>
      </c>
      <c r="C300" s="3" t="s">
        <v>427</v>
      </c>
      <c r="D300" s="4">
        <v>1610000</v>
      </c>
      <c r="E300" s="3">
        <v>2393</v>
      </c>
      <c r="F300" s="3">
        <v>4</v>
      </c>
      <c r="G300" s="3" t="s">
        <v>36</v>
      </c>
      <c r="H300" s="3" t="s">
        <v>242</v>
      </c>
      <c r="I300" s="3">
        <v>8</v>
      </c>
      <c r="J300" s="3" t="s">
        <v>12</v>
      </c>
      <c r="K300" s="18">
        <v>150</v>
      </c>
      <c r="L300" s="16">
        <v>343</v>
      </c>
      <c r="M300" s="6" t="str" cm="1">
        <f t="array" ref="M300">_xlfn.IFS(L300&lt;100,"Economy",L300&lt;200,"Standard",L300&lt;350,"Powerful",L300&lt;500,"High Performance",L300&lt;800,"Sports Performance",L300&gt;=800,"Super Performance")</f>
        <v>Powerful</v>
      </c>
    </row>
    <row r="301" spans="1:13" x14ac:dyDescent="0.25">
      <c r="A301" s="5" t="s">
        <v>55</v>
      </c>
      <c r="B301" s="3" t="s">
        <v>424</v>
      </c>
      <c r="C301" s="3" t="s">
        <v>428</v>
      </c>
      <c r="D301" s="4">
        <v>1932000</v>
      </c>
      <c r="E301" s="3">
        <v>2393</v>
      </c>
      <c r="F301" s="3">
        <v>4</v>
      </c>
      <c r="G301" s="3" t="s">
        <v>36</v>
      </c>
      <c r="H301" s="3" t="s">
        <v>242</v>
      </c>
      <c r="I301" s="3">
        <v>8</v>
      </c>
      <c r="J301" s="3" t="s">
        <v>12</v>
      </c>
      <c r="K301" s="18">
        <v>150</v>
      </c>
      <c r="L301" s="16">
        <v>343</v>
      </c>
      <c r="M301" s="6" t="str" cm="1">
        <f t="array" ref="M301">_xlfn.IFS(L301&lt;100,"Economy",L301&lt;200,"Standard",L301&lt;350,"Powerful",L301&lt;500,"High Performance",L301&lt;800,"Sports Performance",L301&gt;=800,"Super Performance")</f>
        <v>Powerful</v>
      </c>
    </row>
    <row r="302" spans="1:13" x14ac:dyDescent="0.25">
      <c r="A302" s="5" t="s">
        <v>55</v>
      </c>
      <c r="B302" s="3" t="s">
        <v>424</v>
      </c>
      <c r="C302" s="3" t="s">
        <v>429</v>
      </c>
      <c r="D302" s="4">
        <v>2113000</v>
      </c>
      <c r="E302" s="3">
        <v>2393</v>
      </c>
      <c r="F302" s="3">
        <v>4</v>
      </c>
      <c r="G302" s="3" t="s">
        <v>36</v>
      </c>
      <c r="H302" s="3" t="s">
        <v>242</v>
      </c>
      <c r="I302" s="3">
        <v>7</v>
      </c>
      <c r="J302" s="3" t="s">
        <v>12</v>
      </c>
      <c r="K302" s="18">
        <v>150</v>
      </c>
      <c r="L302" s="16">
        <v>343</v>
      </c>
      <c r="M302" s="6" t="str" cm="1">
        <f t="array" ref="M302">_xlfn.IFS(L302&lt;100,"Economy",L302&lt;200,"Standard",L302&lt;350,"Powerful",L302&lt;500,"High Performance",L302&lt;800,"Sports Performance",L302&gt;=800,"Super Performance")</f>
        <v>Powerful</v>
      </c>
    </row>
    <row r="303" spans="1:13" x14ac:dyDescent="0.25">
      <c r="A303" s="5" t="s">
        <v>55</v>
      </c>
      <c r="B303" s="3" t="s">
        <v>424</v>
      </c>
      <c r="C303" s="3" t="s">
        <v>430</v>
      </c>
      <c r="D303" s="4">
        <v>1620000</v>
      </c>
      <c r="E303" s="3">
        <v>2694</v>
      </c>
      <c r="F303" s="3">
        <v>4</v>
      </c>
      <c r="G303" s="3" t="s">
        <v>10</v>
      </c>
      <c r="H303" s="3" t="s">
        <v>242</v>
      </c>
      <c r="I303" s="3">
        <v>8</v>
      </c>
      <c r="J303" s="3" t="s">
        <v>30</v>
      </c>
      <c r="K303" s="18">
        <v>166</v>
      </c>
      <c r="L303" s="16">
        <v>245</v>
      </c>
      <c r="M303" s="6" t="str" cm="1">
        <f t="array" ref="M303">_xlfn.IFS(L303&lt;100,"Economy",L303&lt;200,"Standard",L303&lt;350,"Powerful",L303&lt;500,"High Performance",L303&lt;800,"Sports Performance",L303&gt;=800,"Super Performance")</f>
        <v>Powerful</v>
      </c>
    </row>
    <row r="304" spans="1:13" x14ac:dyDescent="0.25">
      <c r="A304" s="5" t="s">
        <v>55</v>
      </c>
      <c r="B304" s="3" t="s">
        <v>424</v>
      </c>
      <c r="C304" s="3" t="s">
        <v>431</v>
      </c>
      <c r="D304" s="4">
        <v>1615000</v>
      </c>
      <c r="E304" s="3">
        <v>2694</v>
      </c>
      <c r="F304" s="3">
        <v>4</v>
      </c>
      <c r="G304" s="3" t="s">
        <v>10</v>
      </c>
      <c r="H304" s="3" t="s">
        <v>242</v>
      </c>
      <c r="I304" s="3">
        <v>7</v>
      </c>
      <c r="J304" s="3" t="s">
        <v>30</v>
      </c>
      <c r="K304" s="18">
        <v>166</v>
      </c>
      <c r="L304" s="16">
        <v>245</v>
      </c>
      <c r="M304" s="6" t="str" cm="1">
        <f t="array" ref="M304">_xlfn.IFS(L304&lt;100,"Economy",L304&lt;200,"Standard",L304&lt;350,"Powerful",L304&lt;500,"High Performance",L304&lt;800,"Sports Performance",L304&gt;=800,"Super Performance")</f>
        <v>Powerful</v>
      </c>
    </row>
    <row r="305" spans="1:13" x14ac:dyDescent="0.25">
      <c r="A305" s="5" t="s">
        <v>55</v>
      </c>
      <c r="B305" s="3" t="s">
        <v>424</v>
      </c>
      <c r="C305" s="3" t="s">
        <v>432</v>
      </c>
      <c r="D305" s="4">
        <v>2103000</v>
      </c>
      <c r="E305" s="3">
        <v>2393</v>
      </c>
      <c r="F305" s="3">
        <v>4</v>
      </c>
      <c r="G305" s="3" t="s">
        <v>10</v>
      </c>
      <c r="H305" s="3" t="s">
        <v>242</v>
      </c>
      <c r="I305" s="3">
        <v>7</v>
      </c>
      <c r="J305" s="3" t="s">
        <v>30</v>
      </c>
      <c r="K305" s="18">
        <v>164</v>
      </c>
      <c r="L305" s="16">
        <v>245</v>
      </c>
      <c r="M305" s="6" t="str" cm="1">
        <f t="array" ref="M305">_xlfn.IFS(L305&lt;100,"Economy",L305&lt;200,"Standard",L305&lt;350,"Powerful",L305&lt;500,"High Performance",L305&lt;800,"Sports Performance",L305&gt;=800,"Super Performance")</f>
        <v>Powerful</v>
      </c>
    </row>
    <row r="306" spans="1:13" x14ac:dyDescent="0.25">
      <c r="A306" s="5" t="s">
        <v>55</v>
      </c>
      <c r="B306" s="3" t="s">
        <v>424</v>
      </c>
      <c r="C306" s="3" t="s">
        <v>433</v>
      </c>
      <c r="D306" s="4">
        <v>1807000</v>
      </c>
      <c r="E306" s="3">
        <v>2393</v>
      </c>
      <c r="F306" s="3">
        <v>4</v>
      </c>
      <c r="G306" s="3" t="s">
        <v>10</v>
      </c>
      <c r="H306" s="3" t="s">
        <v>242</v>
      </c>
      <c r="I306" s="3">
        <v>7</v>
      </c>
      <c r="J306" s="3" t="s">
        <v>12</v>
      </c>
      <c r="K306" s="18">
        <v>150</v>
      </c>
      <c r="L306" s="16">
        <v>343</v>
      </c>
      <c r="M306" s="6" t="str" cm="1">
        <f t="array" ref="M306">_xlfn.IFS(L306&lt;100,"Economy",L306&lt;200,"Standard",L306&lt;350,"Powerful",L306&lt;500,"High Performance",L306&lt;800,"Sports Performance",L306&gt;=800,"Super Performance")</f>
        <v>Powerful</v>
      </c>
    </row>
    <row r="307" spans="1:13" x14ac:dyDescent="0.25">
      <c r="A307" s="5" t="s">
        <v>55</v>
      </c>
      <c r="B307" s="3" t="s">
        <v>424</v>
      </c>
      <c r="C307" s="3" t="s">
        <v>434</v>
      </c>
      <c r="D307" s="4">
        <v>1493000</v>
      </c>
      <c r="E307" s="3">
        <v>2755</v>
      </c>
      <c r="F307" s="3">
        <v>4</v>
      </c>
      <c r="G307" s="3" t="s">
        <v>10</v>
      </c>
      <c r="H307" s="3" t="s">
        <v>242</v>
      </c>
      <c r="I307" s="3">
        <v>7</v>
      </c>
      <c r="J307" s="3" t="s">
        <v>12</v>
      </c>
      <c r="K307" s="18">
        <v>174</v>
      </c>
      <c r="L307" s="16">
        <v>360</v>
      </c>
      <c r="M307" s="6" t="str" cm="1">
        <f t="array" ref="M307">_xlfn.IFS(L307&lt;100,"Economy",L307&lt;200,"Standard",L307&lt;350,"Powerful",L307&lt;500,"High Performance",L307&lt;800,"Sports Performance",L307&gt;=800,"Super Performance")</f>
        <v>High Performance</v>
      </c>
    </row>
    <row r="308" spans="1:13" x14ac:dyDescent="0.25">
      <c r="A308" s="5" t="s">
        <v>55</v>
      </c>
      <c r="B308" s="3" t="s">
        <v>424</v>
      </c>
      <c r="C308" s="3" t="s">
        <v>435</v>
      </c>
      <c r="D308" s="4">
        <v>1498000</v>
      </c>
      <c r="E308" s="3">
        <v>2755</v>
      </c>
      <c r="F308" s="3">
        <v>4</v>
      </c>
      <c r="G308" s="3" t="s">
        <v>10</v>
      </c>
      <c r="H308" s="3" t="s">
        <v>242</v>
      </c>
      <c r="I308" s="3">
        <v>8</v>
      </c>
      <c r="J308" s="3" t="s">
        <v>12</v>
      </c>
      <c r="K308" s="18">
        <v>174</v>
      </c>
      <c r="L308" s="16">
        <v>360</v>
      </c>
      <c r="M308" s="6" t="str" cm="1">
        <f t="array" ref="M308">_xlfn.IFS(L308&lt;100,"Economy",L308&lt;200,"Standard",L308&lt;350,"Powerful",L308&lt;500,"High Performance",L308&lt;800,"Sports Performance",L308&gt;=800,"Super Performance")</f>
        <v>High Performance</v>
      </c>
    </row>
    <row r="309" spans="1:13" x14ac:dyDescent="0.25">
      <c r="A309" s="5" t="s">
        <v>55</v>
      </c>
      <c r="B309" s="3" t="s">
        <v>424</v>
      </c>
      <c r="C309" s="3" t="s">
        <v>436</v>
      </c>
      <c r="D309" s="4">
        <v>2097000</v>
      </c>
      <c r="E309" s="3">
        <v>2393</v>
      </c>
      <c r="F309" s="3">
        <v>4</v>
      </c>
      <c r="G309" s="3" t="s">
        <v>36</v>
      </c>
      <c r="H309" s="3" t="s">
        <v>242</v>
      </c>
      <c r="I309" s="3">
        <v>7</v>
      </c>
      <c r="J309" s="3" t="s">
        <v>12</v>
      </c>
      <c r="K309" s="18">
        <v>150</v>
      </c>
      <c r="L309" s="16">
        <v>343</v>
      </c>
      <c r="M309" s="6" t="str" cm="1">
        <f t="array" ref="M309">_xlfn.IFS(L309&lt;100,"Economy",L309&lt;200,"Standard",L309&lt;350,"Powerful",L309&lt;500,"High Performance",L309&lt;800,"Sports Performance",L309&gt;=800,"Super Performance")</f>
        <v>Powerful</v>
      </c>
    </row>
    <row r="310" spans="1:13" x14ac:dyDescent="0.25">
      <c r="A310" s="5" t="s">
        <v>55</v>
      </c>
      <c r="B310" s="3" t="s">
        <v>424</v>
      </c>
      <c r="C310" s="3" t="s">
        <v>437</v>
      </c>
      <c r="D310" s="4">
        <v>1892000</v>
      </c>
      <c r="E310" s="3">
        <v>2393</v>
      </c>
      <c r="F310" s="3">
        <v>4</v>
      </c>
      <c r="G310" s="3" t="s">
        <v>10</v>
      </c>
      <c r="H310" s="3" t="s">
        <v>242</v>
      </c>
      <c r="I310" s="3">
        <v>7</v>
      </c>
      <c r="J310" s="3" t="s">
        <v>12</v>
      </c>
      <c r="K310" s="18">
        <v>166</v>
      </c>
      <c r="L310" s="16">
        <v>245</v>
      </c>
      <c r="M310" s="6" t="str" cm="1">
        <f t="array" ref="M310">_xlfn.IFS(L310&lt;100,"Economy",L310&lt;200,"Standard",L310&lt;350,"Powerful",L310&lt;500,"High Performance",L310&lt;800,"Sports Performance",L310&gt;=800,"Super Performance")</f>
        <v>Powerful</v>
      </c>
    </row>
    <row r="311" spans="1:13" x14ac:dyDescent="0.25">
      <c r="A311" s="5" t="s">
        <v>55</v>
      </c>
      <c r="B311" s="3" t="s">
        <v>424</v>
      </c>
      <c r="C311" s="3" t="s">
        <v>438</v>
      </c>
      <c r="D311" s="4">
        <v>2171000</v>
      </c>
      <c r="E311" s="3">
        <v>2694</v>
      </c>
      <c r="F311" s="3">
        <v>4</v>
      </c>
      <c r="G311" s="3" t="s">
        <v>10</v>
      </c>
      <c r="H311" s="3" t="s">
        <v>242</v>
      </c>
      <c r="I311" s="3">
        <v>7</v>
      </c>
      <c r="J311" s="3" t="s">
        <v>30</v>
      </c>
      <c r="K311" s="18">
        <v>166</v>
      </c>
      <c r="L311" s="16">
        <v>245</v>
      </c>
      <c r="M311" s="6" t="str" cm="1">
        <f t="array" ref="M311">_xlfn.IFS(L311&lt;100,"Economy",L311&lt;200,"Standard",L311&lt;350,"Powerful",L311&lt;500,"High Performance",L311&lt;800,"Sports Performance",L311&gt;=800,"Super Performance")</f>
        <v>Powerful</v>
      </c>
    </row>
    <row r="312" spans="1:13" x14ac:dyDescent="0.25">
      <c r="A312" s="5" t="s">
        <v>55</v>
      </c>
      <c r="B312" s="3" t="s">
        <v>424</v>
      </c>
      <c r="C312" s="3" t="s">
        <v>439</v>
      </c>
      <c r="D312" s="4">
        <v>1592000</v>
      </c>
      <c r="E312" s="3">
        <v>2393</v>
      </c>
      <c r="F312" s="3">
        <v>4</v>
      </c>
      <c r="G312" s="3" t="s">
        <v>36</v>
      </c>
      <c r="H312" s="3" t="s">
        <v>242</v>
      </c>
      <c r="I312" s="3">
        <v>7</v>
      </c>
      <c r="J312" s="3" t="s">
        <v>12</v>
      </c>
      <c r="K312" s="18">
        <v>150</v>
      </c>
      <c r="L312" s="16">
        <v>343</v>
      </c>
      <c r="M312" s="6" t="str" cm="1">
        <f t="array" ref="M312">_xlfn.IFS(L312&lt;100,"Economy",L312&lt;200,"Standard",L312&lt;350,"Powerful",L312&lt;500,"High Performance",L312&lt;800,"Sports Performance",L312&gt;=800,"Super Performance")</f>
        <v>Powerful</v>
      </c>
    </row>
    <row r="313" spans="1:13" x14ac:dyDescent="0.25">
      <c r="A313" s="5" t="s">
        <v>55</v>
      </c>
      <c r="B313" s="3" t="s">
        <v>424</v>
      </c>
      <c r="C313" s="3" t="s">
        <v>440</v>
      </c>
      <c r="D313" s="4">
        <v>1587000</v>
      </c>
      <c r="E313" s="3">
        <v>2393</v>
      </c>
      <c r="F313" s="3">
        <v>4</v>
      </c>
      <c r="G313" s="3" t="s">
        <v>36</v>
      </c>
      <c r="H313" s="3" t="s">
        <v>242</v>
      </c>
      <c r="I313" s="3">
        <v>8</v>
      </c>
      <c r="J313" s="3" t="s">
        <v>12</v>
      </c>
      <c r="K313" s="18">
        <v>150</v>
      </c>
      <c r="L313" s="16">
        <v>343</v>
      </c>
      <c r="M313" s="6" t="str" cm="1">
        <f t="array" ref="M313">_xlfn.IFS(L313&lt;100,"Economy",L313&lt;200,"Standard",L313&lt;350,"Powerful",L313&lt;500,"High Performance",L313&lt;800,"Sports Performance",L313&gt;=800,"Super Performance")</f>
        <v>Powerful</v>
      </c>
    </row>
    <row r="314" spans="1:13" x14ac:dyDescent="0.25">
      <c r="A314" s="5" t="s">
        <v>382</v>
      </c>
      <c r="B314" s="3" t="s">
        <v>441</v>
      </c>
      <c r="C314" s="3" t="s">
        <v>442</v>
      </c>
      <c r="D314" s="4">
        <v>8790000</v>
      </c>
      <c r="E314" s="3">
        <v>1969</v>
      </c>
      <c r="F314" s="3">
        <v>4</v>
      </c>
      <c r="G314" s="3" t="s">
        <v>36</v>
      </c>
      <c r="H314" s="3" t="s">
        <v>66</v>
      </c>
      <c r="I314" s="3">
        <v>7</v>
      </c>
      <c r="J314" s="3" t="s">
        <v>30</v>
      </c>
      <c r="K314" s="18">
        <v>225</v>
      </c>
      <c r="L314" s="16">
        <v>470</v>
      </c>
      <c r="M314" s="6" t="str" cm="1">
        <f t="array" ref="M314">_xlfn.IFS(L314&lt;100,"Economy",L314&lt;200,"Standard",L314&lt;350,"Powerful",L314&lt;500,"High Performance",L314&lt;800,"Sports Performance",L314&gt;=800,"Super Performance")</f>
        <v>High Performance</v>
      </c>
    </row>
    <row r="315" spans="1:13" x14ac:dyDescent="0.25">
      <c r="A315" s="5" t="s">
        <v>382</v>
      </c>
      <c r="B315" s="3" t="s">
        <v>441</v>
      </c>
      <c r="C315" s="3" t="s">
        <v>443</v>
      </c>
      <c r="D315" s="4">
        <v>8090000</v>
      </c>
      <c r="E315" s="3">
        <v>1969</v>
      </c>
      <c r="F315" s="3">
        <v>4</v>
      </c>
      <c r="G315" s="3" t="s">
        <v>36</v>
      </c>
      <c r="H315" s="3" t="s">
        <v>66</v>
      </c>
      <c r="I315" s="3">
        <v>7</v>
      </c>
      <c r="J315" s="3" t="s">
        <v>30</v>
      </c>
      <c r="K315" s="18">
        <v>225</v>
      </c>
      <c r="L315" s="16">
        <v>470</v>
      </c>
      <c r="M315" s="6" t="str" cm="1">
        <f t="array" ref="M315">_xlfn.IFS(L315&lt;100,"Economy",L315&lt;200,"Standard",L315&lt;350,"Powerful",L315&lt;500,"High Performance",L315&lt;800,"Sports Performance",L315&gt;=800,"Super Performance")</f>
        <v>High Performance</v>
      </c>
    </row>
    <row r="316" spans="1:13" x14ac:dyDescent="0.25">
      <c r="A316" s="5" t="s">
        <v>382</v>
      </c>
      <c r="B316" s="3" t="s">
        <v>441</v>
      </c>
      <c r="C316" s="3" t="s">
        <v>444</v>
      </c>
      <c r="D316" s="4">
        <v>13124000</v>
      </c>
      <c r="E316" s="3">
        <v>1969</v>
      </c>
      <c r="F316" s="3">
        <v>4</v>
      </c>
      <c r="G316" s="3" t="s">
        <v>194</v>
      </c>
      <c r="H316" s="3" t="s">
        <v>66</v>
      </c>
      <c r="I316" s="3">
        <v>4</v>
      </c>
      <c r="J316" s="3" t="s">
        <v>30</v>
      </c>
      <c r="K316" s="18">
        <v>407</v>
      </c>
      <c r="L316" s="16">
        <v>640</v>
      </c>
      <c r="M316" s="6" t="str" cm="1">
        <f t="array" ref="M316">_xlfn.IFS(L316&lt;100,"Economy",L316&lt;200,"Standard",L316&lt;350,"Powerful",L316&lt;500,"High Performance",L316&lt;800,"Sports Performance",L316&gt;=800,"Super Performance")</f>
        <v>Sports Performance</v>
      </c>
    </row>
    <row r="317" spans="1:13" x14ac:dyDescent="0.25">
      <c r="A317" s="5" t="s">
        <v>382</v>
      </c>
      <c r="B317" s="3" t="s">
        <v>441</v>
      </c>
      <c r="C317" s="3" t="s">
        <v>445</v>
      </c>
      <c r="D317" s="4">
        <v>8491500</v>
      </c>
      <c r="E317" s="3">
        <v>1969</v>
      </c>
      <c r="F317" s="3">
        <v>4</v>
      </c>
      <c r="G317" s="3" t="s">
        <v>36</v>
      </c>
      <c r="H317" s="3" t="s">
        <v>66</v>
      </c>
      <c r="I317" s="3">
        <v>7</v>
      </c>
      <c r="J317" s="3" t="s">
        <v>30</v>
      </c>
      <c r="K317" s="18">
        <v>235</v>
      </c>
      <c r="L317" s="16">
        <v>480</v>
      </c>
      <c r="M317" s="6" t="str" cm="1">
        <f t="array" ref="M317">_xlfn.IFS(L317&lt;100,"Economy",L317&lt;200,"Standard",L317&lt;350,"Powerful",L317&lt;500,"High Performance",L317&lt;800,"Sports Performance",L317&gt;=800,"Super Performance")</f>
        <v>High Performance</v>
      </c>
    </row>
    <row r="318" spans="1:13" x14ac:dyDescent="0.25">
      <c r="A318" s="5" t="s">
        <v>22</v>
      </c>
      <c r="B318" s="3" t="s">
        <v>446</v>
      </c>
      <c r="C318" s="3" t="s">
        <v>447</v>
      </c>
      <c r="D318" s="4">
        <v>1643829</v>
      </c>
      <c r="E318" s="3">
        <v>2179</v>
      </c>
      <c r="F318" s="3">
        <v>4</v>
      </c>
      <c r="G318" s="3" t="s">
        <v>36</v>
      </c>
      <c r="H318" s="3" t="s">
        <v>66</v>
      </c>
      <c r="I318" s="3">
        <v>7</v>
      </c>
      <c r="J318" s="3" t="s">
        <v>12</v>
      </c>
      <c r="K318" s="18">
        <v>156</v>
      </c>
      <c r="L318" s="16">
        <v>400</v>
      </c>
      <c r="M318" s="6" t="str" cm="1">
        <f t="array" ref="M318">_xlfn.IFS(L318&lt;100,"Economy",L318&lt;200,"Standard",L318&lt;350,"Powerful",L318&lt;500,"High Performance",L318&lt;800,"Sports Performance",L318&gt;=800,"Super Performance")</f>
        <v>High Performance</v>
      </c>
    </row>
    <row r="319" spans="1:13" x14ac:dyDescent="0.25">
      <c r="A319" s="5" t="s">
        <v>93</v>
      </c>
      <c r="B319" s="3" t="s">
        <v>448</v>
      </c>
      <c r="C319" s="3" t="s">
        <v>449</v>
      </c>
      <c r="D319" s="4">
        <v>713898</v>
      </c>
      <c r="E319" s="3">
        <v>1197</v>
      </c>
      <c r="F319" s="3">
        <v>4</v>
      </c>
      <c r="G319" s="3" t="s">
        <v>10</v>
      </c>
      <c r="H319" s="3" t="s">
        <v>11</v>
      </c>
      <c r="I319" s="3">
        <v>5</v>
      </c>
      <c r="J319" s="3" t="s">
        <v>17</v>
      </c>
      <c r="K319" s="18">
        <v>83</v>
      </c>
      <c r="L319" s="16">
        <v>113</v>
      </c>
      <c r="M319" s="6" t="str" cm="1">
        <f t="array" ref="M319">_xlfn.IFS(L319&lt;100,"Economy",L319&lt;200,"Standard",L319&lt;350,"Powerful",L319&lt;500,"High Performance",L319&lt;800,"Sports Performance",L319&gt;=800,"Super Performance")</f>
        <v>Standard</v>
      </c>
    </row>
    <row r="320" spans="1:13" x14ac:dyDescent="0.25">
      <c r="A320" s="5" t="s">
        <v>93</v>
      </c>
      <c r="B320" s="3" t="s">
        <v>448</v>
      </c>
      <c r="C320" s="3" t="s">
        <v>450</v>
      </c>
      <c r="D320" s="4">
        <v>666898</v>
      </c>
      <c r="E320" s="3">
        <v>1197</v>
      </c>
      <c r="F320" s="3">
        <v>4</v>
      </c>
      <c r="G320" s="3" t="s">
        <v>10</v>
      </c>
      <c r="H320" s="3" t="s">
        <v>11</v>
      </c>
      <c r="I320" s="3">
        <v>5</v>
      </c>
      <c r="J320" s="3" t="s">
        <v>12</v>
      </c>
      <c r="K320" s="18">
        <v>83</v>
      </c>
      <c r="L320" s="16">
        <v>113</v>
      </c>
      <c r="M320" s="6" t="str" cm="1">
        <f t="array" ref="M320">_xlfn.IFS(L320&lt;100,"Economy",L320&lt;200,"Standard",L320&lt;350,"Powerful",L320&lt;500,"High Performance",L320&lt;800,"Sports Performance",L320&gt;=800,"Super Performance")</f>
        <v>Standard</v>
      </c>
    </row>
    <row r="321" spans="1:13" x14ac:dyDescent="0.25">
      <c r="A321" s="5" t="s">
        <v>93</v>
      </c>
      <c r="B321" s="3" t="s">
        <v>448</v>
      </c>
      <c r="C321" s="3" t="s">
        <v>451</v>
      </c>
      <c r="D321" s="4">
        <v>483320</v>
      </c>
      <c r="E321" s="3">
        <v>1197</v>
      </c>
      <c r="F321" s="3">
        <v>4</v>
      </c>
      <c r="G321" s="3" t="s">
        <v>10</v>
      </c>
      <c r="H321" s="3" t="s">
        <v>11</v>
      </c>
      <c r="I321" s="3">
        <v>5</v>
      </c>
      <c r="J321" s="3" t="s">
        <v>12</v>
      </c>
      <c r="K321" s="18">
        <v>83</v>
      </c>
      <c r="L321" s="16">
        <v>113</v>
      </c>
      <c r="M321" s="6" t="str" cm="1">
        <f t="array" ref="M321">_xlfn.IFS(L321&lt;100,"Economy",L321&lt;200,"Standard",L321&lt;350,"Powerful",L321&lt;500,"High Performance",L321&lt;800,"Sports Performance",L321&gt;=800,"Super Performance")</f>
        <v>Standard</v>
      </c>
    </row>
    <row r="322" spans="1:13" x14ac:dyDescent="0.25">
      <c r="A322" s="5" t="s">
        <v>93</v>
      </c>
      <c r="B322" s="3" t="s">
        <v>448</v>
      </c>
      <c r="C322" s="3" t="s">
        <v>452</v>
      </c>
      <c r="D322" s="4">
        <v>630320</v>
      </c>
      <c r="E322" s="3">
        <v>1197</v>
      </c>
      <c r="F322" s="3">
        <v>4</v>
      </c>
      <c r="G322" s="3" t="s">
        <v>10</v>
      </c>
      <c r="H322" s="3" t="s">
        <v>11</v>
      </c>
      <c r="I322" s="3">
        <v>5</v>
      </c>
      <c r="J322" s="3" t="s">
        <v>17</v>
      </c>
      <c r="K322" s="18">
        <v>83</v>
      </c>
      <c r="L322" s="16">
        <v>113</v>
      </c>
      <c r="M322" s="6" t="str" cm="1">
        <f t="array" ref="M322">_xlfn.IFS(L322&lt;100,"Economy",L322&lt;200,"Standard",L322&lt;350,"Powerful",L322&lt;500,"High Performance",L322&lt;800,"Sports Performance",L322&gt;=800,"Super Performance")</f>
        <v>Standard</v>
      </c>
    </row>
    <row r="323" spans="1:13" x14ac:dyDescent="0.25">
      <c r="A323" s="5" t="s">
        <v>93</v>
      </c>
      <c r="B323" s="3" t="s">
        <v>448</v>
      </c>
      <c r="C323" s="3" t="s">
        <v>453</v>
      </c>
      <c r="D323" s="4">
        <v>583320</v>
      </c>
      <c r="E323" s="3">
        <v>1197</v>
      </c>
      <c r="F323" s="3">
        <v>4</v>
      </c>
      <c r="G323" s="3" t="s">
        <v>10</v>
      </c>
      <c r="H323" s="3" t="s">
        <v>11</v>
      </c>
      <c r="I323" s="3">
        <v>5</v>
      </c>
      <c r="J323" s="3" t="s">
        <v>12</v>
      </c>
      <c r="K323" s="18">
        <v>83</v>
      </c>
      <c r="L323" s="16">
        <v>113</v>
      </c>
      <c r="M323" s="6" t="str" cm="1">
        <f t="array" ref="M323">_xlfn.IFS(L323&lt;100,"Economy",L323&lt;200,"Standard",L323&lt;350,"Powerful",L323&lt;500,"High Performance",L323&lt;800,"Sports Performance",L323&gt;=800,"Super Performance")</f>
        <v>Standard</v>
      </c>
    </row>
    <row r="324" spans="1:13" x14ac:dyDescent="0.25">
      <c r="A324" s="5" t="s">
        <v>22</v>
      </c>
      <c r="B324" s="3" t="s">
        <v>454</v>
      </c>
      <c r="C324" s="3" t="s">
        <v>455</v>
      </c>
      <c r="D324" s="4">
        <v>787980</v>
      </c>
      <c r="E324" s="3">
        <v>1248</v>
      </c>
      <c r="F324" s="3">
        <v>4</v>
      </c>
      <c r="G324" s="3" t="s">
        <v>36</v>
      </c>
      <c r="H324" s="3" t="s">
        <v>11</v>
      </c>
      <c r="I324" s="3">
        <v>5</v>
      </c>
      <c r="J324" s="3" t="s">
        <v>12</v>
      </c>
      <c r="K324" s="18">
        <v>75</v>
      </c>
      <c r="L324" s="16">
        <v>190</v>
      </c>
      <c r="M324" s="6" t="str" cm="1">
        <f t="array" ref="M324">_xlfn.IFS(L324&lt;100,"Economy",L324&lt;200,"Standard",L324&lt;350,"Powerful",L324&lt;500,"High Performance",L324&lt;800,"Sports Performance",L324&gt;=800,"Super Performance")</f>
        <v>Standard</v>
      </c>
    </row>
    <row r="325" spans="1:13" x14ac:dyDescent="0.25">
      <c r="A325" s="5" t="s">
        <v>22</v>
      </c>
      <c r="B325" s="3" t="s">
        <v>454</v>
      </c>
      <c r="C325" s="3" t="s">
        <v>336</v>
      </c>
      <c r="D325" s="4">
        <v>661111</v>
      </c>
      <c r="E325" s="3">
        <v>1248</v>
      </c>
      <c r="F325" s="3">
        <v>4</v>
      </c>
      <c r="G325" s="3" t="s">
        <v>36</v>
      </c>
      <c r="H325" s="3" t="s">
        <v>11</v>
      </c>
      <c r="I325" s="3">
        <v>5</v>
      </c>
      <c r="J325" s="3" t="s">
        <v>12</v>
      </c>
      <c r="K325" s="18">
        <v>75</v>
      </c>
      <c r="L325" s="16">
        <v>190</v>
      </c>
      <c r="M325" s="6" t="str" cm="1">
        <f t="array" ref="M325">_xlfn.IFS(L325&lt;100,"Economy",L325&lt;200,"Standard",L325&lt;350,"Powerful",L325&lt;500,"High Performance",L325&lt;800,"Sports Performance",L325&gt;=800,"Super Performance")</f>
        <v>Standard</v>
      </c>
    </row>
    <row r="326" spans="1:13" x14ac:dyDescent="0.25">
      <c r="A326" s="5" t="s">
        <v>22</v>
      </c>
      <c r="B326" s="3" t="s">
        <v>454</v>
      </c>
      <c r="C326" s="3" t="s">
        <v>456</v>
      </c>
      <c r="D326" s="4">
        <v>693798</v>
      </c>
      <c r="E326" s="3">
        <v>1248</v>
      </c>
      <c r="F326" s="3">
        <v>4</v>
      </c>
      <c r="G326" s="3" t="s">
        <v>36</v>
      </c>
      <c r="H326" s="3" t="s">
        <v>11</v>
      </c>
      <c r="I326" s="3">
        <v>5</v>
      </c>
      <c r="J326" s="3" t="s">
        <v>12</v>
      </c>
      <c r="K326" s="18">
        <v>75</v>
      </c>
      <c r="L326" s="16">
        <v>190</v>
      </c>
      <c r="M326" s="6" t="str" cm="1">
        <f t="array" ref="M326">_xlfn.IFS(L326&lt;100,"Economy",L326&lt;200,"Standard",L326&lt;350,"Powerful",L326&lt;500,"High Performance",L326&lt;800,"Sports Performance",L326&gt;=800,"Super Performance")</f>
        <v>Standard</v>
      </c>
    </row>
    <row r="327" spans="1:13" x14ac:dyDescent="0.25">
      <c r="A327" s="5" t="s">
        <v>22</v>
      </c>
      <c r="B327" s="3" t="s">
        <v>454</v>
      </c>
      <c r="C327" s="3" t="s">
        <v>457</v>
      </c>
      <c r="D327" s="4">
        <v>719661</v>
      </c>
      <c r="E327" s="3">
        <v>1248</v>
      </c>
      <c r="F327" s="3">
        <v>4</v>
      </c>
      <c r="G327" s="3" t="s">
        <v>36</v>
      </c>
      <c r="H327" s="3" t="s">
        <v>11</v>
      </c>
      <c r="I327" s="3">
        <v>5</v>
      </c>
      <c r="J327" s="3" t="s">
        <v>12</v>
      </c>
      <c r="K327" s="18">
        <v>75</v>
      </c>
      <c r="L327" s="16">
        <v>190</v>
      </c>
      <c r="M327" s="6" t="str" cm="1">
        <f t="array" ref="M327">_xlfn.IFS(L327&lt;100,"Economy",L327&lt;200,"Standard",L327&lt;350,"Powerful",L327&lt;500,"High Performance",L327&lt;800,"Sports Performance",L327&gt;=800,"Super Performance")</f>
        <v>Standard</v>
      </c>
    </row>
    <row r="328" spans="1:13" x14ac:dyDescent="0.25">
      <c r="A328" s="5" t="s">
        <v>22</v>
      </c>
      <c r="B328" s="3" t="s">
        <v>454</v>
      </c>
      <c r="C328" s="3" t="s">
        <v>458</v>
      </c>
      <c r="D328" s="4">
        <v>674960</v>
      </c>
      <c r="E328" s="3">
        <v>1193</v>
      </c>
      <c r="F328" s="3">
        <v>4</v>
      </c>
      <c r="G328" s="3" t="s">
        <v>10</v>
      </c>
      <c r="H328" s="3" t="s">
        <v>11</v>
      </c>
      <c r="I328" s="3">
        <v>5</v>
      </c>
      <c r="J328" s="3" t="s">
        <v>12</v>
      </c>
      <c r="K328" s="18">
        <v>90</v>
      </c>
      <c r="L328" s="16">
        <v>140</v>
      </c>
      <c r="M328" s="6" t="str" cm="1">
        <f t="array" ref="M328">_xlfn.IFS(L328&lt;100,"Economy",L328&lt;200,"Standard",L328&lt;350,"Powerful",L328&lt;500,"High Performance",L328&lt;800,"Sports Performance",L328&gt;=800,"Super Performance")</f>
        <v>Standard</v>
      </c>
    </row>
    <row r="329" spans="1:13" x14ac:dyDescent="0.25">
      <c r="A329" s="5" t="s">
        <v>22</v>
      </c>
      <c r="B329" s="3" t="s">
        <v>454</v>
      </c>
      <c r="C329" s="3" t="s">
        <v>332</v>
      </c>
      <c r="D329" s="4">
        <v>529035</v>
      </c>
      <c r="E329" s="3">
        <v>1193</v>
      </c>
      <c r="F329" s="3">
        <v>4</v>
      </c>
      <c r="G329" s="3" t="s">
        <v>10</v>
      </c>
      <c r="H329" s="3" t="s">
        <v>11</v>
      </c>
      <c r="I329" s="3">
        <v>5</v>
      </c>
      <c r="J329" s="3" t="s">
        <v>12</v>
      </c>
      <c r="K329" s="18">
        <v>90</v>
      </c>
      <c r="L329" s="16">
        <v>140</v>
      </c>
      <c r="M329" s="6" t="str" cm="1">
        <f t="array" ref="M329">_xlfn.IFS(L329&lt;100,"Economy",L329&lt;200,"Standard",L329&lt;350,"Powerful",L329&lt;500,"High Performance",L329&lt;800,"Sports Performance",L329&gt;=800,"Super Performance")</f>
        <v>Standard</v>
      </c>
    </row>
    <row r="330" spans="1:13" x14ac:dyDescent="0.25">
      <c r="A330" s="5" t="s">
        <v>22</v>
      </c>
      <c r="B330" s="3" t="s">
        <v>454</v>
      </c>
      <c r="C330" s="3" t="s">
        <v>459</v>
      </c>
      <c r="D330" s="4">
        <v>590268</v>
      </c>
      <c r="E330" s="3">
        <v>1193</v>
      </c>
      <c r="F330" s="3">
        <v>4</v>
      </c>
      <c r="G330" s="3" t="s">
        <v>10</v>
      </c>
      <c r="H330" s="3" t="s">
        <v>11</v>
      </c>
      <c r="I330" s="3">
        <v>5</v>
      </c>
      <c r="J330" s="3" t="s">
        <v>12</v>
      </c>
      <c r="K330" s="18">
        <v>90</v>
      </c>
      <c r="L330" s="16">
        <v>140</v>
      </c>
      <c r="M330" s="6" t="str" cm="1">
        <f t="array" ref="M330">_xlfn.IFS(L330&lt;100,"Economy",L330&lt;200,"Standard",L330&lt;350,"Powerful",L330&lt;500,"High Performance",L330&lt;800,"Sports Performance",L330&gt;=800,"Super Performance")</f>
        <v>Standard</v>
      </c>
    </row>
    <row r="331" spans="1:13" x14ac:dyDescent="0.25">
      <c r="A331" s="5" t="s">
        <v>22</v>
      </c>
      <c r="B331" s="3" t="s">
        <v>454</v>
      </c>
      <c r="C331" s="3" t="s">
        <v>460</v>
      </c>
      <c r="D331" s="4">
        <v>614515</v>
      </c>
      <c r="E331" s="3">
        <v>1193</v>
      </c>
      <c r="F331" s="3">
        <v>4</v>
      </c>
      <c r="G331" s="3" t="s">
        <v>10</v>
      </c>
      <c r="H331" s="3" t="s">
        <v>11</v>
      </c>
      <c r="I331" s="3">
        <v>5</v>
      </c>
      <c r="J331" s="3" t="s">
        <v>12</v>
      </c>
      <c r="K331" s="18">
        <v>90</v>
      </c>
      <c r="L331" s="16">
        <v>140</v>
      </c>
      <c r="M331" s="6" t="str" cm="1">
        <f t="array" ref="M331">_xlfn.IFS(L331&lt;100,"Economy",L331&lt;200,"Standard",L331&lt;350,"Powerful",L331&lt;500,"High Performance",L331&lt;800,"Sports Performance",L331&gt;=800,"Super Performance")</f>
        <v>Standard</v>
      </c>
    </row>
    <row r="332" spans="1:13" x14ac:dyDescent="0.25">
      <c r="A332" s="5" t="s">
        <v>55</v>
      </c>
      <c r="B332" s="3" t="s">
        <v>461</v>
      </c>
      <c r="C332" s="3" t="s">
        <v>462</v>
      </c>
      <c r="D332" s="4">
        <v>650000</v>
      </c>
      <c r="E332" s="3">
        <v>1197</v>
      </c>
      <c r="F332" s="3">
        <v>4</v>
      </c>
      <c r="G332" s="3" t="s">
        <v>10</v>
      </c>
      <c r="H332" s="3" t="s">
        <v>11</v>
      </c>
      <c r="I332" s="3">
        <v>5</v>
      </c>
      <c r="J332" s="3" t="s">
        <v>12</v>
      </c>
      <c r="K332" s="18">
        <v>80</v>
      </c>
      <c r="L332" s="16">
        <v>104</v>
      </c>
      <c r="M332" s="6" t="str" cm="1">
        <f t="array" ref="M332">_xlfn.IFS(L332&lt;100,"Economy",L332&lt;200,"Standard",L332&lt;350,"Powerful",L332&lt;500,"High Performance",L332&lt;800,"Sports Performance",L332&gt;=800,"Super Performance")</f>
        <v>Standard</v>
      </c>
    </row>
    <row r="333" spans="1:13" x14ac:dyDescent="0.25">
      <c r="A333" s="5" t="s">
        <v>55</v>
      </c>
      <c r="B333" s="3" t="s">
        <v>461</v>
      </c>
      <c r="C333" s="3" t="s">
        <v>463</v>
      </c>
      <c r="D333" s="4">
        <v>668500</v>
      </c>
      <c r="E333" s="3">
        <v>1197</v>
      </c>
      <c r="F333" s="3">
        <v>4</v>
      </c>
      <c r="G333" s="3" t="s">
        <v>10</v>
      </c>
      <c r="H333" s="3" t="s">
        <v>11</v>
      </c>
      <c r="I333" s="3">
        <v>5</v>
      </c>
      <c r="J333" s="3" t="s">
        <v>12</v>
      </c>
      <c r="K333" s="18">
        <v>80</v>
      </c>
      <c r="L333" s="16">
        <v>104</v>
      </c>
      <c r="M333" s="6" t="str" cm="1">
        <f t="array" ref="M333">_xlfn.IFS(L333&lt;100,"Economy",L333&lt;200,"Standard",L333&lt;350,"Powerful",L333&lt;500,"High Performance",L333&lt;800,"Sports Performance",L333&gt;=800,"Super Performance")</f>
        <v>Standard</v>
      </c>
    </row>
    <row r="334" spans="1:13" x14ac:dyDescent="0.25">
      <c r="A334" s="5" t="s">
        <v>301</v>
      </c>
      <c r="B334" s="3" t="s">
        <v>302</v>
      </c>
      <c r="C334" s="3" t="s">
        <v>464</v>
      </c>
      <c r="D334" s="4">
        <v>677618</v>
      </c>
      <c r="E334" s="3">
        <v>1248</v>
      </c>
      <c r="F334" s="3">
        <v>4</v>
      </c>
      <c r="G334" s="3" t="s">
        <v>36</v>
      </c>
      <c r="H334" s="3" t="s">
        <v>304</v>
      </c>
      <c r="I334" s="3">
        <v>5</v>
      </c>
      <c r="J334" s="3" t="s">
        <v>12</v>
      </c>
      <c r="K334" s="18">
        <v>93</v>
      </c>
      <c r="L334" s="16">
        <v>209</v>
      </c>
      <c r="M334" s="6" t="str" cm="1">
        <f t="array" ref="M334">_xlfn.IFS(L334&lt;100,"Economy",L334&lt;200,"Standard",L334&lt;350,"Powerful",L334&lt;500,"High Performance",L334&lt;800,"Sports Performance",L334&gt;=800,"Super Performance")</f>
        <v>Powerful</v>
      </c>
    </row>
    <row r="335" spans="1:13" x14ac:dyDescent="0.25">
      <c r="A335" s="5" t="s">
        <v>301</v>
      </c>
      <c r="B335" s="3" t="s">
        <v>302</v>
      </c>
      <c r="C335" s="3" t="s">
        <v>465</v>
      </c>
      <c r="D335" s="4">
        <v>977516</v>
      </c>
      <c r="E335" s="3">
        <v>1368</v>
      </c>
      <c r="F335" s="3">
        <v>4</v>
      </c>
      <c r="G335" s="3" t="s">
        <v>10</v>
      </c>
      <c r="H335" s="3" t="s">
        <v>304</v>
      </c>
      <c r="I335" s="3">
        <v>5</v>
      </c>
      <c r="J335" s="3" t="s">
        <v>12</v>
      </c>
      <c r="K335" s="18">
        <v>140</v>
      </c>
      <c r="L335" s="16">
        <v>210</v>
      </c>
      <c r="M335" s="6" t="str" cm="1">
        <f t="array" ref="M335">_xlfn.IFS(L335&lt;100,"Economy",L335&lt;200,"Standard",L335&lt;350,"Powerful",L335&lt;500,"High Performance",L335&lt;800,"Sports Performance",L335&gt;=800,"Super Performance")</f>
        <v>Powerful</v>
      </c>
    </row>
    <row r="336" spans="1:13" x14ac:dyDescent="0.25">
      <c r="A336" s="5" t="s">
        <v>301</v>
      </c>
      <c r="B336" s="3" t="s">
        <v>302</v>
      </c>
      <c r="C336" s="3" t="s">
        <v>466</v>
      </c>
      <c r="D336" s="4">
        <v>810211</v>
      </c>
      <c r="E336" s="3">
        <v>1248</v>
      </c>
      <c r="F336" s="3">
        <v>4</v>
      </c>
      <c r="G336" s="3" t="s">
        <v>36</v>
      </c>
      <c r="H336" s="3" t="s">
        <v>304</v>
      </c>
      <c r="I336" s="3">
        <v>5</v>
      </c>
      <c r="J336" s="3" t="s">
        <v>12</v>
      </c>
      <c r="K336" s="18">
        <v>93</v>
      </c>
      <c r="L336" s="16">
        <v>209</v>
      </c>
      <c r="M336" s="6" t="str" cm="1">
        <f t="array" ref="M336">_xlfn.IFS(L336&lt;100,"Economy",L336&lt;200,"Standard",L336&lt;350,"Powerful",L336&lt;500,"High Performance",L336&lt;800,"Sports Performance",L336&gt;=800,"Super Performance")</f>
        <v>Powerful</v>
      </c>
    </row>
    <row r="337" spans="1:13" x14ac:dyDescent="0.25">
      <c r="A337" s="5" t="s">
        <v>301</v>
      </c>
      <c r="B337" s="3" t="s">
        <v>467</v>
      </c>
      <c r="C337" s="3" t="s">
        <v>468</v>
      </c>
      <c r="D337" s="4">
        <v>711801</v>
      </c>
      <c r="E337" s="3">
        <v>1248</v>
      </c>
      <c r="F337" s="3">
        <v>4</v>
      </c>
      <c r="G337" s="3" t="s">
        <v>36</v>
      </c>
      <c r="H337" s="3" t="s">
        <v>304</v>
      </c>
      <c r="I337" s="3">
        <v>5</v>
      </c>
      <c r="J337" s="3" t="s">
        <v>12</v>
      </c>
      <c r="K337" s="18">
        <v>93</v>
      </c>
      <c r="L337" s="16">
        <v>209</v>
      </c>
      <c r="M337" s="6" t="str" cm="1">
        <f t="array" ref="M337">_xlfn.IFS(L337&lt;100,"Economy",L337&lt;200,"Standard",L337&lt;350,"Powerful",L337&lt;500,"High Performance",L337&lt;800,"Sports Performance",L337&gt;=800,"Super Performance")</f>
        <v>Powerful</v>
      </c>
    </row>
    <row r="338" spans="1:13" x14ac:dyDescent="0.25">
      <c r="A338" s="5" t="s">
        <v>131</v>
      </c>
      <c r="B338" s="3" t="s">
        <v>469</v>
      </c>
      <c r="C338" s="3" t="s">
        <v>470</v>
      </c>
      <c r="D338" s="4">
        <v>745000</v>
      </c>
      <c r="E338" s="3">
        <v>1199</v>
      </c>
      <c r="F338" s="3">
        <v>4</v>
      </c>
      <c r="G338" s="3" t="s">
        <v>10</v>
      </c>
      <c r="H338" s="3" t="s">
        <v>11</v>
      </c>
      <c r="I338" s="3">
        <v>5</v>
      </c>
      <c r="J338" s="3" t="s">
        <v>12</v>
      </c>
      <c r="K338" s="18">
        <v>90</v>
      </c>
      <c r="L338" s="16">
        <v>110</v>
      </c>
      <c r="M338" s="6" t="str" cm="1">
        <f t="array" ref="M338">_xlfn.IFS(L338&lt;100,"Economy",L338&lt;200,"Standard",L338&lt;350,"Powerful",L338&lt;500,"High Performance",L338&lt;800,"Sports Performance",L338&gt;=800,"Super Performance")</f>
        <v>Standard</v>
      </c>
    </row>
    <row r="339" spans="1:13" x14ac:dyDescent="0.25">
      <c r="A339" s="5" t="s">
        <v>131</v>
      </c>
      <c r="B339" s="3" t="s">
        <v>469</v>
      </c>
      <c r="C339" s="3" t="s">
        <v>471</v>
      </c>
      <c r="D339" s="4">
        <v>909000</v>
      </c>
      <c r="E339" s="3">
        <v>1199</v>
      </c>
      <c r="F339" s="3">
        <v>4</v>
      </c>
      <c r="G339" s="3" t="s">
        <v>10</v>
      </c>
      <c r="H339" s="3" t="s">
        <v>11</v>
      </c>
      <c r="I339" s="3">
        <v>5</v>
      </c>
      <c r="J339" s="3" t="s">
        <v>30</v>
      </c>
      <c r="K339" s="18">
        <v>90</v>
      </c>
      <c r="L339" s="16">
        <v>110</v>
      </c>
      <c r="M339" s="6" t="str" cm="1">
        <f t="array" ref="M339">_xlfn.IFS(L339&lt;100,"Economy",L339&lt;200,"Standard",L339&lt;350,"Powerful",L339&lt;500,"High Performance",L339&lt;800,"Sports Performance",L339&gt;=800,"Super Performance")</f>
        <v>Standard</v>
      </c>
    </row>
    <row r="340" spans="1:13" x14ac:dyDescent="0.25">
      <c r="A340" s="5" t="s">
        <v>131</v>
      </c>
      <c r="B340" s="3" t="s">
        <v>469</v>
      </c>
      <c r="C340" s="3" t="s">
        <v>472</v>
      </c>
      <c r="D340" s="4">
        <v>789000</v>
      </c>
      <c r="E340" s="3">
        <v>1199</v>
      </c>
      <c r="F340" s="3">
        <v>4</v>
      </c>
      <c r="G340" s="3" t="s">
        <v>10</v>
      </c>
      <c r="H340" s="3" t="s">
        <v>11</v>
      </c>
      <c r="I340" s="3">
        <v>5</v>
      </c>
      <c r="J340" s="3" t="s">
        <v>12</v>
      </c>
      <c r="K340" s="18">
        <v>90</v>
      </c>
      <c r="L340" s="16">
        <v>110</v>
      </c>
      <c r="M340" s="6" t="str" cm="1">
        <f t="array" ref="M340">_xlfn.IFS(L340&lt;100,"Economy",L340&lt;200,"Standard",L340&lt;350,"Powerful",L340&lt;500,"High Performance",L340&lt;800,"Sports Performance",L340&gt;=800,"Super Performance")</f>
        <v>Standard</v>
      </c>
    </row>
    <row r="341" spans="1:13" x14ac:dyDescent="0.25">
      <c r="A341" s="5" t="s">
        <v>131</v>
      </c>
      <c r="B341" s="3" t="s">
        <v>469</v>
      </c>
      <c r="C341" s="3" t="s">
        <v>61</v>
      </c>
      <c r="D341" s="4">
        <v>865000</v>
      </c>
      <c r="E341" s="3">
        <v>1199</v>
      </c>
      <c r="F341" s="3">
        <v>4</v>
      </c>
      <c r="G341" s="3" t="s">
        <v>10</v>
      </c>
      <c r="H341" s="3" t="s">
        <v>11</v>
      </c>
      <c r="I341" s="3">
        <v>5</v>
      </c>
      <c r="J341" s="3" t="s">
        <v>30</v>
      </c>
      <c r="K341" s="18">
        <v>90</v>
      </c>
      <c r="L341" s="16">
        <v>110</v>
      </c>
      <c r="M341" s="6" t="str" cm="1">
        <f t="array" ref="M341">_xlfn.IFS(L341&lt;100,"Economy",L341&lt;200,"Standard",L341&lt;350,"Powerful",L341&lt;500,"High Performance",L341&lt;800,"Sports Performance",L341&gt;=800,"Super Performance")</f>
        <v>Standard</v>
      </c>
    </row>
    <row r="342" spans="1:13" x14ac:dyDescent="0.25">
      <c r="A342" s="5" t="s">
        <v>131</v>
      </c>
      <c r="B342" s="3" t="s">
        <v>469</v>
      </c>
      <c r="C342" s="3" t="s">
        <v>473</v>
      </c>
      <c r="D342" s="4">
        <v>816500</v>
      </c>
      <c r="E342" s="3">
        <v>1498</v>
      </c>
      <c r="F342" s="3">
        <v>4</v>
      </c>
      <c r="G342" s="3" t="s">
        <v>36</v>
      </c>
      <c r="H342" s="3" t="s">
        <v>11</v>
      </c>
      <c r="I342" s="3">
        <v>5</v>
      </c>
      <c r="J342" s="3" t="s">
        <v>12</v>
      </c>
      <c r="K342" s="18">
        <v>100</v>
      </c>
      <c r="L342" s="16">
        <v>200</v>
      </c>
      <c r="M342" s="6" t="str" cm="1">
        <f t="array" ref="M342">_xlfn.IFS(L342&lt;100,"Economy",L342&lt;200,"Standard",L342&lt;350,"Powerful",L342&lt;500,"High Performance",L342&lt;800,"Sports Performance",L342&gt;=800,"Super Performance")</f>
        <v>Powerful</v>
      </c>
    </row>
    <row r="343" spans="1:13" x14ac:dyDescent="0.25">
      <c r="A343" s="5" t="s">
        <v>131</v>
      </c>
      <c r="B343" s="3" t="s">
        <v>469</v>
      </c>
      <c r="C343" s="3" t="s">
        <v>398</v>
      </c>
      <c r="D343" s="4">
        <v>896500</v>
      </c>
      <c r="E343" s="3">
        <v>1498</v>
      </c>
      <c r="F343" s="3">
        <v>4</v>
      </c>
      <c r="G343" s="3" t="s">
        <v>36</v>
      </c>
      <c r="H343" s="3" t="s">
        <v>11</v>
      </c>
      <c r="I343" s="3">
        <v>5</v>
      </c>
      <c r="J343" s="3" t="s">
        <v>12</v>
      </c>
      <c r="K343" s="18">
        <v>100</v>
      </c>
      <c r="L343" s="16">
        <v>200</v>
      </c>
      <c r="M343" s="6" t="str" cm="1">
        <f t="array" ref="M343">_xlfn.IFS(L343&lt;100,"Economy",L343&lt;200,"Standard",L343&lt;350,"Powerful",L343&lt;500,"High Performance",L343&lt;800,"Sports Performance",L343&gt;=800,"Super Performance")</f>
        <v>Powerful</v>
      </c>
    </row>
    <row r="344" spans="1:13" x14ac:dyDescent="0.25">
      <c r="A344" s="5" t="s">
        <v>131</v>
      </c>
      <c r="B344" s="3" t="s">
        <v>469</v>
      </c>
      <c r="C344" s="3" t="s">
        <v>396</v>
      </c>
      <c r="D344" s="4">
        <v>940500</v>
      </c>
      <c r="E344" s="3">
        <v>1498</v>
      </c>
      <c r="F344" s="3">
        <v>4</v>
      </c>
      <c r="G344" s="3" t="s">
        <v>36</v>
      </c>
      <c r="H344" s="3" t="s">
        <v>11</v>
      </c>
      <c r="I344" s="3">
        <v>5</v>
      </c>
      <c r="J344" s="3" t="s">
        <v>12</v>
      </c>
      <c r="K344" s="18">
        <v>100</v>
      </c>
      <c r="L344" s="16">
        <v>200</v>
      </c>
      <c r="M344" s="6" t="str" cm="1">
        <f t="array" ref="M344">_xlfn.IFS(L344&lt;100,"Economy",L344&lt;200,"Standard",L344&lt;350,"Powerful",L344&lt;500,"High Performance",L344&lt;800,"Sports Performance",L344&gt;=800,"Super Performance")</f>
        <v>Powerful</v>
      </c>
    </row>
    <row r="345" spans="1:13" x14ac:dyDescent="0.25">
      <c r="A345" s="5" t="s">
        <v>68</v>
      </c>
      <c r="B345" s="3" t="s">
        <v>474</v>
      </c>
      <c r="C345" s="3" t="s">
        <v>475</v>
      </c>
      <c r="D345" s="4">
        <v>2920750</v>
      </c>
      <c r="E345" s="3">
        <v>1395</v>
      </c>
      <c r="F345" s="3">
        <v>4</v>
      </c>
      <c r="G345" s="3" t="s">
        <v>10</v>
      </c>
      <c r="H345" s="3" t="s">
        <v>27</v>
      </c>
      <c r="I345" s="3">
        <v>5</v>
      </c>
      <c r="J345" s="3" t="s">
        <v>30</v>
      </c>
      <c r="K345" s="18">
        <v>150</v>
      </c>
      <c r="L345" s="16">
        <v>250</v>
      </c>
      <c r="M345" s="6" t="str" cm="1">
        <f t="array" ref="M345">_xlfn.IFS(L345&lt;100,"Economy",L345&lt;200,"Standard",L345&lt;350,"Powerful",L345&lt;500,"High Performance",L345&lt;800,"Sports Performance",L345&gt;=800,"Super Performance")</f>
        <v>Powerful</v>
      </c>
    </row>
    <row r="346" spans="1:13" x14ac:dyDescent="0.25">
      <c r="A346" s="5" t="s">
        <v>68</v>
      </c>
      <c r="B346" s="3" t="s">
        <v>474</v>
      </c>
      <c r="C346" s="3" t="s">
        <v>476</v>
      </c>
      <c r="D346" s="4">
        <v>3120750</v>
      </c>
      <c r="E346" s="3">
        <v>1395</v>
      </c>
      <c r="F346" s="3">
        <v>4</v>
      </c>
      <c r="G346" s="3" t="s">
        <v>10</v>
      </c>
      <c r="H346" s="3" t="s">
        <v>27</v>
      </c>
      <c r="I346" s="3">
        <v>5</v>
      </c>
      <c r="J346" s="3" t="s">
        <v>30</v>
      </c>
      <c r="K346" s="18">
        <v>150</v>
      </c>
      <c r="L346" s="16">
        <v>250</v>
      </c>
      <c r="M346" s="6" t="str" cm="1">
        <f t="array" ref="M346">_xlfn.IFS(L346&lt;100,"Economy",L346&lt;200,"Standard",L346&lt;350,"Powerful",L346&lt;500,"High Performance",L346&lt;800,"Sports Performance",L346&gt;=800,"Super Performance")</f>
        <v>Powerful</v>
      </c>
    </row>
    <row r="347" spans="1:13" x14ac:dyDescent="0.25">
      <c r="A347" s="5" t="s">
        <v>68</v>
      </c>
      <c r="B347" s="3" t="s">
        <v>477</v>
      </c>
      <c r="C347" s="3" t="s">
        <v>478</v>
      </c>
      <c r="D347" s="4">
        <v>3677200</v>
      </c>
      <c r="E347" s="3">
        <v>1968</v>
      </c>
      <c r="F347" s="3">
        <v>4</v>
      </c>
      <c r="G347" s="3" t="s">
        <v>36</v>
      </c>
      <c r="H347" s="3" t="s">
        <v>66</v>
      </c>
      <c r="I347" s="3">
        <v>5</v>
      </c>
      <c r="J347" s="3" t="s">
        <v>12</v>
      </c>
      <c r="K347" s="18">
        <v>148</v>
      </c>
      <c r="L347" s="16">
        <v>340</v>
      </c>
      <c r="M347" s="6" t="str" cm="1">
        <f t="array" ref="M347">_xlfn.IFS(L347&lt;100,"Economy",L347&lt;200,"Standard",L347&lt;350,"Powerful",L347&lt;500,"High Performance",L347&lt;800,"Sports Performance",L347&gt;=800,"Super Performance")</f>
        <v>Powerful</v>
      </c>
    </row>
    <row r="348" spans="1:13" x14ac:dyDescent="0.25">
      <c r="A348" s="5" t="s">
        <v>68</v>
      </c>
      <c r="B348" s="3" t="s">
        <v>477</v>
      </c>
      <c r="C348" s="3" t="s">
        <v>479</v>
      </c>
      <c r="D348" s="4">
        <v>3992200</v>
      </c>
      <c r="E348" s="3">
        <v>1968</v>
      </c>
      <c r="F348" s="3">
        <v>4</v>
      </c>
      <c r="G348" s="3" t="s">
        <v>36</v>
      </c>
      <c r="H348" s="3" t="s">
        <v>66</v>
      </c>
      <c r="I348" s="3">
        <v>5</v>
      </c>
      <c r="J348" s="3" t="s">
        <v>30</v>
      </c>
      <c r="K348" s="18">
        <v>177</v>
      </c>
      <c r="L348" s="16">
        <v>380</v>
      </c>
      <c r="M348" s="6" t="str" cm="1">
        <f t="array" ref="M348">_xlfn.IFS(L348&lt;100,"Economy",L348&lt;200,"Standard",L348&lt;350,"Powerful",L348&lt;500,"High Performance",L348&lt;800,"Sports Performance",L348&gt;=800,"Super Performance")</f>
        <v>High Performance</v>
      </c>
    </row>
    <row r="349" spans="1:13" x14ac:dyDescent="0.25">
      <c r="A349" s="5" t="s">
        <v>68</v>
      </c>
      <c r="B349" s="3" t="s">
        <v>477</v>
      </c>
      <c r="C349" s="3" t="s">
        <v>480</v>
      </c>
      <c r="D349" s="4">
        <v>4361000</v>
      </c>
      <c r="E349" s="3">
        <v>1968</v>
      </c>
      <c r="F349" s="3">
        <v>4</v>
      </c>
      <c r="G349" s="3" t="s">
        <v>36</v>
      </c>
      <c r="H349" s="3" t="s">
        <v>66</v>
      </c>
      <c r="I349" s="3">
        <v>5</v>
      </c>
      <c r="J349" s="3" t="s">
        <v>30</v>
      </c>
      <c r="K349" s="18">
        <v>177</v>
      </c>
      <c r="L349" s="16">
        <v>380</v>
      </c>
      <c r="M349" s="6" t="str" cm="1">
        <f t="array" ref="M349">_xlfn.IFS(L349&lt;100,"Economy",L349&lt;200,"Standard",L349&lt;350,"Powerful",L349&lt;500,"High Performance",L349&lt;800,"Sports Performance",L349&gt;=800,"Super Performance")</f>
        <v>High Performance</v>
      </c>
    </row>
    <row r="350" spans="1:13" x14ac:dyDescent="0.25">
      <c r="A350" s="5" t="s">
        <v>68</v>
      </c>
      <c r="B350" s="3" t="s">
        <v>477</v>
      </c>
      <c r="C350" s="3" t="s">
        <v>481</v>
      </c>
      <c r="D350" s="4">
        <v>3496750</v>
      </c>
      <c r="E350" s="3">
        <v>1395</v>
      </c>
      <c r="F350" s="3">
        <v>4</v>
      </c>
      <c r="G350" s="3" t="s">
        <v>10</v>
      </c>
      <c r="H350" s="3" t="s">
        <v>66</v>
      </c>
      <c r="I350" s="3">
        <v>5</v>
      </c>
      <c r="J350" s="3" t="s">
        <v>30</v>
      </c>
      <c r="K350" s="18">
        <v>150</v>
      </c>
      <c r="L350" s="16">
        <v>250</v>
      </c>
      <c r="M350" s="6" t="str" cm="1">
        <f t="array" ref="M350">_xlfn.IFS(L350&lt;100,"Economy",L350&lt;200,"Standard",L350&lt;350,"Powerful",L350&lt;500,"High Performance",L350&lt;800,"Sports Performance",L350&gt;=800,"Super Performance")</f>
        <v>Powerful</v>
      </c>
    </row>
    <row r="351" spans="1:13" x14ac:dyDescent="0.25">
      <c r="A351" s="5" t="s">
        <v>382</v>
      </c>
      <c r="B351" s="3" t="s">
        <v>482</v>
      </c>
      <c r="C351" s="3" t="s">
        <v>483</v>
      </c>
      <c r="D351" s="4">
        <v>5890000</v>
      </c>
      <c r="E351" s="3">
        <v>1969</v>
      </c>
      <c r="F351" s="3">
        <v>4</v>
      </c>
      <c r="G351" s="3" t="s">
        <v>36</v>
      </c>
      <c r="H351" s="3" t="s">
        <v>27</v>
      </c>
      <c r="I351" s="3">
        <v>5</v>
      </c>
      <c r="J351" s="3" t="s">
        <v>30</v>
      </c>
      <c r="K351" s="18">
        <v>190</v>
      </c>
      <c r="L351" s="16">
        <v>400</v>
      </c>
      <c r="M351" s="6" t="str" cm="1">
        <f t="array" ref="M351">_xlfn.IFS(L351&lt;100,"Economy",L351&lt;200,"Standard",L351&lt;350,"Powerful",L351&lt;500,"High Performance",L351&lt;800,"Sports Performance",L351&gt;=800,"Super Performance")</f>
        <v>High Performance</v>
      </c>
    </row>
    <row r="352" spans="1:13" x14ac:dyDescent="0.25">
      <c r="A352" s="5" t="s">
        <v>160</v>
      </c>
      <c r="B352" s="3" t="s">
        <v>484</v>
      </c>
      <c r="C352" s="3" t="s">
        <v>485</v>
      </c>
      <c r="D352" s="4">
        <v>876500</v>
      </c>
      <c r="E352" s="3">
        <v>1598</v>
      </c>
      <c r="F352" s="3">
        <v>4</v>
      </c>
      <c r="G352" s="3" t="s">
        <v>10</v>
      </c>
      <c r="H352" s="3" t="s">
        <v>27</v>
      </c>
      <c r="I352" s="3">
        <v>5</v>
      </c>
      <c r="J352" s="3" t="s">
        <v>12</v>
      </c>
      <c r="K352" s="18">
        <v>105</v>
      </c>
      <c r="L352" s="16">
        <v>153</v>
      </c>
      <c r="M352" s="6" t="str" cm="1">
        <f t="array" ref="M352">_xlfn.IFS(L352&lt;100,"Economy",L352&lt;200,"Standard",L352&lt;350,"Powerful",L352&lt;500,"High Performance",L352&lt;800,"Sports Performance",L352&gt;=800,"Super Performance")</f>
        <v>Standard</v>
      </c>
    </row>
    <row r="353" spans="1:13" x14ac:dyDescent="0.25">
      <c r="A353" s="5" t="s">
        <v>301</v>
      </c>
      <c r="B353" s="3" t="s">
        <v>486</v>
      </c>
      <c r="C353" s="3" t="s">
        <v>487</v>
      </c>
      <c r="D353" s="4">
        <v>989219</v>
      </c>
      <c r="E353" s="3">
        <v>1368</v>
      </c>
      <c r="F353" s="3">
        <v>4</v>
      </c>
      <c r="G353" s="3" t="s">
        <v>10</v>
      </c>
      <c r="H353" s="3" t="s">
        <v>304</v>
      </c>
      <c r="I353" s="3">
        <v>5</v>
      </c>
      <c r="J353" s="3" t="s">
        <v>12</v>
      </c>
      <c r="K353" s="18">
        <v>143</v>
      </c>
      <c r="L353" s="16">
        <v>210</v>
      </c>
      <c r="M353" s="6" t="str" cm="1">
        <f t="array" ref="M353">_xlfn.IFS(L353&lt;100,"Economy",L353&lt;200,"Standard",L353&lt;350,"Powerful",L353&lt;500,"High Performance",L353&lt;800,"Sports Performance",L353&gt;=800,"Super Performance")</f>
        <v>Powerful</v>
      </c>
    </row>
    <row r="354" spans="1:13" x14ac:dyDescent="0.25">
      <c r="A354" s="5" t="s">
        <v>55</v>
      </c>
      <c r="B354" s="3" t="s">
        <v>488</v>
      </c>
      <c r="C354" s="3" t="s">
        <v>489</v>
      </c>
      <c r="D354" s="4">
        <v>1645000</v>
      </c>
      <c r="E354" s="3">
        <v>1798</v>
      </c>
      <c r="F354" s="3">
        <v>4</v>
      </c>
      <c r="G354" s="3" t="s">
        <v>10</v>
      </c>
      <c r="H354" s="3" t="s">
        <v>27</v>
      </c>
      <c r="I354" s="3">
        <v>5</v>
      </c>
      <c r="J354" s="3" t="s">
        <v>12</v>
      </c>
      <c r="K354" s="18">
        <v>140</v>
      </c>
      <c r="L354" s="16">
        <v>173</v>
      </c>
      <c r="M354" s="6" t="str" cm="1">
        <f t="array" ref="M354">_xlfn.IFS(L354&lt;100,"Economy",L354&lt;200,"Standard",L354&lt;350,"Powerful",L354&lt;500,"High Performance",L354&lt;800,"Sports Performance",L354&gt;=800,"Super Performance")</f>
        <v>Standard</v>
      </c>
    </row>
    <row r="355" spans="1:13" x14ac:dyDescent="0.25">
      <c r="A355" s="5" t="s">
        <v>55</v>
      </c>
      <c r="B355" s="3" t="s">
        <v>488</v>
      </c>
      <c r="C355" s="3" t="s">
        <v>490</v>
      </c>
      <c r="D355" s="4">
        <v>1806000</v>
      </c>
      <c r="E355" s="3">
        <v>1798</v>
      </c>
      <c r="F355" s="3">
        <v>4</v>
      </c>
      <c r="G355" s="3" t="s">
        <v>10</v>
      </c>
      <c r="H355" s="3" t="s">
        <v>27</v>
      </c>
      <c r="I355" s="3">
        <v>5</v>
      </c>
      <c r="J355" s="3" t="s">
        <v>30</v>
      </c>
      <c r="K355" s="18">
        <v>140</v>
      </c>
      <c r="L355" s="16">
        <v>173</v>
      </c>
      <c r="M355" s="6" t="str" cm="1">
        <f t="array" ref="M355">_xlfn.IFS(L355&lt;100,"Economy",L355&lt;200,"Standard",L355&lt;350,"Powerful",L355&lt;500,"High Performance",L355&lt;800,"Sports Performance",L355&gt;=800,"Super Performance")</f>
        <v>Standard</v>
      </c>
    </row>
    <row r="356" spans="1:13" x14ac:dyDescent="0.25">
      <c r="A356" s="5" t="s">
        <v>55</v>
      </c>
      <c r="B356" s="3" t="s">
        <v>488</v>
      </c>
      <c r="C356" s="3" t="s">
        <v>491</v>
      </c>
      <c r="D356" s="4">
        <v>1882000</v>
      </c>
      <c r="E356" s="3">
        <v>1798</v>
      </c>
      <c r="F356" s="3">
        <v>4</v>
      </c>
      <c r="G356" s="3" t="s">
        <v>10</v>
      </c>
      <c r="H356" s="3" t="s">
        <v>27</v>
      </c>
      <c r="I356" s="3">
        <v>5</v>
      </c>
      <c r="J356" s="3" t="s">
        <v>12</v>
      </c>
      <c r="K356" s="18">
        <v>140</v>
      </c>
      <c r="L356" s="16">
        <v>173</v>
      </c>
      <c r="M356" s="6" t="str" cm="1">
        <f t="array" ref="M356">_xlfn.IFS(L356&lt;100,"Economy",L356&lt;200,"Standard",L356&lt;350,"Powerful",L356&lt;500,"High Performance",L356&lt;800,"Sports Performance",L356&gt;=800,"Super Performance")</f>
        <v>Standard</v>
      </c>
    </row>
    <row r="357" spans="1:13" x14ac:dyDescent="0.25">
      <c r="A357" s="5" t="s">
        <v>55</v>
      </c>
      <c r="B357" s="3" t="s">
        <v>488</v>
      </c>
      <c r="C357" s="3" t="s">
        <v>492</v>
      </c>
      <c r="D357" s="4">
        <v>2019000</v>
      </c>
      <c r="E357" s="3">
        <v>1798</v>
      </c>
      <c r="F357" s="3">
        <v>4</v>
      </c>
      <c r="G357" s="3" t="s">
        <v>10</v>
      </c>
      <c r="H357" s="3" t="s">
        <v>27</v>
      </c>
      <c r="I357" s="3">
        <v>5</v>
      </c>
      <c r="J357" s="3" t="s">
        <v>30</v>
      </c>
      <c r="K357" s="18">
        <v>140</v>
      </c>
      <c r="L357" s="16">
        <v>173</v>
      </c>
      <c r="M357" s="6" t="str" cm="1">
        <f t="array" ref="M357">_xlfn.IFS(L357&lt;100,"Economy",L357&lt;200,"Standard",L357&lt;350,"Powerful",L357&lt;500,"High Performance",L357&lt;800,"Sports Performance",L357&gt;=800,"Super Performance")</f>
        <v>Standard</v>
      </c>
    </row>
    <row r="358" spans="1:13" x14ac:dyDescent="0.25">
      <c r="A358" s="5" t="s">
        <v>78</v>
      </c>
      <c r="B358" s="3" t="s">
        <v>493</v>
      </c>
      <c r="C358" s="3" t="s">
        <v>494</v>
      </c>
      <c r="D358" s="4">
        <v>3830000</v>
      </c>
      <c r="E358" s="3">
        <v>1998</v>
      </c>
      <c r="F358" s="3">
        <v>4</v>
      </c>
      <c r="G358" s="3" t="s">
        <v>10</v>
      </c>
      <c r="H358" s="3" t="s">
        <v>1390</v>
      </c>
      <c r="I358" s="3">
        <v>5</v>
      </c>
      <c r="J358" s="3" t="s">
        <v>30</v>
      </c>
      <c r="K358" s="18">
        <v>192</v>
      </c>
      <c r="L358" s="16">
        <v>280</v>
      </c>
      <c r="M358" s="6" t="str" cm="1">
        <f t="array" ref="M358">_xlfn.IFS(L358&lt;100,"Economy",L358&lt;200,"Standard",L358&lt;350,"Powerful",L358&lt;500,"High Performance",L358&lt;800,"Sports Performance",L358&gt;=800,"Super Performance")</f>
        <v>Powerful</v>
      </c>
    </row>
    <row r="359" spans="1:13" x14ac:dyDescent="0.25">
      <c r="A359" s="5" t="s">
        <v>68</v>
      </c>
      <c r="B359" s="3" t="s">
        <v>495</v>
      </c>
      <c r="C359" s="3" t="s">
        <v>496</v>
      </c>
      <c r="D359" s="4">
        <v>5021200</v>
      </c>
      <c r="E359" s="3">
        <v>1968</v>
      </c>
      <c r="F359" s="3">
        <v>4</v>
      </c>
      <c r="G359" s="3" t="s">
        <v>36</v>
      </c>
      <c r="H359" s="3" t="s">
        <v>66</v>
      </c>
      <c r="I359" s="3">
        <v>5</v>
      </c>
      <c r="J359" s="3" t="s">
        <v>30</v>
      </c>
      <c r="K359" s="18">
        <v>190</v>
      </c>
      <c r="L359" s="16">
        <v>400</v>
      </c>
      <c r="M359" s="6" t="str" cm="1">
        <f t="array" ref="M359">_xlfn.IFS(L359&lt;100,"Economy",L359&lt;200,"Standard",L359&lt;350,"Powerful",L359&lt;500,"High Performance",L359&lt;800,"Sports Performance",L359&gt;=800,"Super Performance")</f>
        <v>High Performance</v>
      </c>
    </row>
    <row r="360" spans="1:13" x14ac:dyDescent="0.25">
      <c r="A360" s="5" t="s">
        <v>68</v>
      </c>
      <c r="B360" s="3" t="s">
        <v>495</v>
      </c>
      <c r="C360" s="3" t="s">
        <v>497</v>
      </c>
      <c r="D360" s="4">
        <v>5621200</v>
      </c>
      <c r="E360" s="3">
        <v>1968</v>
      </c>
      <c r="F360" s="3">
        <v>4</v>
      </c>
      <c r="G360" s="3" t="s">
        <v>36</v>
      </c>
      <c r="H360" s="3" t="s">
        <v>66</v>
      </c>
      <c r="I360" s="3">
        <v>5</v>
      </c>
      <c r="J360" s="3" t="s">
        <v>30</v>
      </c>
      <c r="K360" s="18">
        <v>190</v>
      </c>
      <c r="L360" s="16">
        <v>400</v>
      </c>
      <c r="M360" s="6" t="str" cm="1">
        <f t="array" ref="M360">_xlfn.IFS(L360&lt;100,"Economy",L360&lt;200,"Standard",L360&lt;350,"Powerful",L360&lt;500,"High Performance",L360&lt;800,"Sports Performance",L360&gt;=800,"Super Performance")</f>
        <v>High Performance</v>
      </c>
    </row>
    <row r="361" spans="1:13" x14ac:dyDescent="0.25">
      <c r="A361" s="5" t="s">
        <v>131</v>
      </c>
      <c r="B361" s="3" t="s">
        <v>395</v>
      </c>
      <c r="C361" s="3" t="s">
        <v>472</v>
      </c>
      <c r="D361" s="4">
        <v>925000</v>
      </c>
      <c r="E361" s="3">
        <v>1199</v>
      </c>
      <c r="F361" s="3">
        <v>4</v>
      </c>
      <c r="G361" s="3" t="s">
        <v>10</v>
      </c>
      <c r="H361" s="3" t="s">
        <v>66</v>
      </c>
      <c r="I361" s="3">
        <v>5</v>
      </c>
      <c r="J361" s="3" t="s">
        <v>12</v>
      </c>
      <c r="K361" s="18">
        <v>90</v>
      </c>
      <c r="L361" s="16">
        <v>110</v>
      </c>
      <c r="M361" s="6" t="str" cm="1">
        <f t="array" ref="M361">_xlfn.IFS(L361&lt;100,"Economy",L361&lt;200,"Standard",L361&lt;350,"Powerful",L361&lt;500,"High Performance",L361&lt;800,"Sports Performance",L361&gt;=800,"Super Performance")</f>
        <v>Standard</v>
      </c>
    </row>
    <row r="362" spans="1:13" x14ac:dyDescent="0.25">
      <c r="A362" s="5" t="s">
        <v>131</v>
      </c>
      <c r="B362" s="3" t="s">
        <v>395</v>
      </c>
      <c r="C362" s="3" t="s">
        <v>473</v>
      </c>
      <c r="D362" s="4">
        <v>925000</v>
      </c>
      <c r="E362" s="3">
        <v>1498</v>
      </c>
      <c r="F362" s="3">
        <v>4</v>
      </c>
      <c r="G362" s="3" t="s">
        <v>36</v>
      </c>
      <c r="H362" s="3" t="s">
        <v>66</v>
      </c>
      <c r="I362" s="3">
        <v>5</v>
      </c>
      <c r="J362" s="3" t="s">
        <v>12</v>
      </c>
      <c r="K362" s="18">
        <v>100</v>
      </c>
      <c r="L362" s="16">
        <v>200</v>
      </c>
      <c r="M362" s="6" t="str" cm="1">
        <f t="array" ref="M362">_xlfn.IFS(L362&lt;100,"Economy",L362&lt;200,"Standard",L362&lt;350,"Powerful",L362&lt;500,"High Performance",L362&lt;800,"Sports Performance",L362&gt;=800,"Super Performance")</f>
        <v>Powerful</v>
      </c>
    </row>
    <row r="363" spans="1:13" x14ac:dyDescent="0.25">
      <c r="A363" s="5" t="s">
        <v>131</v>
      </c>
      <c r="B363" s="3" t="s">
        <v>395</v>
      </c>
      <c r="C363" s="3" t="s">
        <v>498</v>
      </c>
      <c r="D363" s="4">
        <v>815000</v>
      </c>
      <c r="E363" s="3">
        <v>1199</v>
      </c>
      <c r="F363" s="3">
        <v>4</v>
      </c>
      <c r="G363" s="3" t="s">
        <v>10</v>
      </c>
      <c r="H363" s="3" t="s">
        <v>66</v>
      </c>
      <c r="I363" s="3">
        <v>5</v>
      </c>
      <c r="J363" s="3" t="s">
        <v>12</v>
      </c>
      <c r="K363" s="18">
        <v>90</v>
      </c>
      <c r="L363" s="16">
        <v>110</v>
      </c>
      <c r="M363" s="6" t="str" cm="1">
        <f t="array" ref="M363">_xlfn.IFS(L363&lt;100,"Economy",L363&lt;200,"Standard",L363&lt;350,"Powerful",L363&lt;500,"High Performance",L363&lt;800,"Sports Performance",L363&gt;=800,"Super Performance")</f>
        <v>Standard</v>
      </c>
    </row>
    <row r="364" spans="1:13" x14ac:dyDescent="0.25">
      <c r="A364" s="5" t="s">
        <v>131</v>
      </c>
      <c r="B364" s="3" t="s">
        <v>395</v>
      </c>
      <c r="C364" s="3" t="s">
        <v>499</v>
      </c>
      <c r="D364" s="4">
        <v>916050</v>
      </c>
      <c r="E364" s="3">
        <v>1498</v>
      </c>
      <c r="F364" s="3">
        <v>4</v>
      </c>
      <c r="G364" s="3" t="s">
        <v>36</v>
      </c>
      <c r="H364" s="3" t="s">
        <v>66</v>
      </c>
      <c r="I364" s="3">
        <v>5</v>
      </c>
      <c r="J364" s="3" t="s">
        <v>12</v>
      </c>
      <c r="K364" s="18">
        <v>100</v>
      </c>
      <c r="L364" s="16">
        <v>200</v>
      </c>
      <c r="M364" s="6" t="str" cm="1">
        <f t="array" ref="M364">_xlfn.IFS(L364&lt;100,"Economy",L364&lt;200,"Standard",L364&lt;350,"Powerful",L364&lt;500,"High Performance",L364&lt;800,"Sports Performance",L364&gt;=800,"Super Performance")</f>
        <v>Powerful</v>
      </c>
    </row>
    <row r="365" spans="1:13" x14ac:dyDescent="0.25">
      <c r="A365" s="5" t="s">
        <v>131</v>
      </c>
      <c r="B365" s="3" t="s">
        <v>395</v>
      </c>
      <c r="C365" s="3" t="s">
        <v>500</v>
      </c>
      <c r="D365" s="4">
        <v>808050</v>
      </c>
      <c r="E365" s="3">
        <v>1199</v>
      </c>
      <c r="F365" s="3">
        <v>4</v>
      </c>
      <c r="G365" s="3" t="s">
        <v>10</v>
      </c>
      <c r="H365" s="3" t="s">
        <v>66</v>
      </c>
      <c r="I365" s="3">
        <v>5</v>
      </c>
      <c r="J365" s="3" t="s">
        <v>12</v>
      </c>
      <c r="K365" s="18">
        <v>90</v>
      </c>
      <c r="L365" s="16">
        <v>110</v>
      </c>
      <c r="M365" s="6" t="str" cm="1">
        <f t="array" ref="M365">_xlfn.IFS(L365&lt;100,"Economy",L365&lt;200,"Standard",L365&lt;350,"Powerful",L365&lt;500,"High Performance",L365&lt;800,"Sports Performance",L365&gt;=800,"Super Performance")</f>
        <v>Standard</v>
      </c>
    </row>
    <row r="366" spans="1:13" x14ac:dyDescent="0.25">
      <c r="A366" s="5" t="s">
        <v>131</v>
      </c>
      <c r="B366" s="3" t="s">
        <v>395</v>
      </c>
      <c r="C366" s="3" t="s">
        <v>501</v>
      </c>
      <c r="D366" s="4">
        <v>935050</v>
      </c>
      <c r="E366" s="3">
        <v>1199</v>
      </c>
      <c r="F366" s="3">
        <v>4</v>
      </c>
      <c r="G366" s="3" t="s">
        <v>10</v>
      </c>
      <c r="H366" s="3" t="s">
        <v>66</v>
      </c>
      <c r="I366" s="3">
        <v>5</v>
      </c>
      <c r="J366" s="3" t="s">
        <v>12</v>
      </c>
      <c r="K366" s="18">
        <v>90</v>
      </c>
      <c r="L366" s="16">
        <v>110</v>
      </c>
      <c r="M366" s="6" t="str" cm="1">
        <f t="array" ref="M366">_xlfn.IFS(L366&lt;100,"Economy",L366&lt;200,"Standard",L366&lt;350,"Powerful",L366&lt;500,"High Performance",L366&lt;800,"Sports Performance",L366&gt;=800,"Super Performance")</f>
        <v>Standard</v>
      </c>
    </row>
    <row r="367" spans="1:13" x14ac:dyDescent="0.25">
      <c r="A367" s="5" t="s">
        <v>93</v>
      </c>
      <c r="B367" s="3" t="s">
        <v>502</v>
      </c>
      <c r="C367" s="3" t="s">
        <v>503</v>
      </c>
      <c r="D367" s="4">
        <v>880689</v>
      </c>
      <c r="E367" s="3">
        <v>1248</v>
      </c>
      <c r="F367" s="3">
        <v>4</v>
      </c>
      <c r="G367" s="3" t="s">
        <v>36</v>
      </c>
      <c r="H367" s="3" t="s">
        <v>304</v>
      </c>
      <c r="I367" s="3">
        <v>5</v>
      </c>
      <c r="J367" s="3" t="s">
        <v>12</v>
      </c>
      <c r="K367" s="18">
        <v>90</v>
      </c>
      <c r="L367" s="16">
        <v>200</v>
      </c>
      <c r="M367" s="6" t="str" cm="1">
        <f t="array" ref="M367">_xlfn.IFS(L367&lt;100,"Economy",L367&lt;200,"Standard",L367&lt;350,"Powerful",L367&lt;500,"High Performance",L367&lt;800,"Sports Performance",L367&gt;=800,"Super Performance")</f>
        <v>Powerful</v>
      </c>
    </row>
    <row r="368" spans="1:13" x14ac:dyDescent="0.25">
      <c r="A368" s="5" t="s">
        <v>93</v>
      </c>
      <c r="B368" s="3" t="s">
        <v>502</v>
      </c>
      <c r="C368" s="3" t="s">
        <v>504</v>
      </c>
      <c r="D368" s="4">
        <v>992689</v>
      </c>
      <c r="E368" s="3">
        <v>1248</v>
      </c>
      <c r="F368" s="3">
        <v>4</v>
      </c>
      <c r="G368" s="3" t="s">
        <v>36</v>
      </c>
      <c r="H368" s="3" t="s">
        <v>304</v>
      </c>
      <c r="I368" s="3">
        <v>5</v>
      </c>
      <c r="J368" s="3" t="s">
        <v>12</v>
      </c>
      <c r="K368" s="18">
        <v>90</v>
      </c>
      <c r="L368" s="16">
        <v>200</v>
      </c>
      <c r="M368" s="6" t="str" cm="1">
        <f t="array" ref="M368">_xlfn.IFS(L368&lt;100,"Economy",L368&lt;200,"Standard",L368&lt;350,"Powerful",L368&lt;500,"High Performance",L368&lt;800,"Sports Performance",L368&gt;=800,"Super Performance")</f>
        <v>Powerful</v>
      </c>
    </row>
    <row r="369" spans="1:13" x14ac:dyDescent="0.25">
      <c r="A369" s="5" t="s">
        <v>93</v>
      </c>
      <c r="B369" s="3" t="s">
        <v>502</v>
      </c>
      <c r="C369" s="3" t="s">
        <v>505</v>
      </c>
      <c r="D369" s="4">
        <v>1043689</v>
      </c>
      <c r="E369" s="3">
        <v>1248</v>
      </c>
      <c r="F369" s="3">
        <v>4</v>
      </c>
      <c r="G369" s="3" t="s">
        <v>36</v>
      </c>
      <c r="H369" s="3" t="s">
        <v>304</v>
      </c>
      <c r="I369" s="3">
        <v>5</v>
      </c>
      <c r="J369" s="3" t="s">
        <v>12</v>
      </c>
      <c r="K369" s="18">
        <v>90</v>
      </c>
      <c r="L369" s="16">
        <v>200</v>
      </c>
      <c r="M369" s="6" t="str" cm="1">
        <f t="array" ref="M369">_xlfn.IFS(L369&lt;100,"Economy",L369&lt;200,"Standard",L369&lt;350,"Powerful",L369&lt;500,"High Performance",L369&lt;800,"Sports Performance",L369&gt;=800,"Super Performance")</f>
        <v>Powerful</v>
      </c>
    </row>
    <row r="370" spans="1:13" x14ac:dyDescent="0.25">
      <c r="A370" s="5" t="s">
        <v>93</v>
      </c>
      <c r="B370" s="3" t="s">
        <v>502</v>
      </c>
      <c r="C370" s="3" t="s">
        <v>506</v>
      </c>
      <c r="D370" s="4">
        <v>1143689</v>
      </c>
      <c r="E370" s="3">
        <v>1248</v>
      </c>
      <c r="F370" s="3">
        <v>4</v>
      </c>
      <c r="G370" s="3" t="s">
        <v>36</v>
      </c>
      <c r="H370" s="3" t="s">
        <v>304</v>
      </c>
      <c r="I370" s="3">
        <v>5</v>
      </c>
      <c r="J370" s="3" t="s">
        <v>12</v>
      </c>
      <c r="K370" s="18">
        <v>90</v>
      </c>
      <c r="L370" s="16">
        <v>200</v>
      </c>
      <c r="M370" s="6" t="str" cm="1">
        <f t="array" ref="M370">_xlfn.IFS(L370&lt;100,"Economy",L370&lt;200,"Standard",L370&lt;350,"Powerful",L370&lt;500,"High Performance",L370&lt;800,"Sports Performance",L370&gt;=800,"Super Performance")</f>
        <v>Powerful</v>
      </c>
    </row>
    <row r="371" spans="1:13" x14ac:dyDescent="0.25">
      <c r="A371" s="5" t="s">
        <v>280</v>
      </c>
      <c r="B371" s="3" t="s">
        <v>507</v>
      </c>
      <c r="C371" s="3" t="s">
        <v>508</v>
      </c>
      <c r="D371" s="4">
        <v>6463780</v>
      </c>
      <c r="E371" s="3">
        <v>1999</v>
      </c>
      <c r="F371" s="3">
        <v>4</v>
      </c>
      <c r="G371" s="3" t="s">
        <v>36</v>
      </c>
      <c r="H371" s="3" t="s">
        <v>66</v>
      </c>
      <c r="I371" s="3">
        <v>5</v>
      </c>
      <c r="J371" s="3" t="s">
        <v>30</v>
      </c>
      <c r="K371" s="18">
        <v>180</v>
      </c>
      <c r="L371" s="16">
        <v>430</v>
      </c>
      <c r="M371" s="6" t="str" cm="1">
        <f t="array" ref="M371">_xlfn.IFS(L371&lt;100,"Economy",L371&lt;200,"Standard",L371&lt;350,"Powerful",L371&lt;500,"High Performance",L371&lt;800,"Sports Performance",L371&gt;=800,"Super Performance")</f>
        <v>High Performance</v>
      </c>
    </row>
    <row r="372" spans="1:13" x14ac:dyDescent="0.25">
      <c r="A372" s="5" t="s">
        <v>382</v>
      </c>
      <c r="B372" s="3" t="s">
        <v>509</v>
      </c>
      <c r="C372" s="3" t="s">
        <v>442</v>
      </c>
      <c r="D372" s="4">
        <v>6531000</v>
      </c>
      <c r="E372" s="3">
        <v>1969</v>
      </c>
      <c r="F372" s="3">
        <v>4</v>
      </c>
      <c r="G372" s="3" t="s">
        <v>36</v>
      </c>
      <c r="H372" s="3" t="s">
        <v>66</v>
      </c>
      <c r="I372" s="3">
        <v>5</v>
      </c>
      <c r="J372" s="3" t="s">
        <v>30</v>
      </c>
      <c r="K372" s="18">
        <v>235</v>
      </c>
      <c r="L372" s="16">
        <v>480</v>
      </c>
      <c r="M372" s="6" t="str" cm="1">
        <f t="array" ref="M372">_xlfn.IFS(L372&lt;100,"Economy",L372&lt;200,"Standard",L372&lt;350,"Powerful",L372&lt;500,"High Performance",L372&lt;800,"Sports Performance",L372&gt;=800,"Super Performance")</f>
        <v>High Performance</v>
      </c>
    </row>
    <row r="373" spans="1:13" x14ac:dyDescent="0.25">
      <c r="A373" s="5" t="s">
        <v>93</v>
      </c>
      <c r="B373" s="3" t="s">
        <v>510</v>
      </c>
      <c r="C373" s="3" t="s">
        <v>511</v>
      </c>
      <c r="D373" s="4">
        <v>1102689</v>
      </c>
      <c r="E373" s="3">
        <v>1248</v>
      </c>
      <c r="F373" s="3">
        <v>4</v>
      </c>
      <c r="G373" s="3" t="s">
        <v>36</v>
      </c>
      <c r="H373" s="3" t="s">
        <v>27</v>
      </c>
      <c r="I373" s="3">
        <v>5</v>
      </c>
      <c r="J373" s="3" t="s">
        <v>12</v>
      </c>
      <c r="K373" s="18">
        <v>89</v>
      </c>
      <c r="L373" s="16">
        <v>200</v>
      </c>
      <c r="M373" s="6" t="str" cm="1">
        <f t="array" ref="M373">_xlfn.IFS(L373&lt;100,"Economy",L373&lt;200,"Standard",L373&lt;350,"Powerful",L373&lt;500,"High Performance",L373&lt;800,"Sports Performance",L373&gt;=800,"Super Performance")</f>
        <v>Powerful</v>
      </c>
    </row>
    <row r="374" spans="1:13" x14ac:dyDescent="0.25">
      <c r="A374" s="5" t="s">
        <v>93</v>
      </c>
      <c r="B374" s="3" t="s">
        <v>510</v>
      </c>
      <c r="C374" s="3" t="s">
        <v>512</v>
      </c>
      <c r="D374" s="4">
        <v>919689</v>
      </c>
      <c r="E374" s="3">
        <v>1248</v>
      </c>
      <c r="F374" s="3">
        <v>4</v>
      </c>
      <c r="G374" s="3" t="s">
        <v>36</v>
      </c>
      <c r="H374" s="3" t="s">
        <v>27</v>
      </c>
      <c r="I374" s="3">
        <v>5</v>
      </c>
      <c r="J374" s="3" t="s">
        <v>12</v>
      </c>
      <c r="K374" s="18">
        <v>89</v>
      </c>
      <c r="L374" s="16">
        <v>200</v>
      </c>
      <c r="M374" s="6" t="str" cm="1">
        <f t="array" ref="M374">_xlfn.IFS(L374&lt;100,"Economy",L374&lt;200,"Standard",L374&lt;350,"Powerful",L374&lt;500,"High Performance",L374&lt;800,"Sports Performance",L374&gt;=800,"Super Performance")</f>
        <v>Powerful</v>
      </c>
    </row>
    <row r="375" spans="1:13" x14ac:dyDescent="0.25">
      <c r="A375" s="5" t="s">
        <v>93</v>
      </c>
      <c r="B375" s="3" t="s">
        <v>510</v>
      </c>
      <c r="C375" s="3" t="s">
        <v>513</v>
      </c>
      <c r="D375" s="4">
        <v>980689</v>
      </c>
      <c r="E375" s="3">
        <v>1248</v>
      </c>
      <c r="F375" s="3">
        <v>4</v>
      </c>
      <c r="G375" s="3" t="s">
        <v>36</v>
      </c>
      <c r="H375" s="3" t="s">
        <v>27</v>
      </c>
      <c r="I375" s="3">
        <v>5</v>
      </c>
      <c r="J375" s="3" t="s">
        <v>12</v>
      </c>
      <c r="K375" s="18">
        <v>89</v>
      </c>
      <c r="L375" s="16">
        <v>200</v>
      </c>
      <c r="M375" s="6" t="str" cm="1">
        <f t="array" ref="M375">_xlfn.IFS(L375&lt;100,"Economy",L375&lt;200,"Standard",L375&lt;350,"Powerful",L375&lt;500,"High Performance",L375&lt;800,"Sports Performance",L375&gt;=800,"Super Performance")</f>
        <v>Powerful</v>
      </c>
    </row>
    <row r="376" spans="1:13" x14ac:dyDescent="0.25">
      <c r="A376" s="5" t="s">
        <v>93</v>
      </c>
      <c r="B376" s="3" t="s">
        <v>510</v>
      </c>
      <c r="C376" s="3" t="s">
        <v>514</v>
      </c>
      <c r="D376" s="4">
        <v>1062689</v>
      </c>
      <c r="E376" s="3">
        <v>1248</v>
      </c>
      <c r="F376" s="3">
        <v>4</v>
      </c>
      <c r="G376" s="3" t="s">
        <v>36</v>
      </c>
      <c r="H376" s="3" t="s">
        <v>27</v>
      </c>
      <c r="I376" s="3">
        <v>5</v>
      </c>
      <c r="J376" s="3" t="s">
        <v>12</v>
      </c>
      <c r="K376" s="18">
        <v>89</v>
      </c>
      <c r="L376" s="16">
        <v>200</v>
      </c>
      <c r="M376" s="6" t="str" cm="1">
        <f t="array" ref="M376">_xlfn.IFS(L376&lt;100,"Economy",L376&lt;200,"Standard",L376&lt;350,"Powerful",L376&lt;500,"High Performance",L376&lt;800,"Sports Performance",L376&gt;=800,"Super Performance")</f>
        <v>Powerful</v>
      </c>
    </row>
    <row r="377" spans="1:13" x14ac:dyDescent="0.25">
      <c r="A377" s="5" t="s">
        <v>93</v>
      </c>
      <c r="B377" s="3" t="s">
        <v>510</v>
      </c>
      <c r="C377" s="3" t="s">
        <v>515</v>
      </c>
      <c r="D377" s="4">
        <v>958689</v>
      </c>
      <c r="E377" s="3">
        <v>1462</v>
      </c>
      <c r="F377" s="3">
        <v>4</v>
      </c>
      <c r="G377" s="3" t="s">
        <v>10</v>
      </c>
      <c r="H377" s="3" t="s">
        <v>27</v>
      </c>
      <c r="I377" s="3">
        <v>5</v>
      </c>
      <c r="J377" s="3" t="s">
        <v>12</v>
      </c>
      <c r="K377" s="18">
        <v>103</v>
      </c>
      <c r="L377" s="16">
        <v>138</v>
      </c>
      <c r="M377" s="6" t="str" cm="1">
        <f t="array" ref="M377">_xlfn.IFS(L377&lt;100,"Economy",L377&lt;200,"Standard",L377&lt;350,"Powerful",L377&lt;500,"High Performance",L377&lt;800,"Sports Performance",L377&gt;=800,"Super Performance")</f>
        <v>Standard</v>
      </c>
    </row>
    <row r="378" spans="1:13" x14ac:dyDescent="0.25">
      <c r="A378" s="5" t="s">
        <v>93</v>
      </c>
      <c r="B378" s="3" t="s">
        <v>510</v>
      </c>
      <c r="C378" s="3" t="s">
        <v>516</v>
      </c>
      <c r="D378" s="4">
        <v>1138189</v>
      </c>
      <c r="E378" s="3">
        <v>1498</v>
      </c>
      <c r="F378" s="3">
        <v>4</v>
      </c>
      <c r="G378" s="3" t="s">
        <v>36</v>
      </c>
      <c r="H378" s="3" t="s">
        <v>27</v>
      </c>
      <c r="I378" s="3">
        <v>5</v>
      </c>
      <c r="J378" s="3" t="s">
        <v>12</v>
      </c>
      <c r="K378" s="18">
        <v>94</v>
      </c>
      <c r="L378" s="16">
        <v>225</v>
      </c>
      <c r="M378" s="6" t="str" cm="1">
        <f t="array" ref="M378">_xlfn.IFS(L378&lt;100,"Economy",L378&lt;200,"Standard",L378&lt;350,"Powerful",L378&lt;500,"High Performance",L378&lt;800,"Sports Performance",L378&gt;=800,"Super Performance")</f>
        <v>Powerful</v>
      </c>
    </row>
    <row r="379" spans="1:13" x14ac:dyDescent="0.25">
      <c r="A379" s="5" t="s">
        <v>93</v>
      </c>
      <c r="B379" s="3" t="s">
        <v>510</v>
      </c>
      <c r="C379" s="3" t="s">
        <v>517</v>
      </c>
      <c r="D379" s="4">
        <v>997689</v>
      </c>
      <c r="E379" s="3">
        <v>1498</v>
      </c>
      <c r="F379" s="3">
        <v>4</v>
      </c>
      <c r="G379" s="3" t="s">
        <v>36</v>
      </c>
      <c r="H379" s="3" t="s">
        <v>27</v>
      </c>
      <c r="I379" s="3">
        <v>5</v>
      </c>
      <c r="J379" s="3" t="s">
        <v>12</v>
      </c>
      <c r="K379" s="18">
        <v>94</v>
      </c>
      <c r="L379" s="16">
        <v>225</v>
      </c>
      <c r="M379" s="6" t="str" cm="1">
        <f t="array" ref="M379">_xlfn.IFS(L379&lt;100,"Economy",L379&lt;200,"Standard",L379&lt;350,"Powerful",L379&lt;500,"High Performance",L379&lt;800,"Sports Performance",L379&gt;=800,"Super Performance")</f>
        <v>Powerful</v>
      </c>
    </row>
    <row r="380" spans="1:13" x14ac:dyDescent="0.25">
      <c r="A380" s="5" t="s">
        <v>93</v>
      </c>
      <c r="B380" s="3" t="s">
        <v>510</v>
      </c>
      <c r="C380" s="3" t="s">
        <v>518</v>
      </c>
      <c r="D380" s="4">
        <v>1109189</v>
      </c>
      <c r="E380" s="3">
        <v>1498</v>
      </c>
      <c r="F380" s="3">
        <v>4</v>
      </c>
      <c r="G380" s="3" t="s">
        <v>36</v>
      </c>
      <c r="H380" s="3" t="s">
        <v>27</v>
      </c>
      <c r="I380" s="3">
        <v>5</v>
      </c>
      <c r="J380" s="3" t="s">
        <v>12</v>
      </c>
      <c r="K380" s="18">
        <v>94</v>
      </c>
      <c r="L380" s="16">
        <v>225</v>
      </c>
      <c r="M380" s="6" t="str" cm="1">
        <f t="array" ref="M380">_xlfn.IFS(L380&lt;100,"Economy",L380&lt;200,"Standard",L380&lt;350,"Powerful",L380&lt;500,"High Performance",L380&lt;800,"Sports Performance",L380&gt;=800,"Super Performance")</f>
        <v>Powerful</v>
      </c>
    </row>
    <row r="381" spans="1:13" x14ac:dyDescent="0.25">
      <c r="A381" s="5" t="s">
        <v>301</v>
      </c>
      <c r="B381" s="3" t="s">
        <v>519</v>
      </c>
      <c r="C381" s="3" t="s">
        <v>487</v>
      </c>
      <c r="D381" s="4">
        <v>980970</v>
      </c>
      <c r="E381" s="3">
        <v>1368</v>
      </c>
      <c r="F381" s="3">
        <v>4</v>
      </c>
      <c r="G381" s="3" t="s">
        <v>10</v>
      </c>
      <c r="H381" s="3" t="s">
        <v>11</v>
      </c>
      <c r="I381" s="3">
        <v>5</v>
      </c>
      <c r="J381" s="3" t="s">
        <v>12</v>
      </c>
      <c r="K381" s="18">
        <v>145</v>
      </c>
      <c r="L381" s="16">
        <v>212</v>
      </c>
      <c r="M381" s="6" t="str" cm="1">
        <f t="array" ref="M381">_xlfn.IFS(L381&lt;100,"Economy",L381&lt;200,"Standard",L381&lt;350,"Powerful",L381&lt;500,"High Performance",L381&lt;800,"Sports Performance",L381&gt;=800,"Super Performance")</f>
        <v>Powerful</v>
      </c>
    </row>
    <row r="382" spans="1:13" x14ac:dyDescent="0.25">
      <c r="A382" s="5" t="s">
        <v>7</v>
      </c>
      <c r="B382" s="3" t="s">
        <v>520</v>
      </c>
      <c r="C382" s="3" t="s">
        <v>521</v>
      </c>
      <c r="D382" s="4">
        <v>999990</v>
      </c>
      <c r="E382" s="3">
        <v>1396</v>
      </c>
      <c r="F382" s="3">
        <v>4</v>
      </c>
      <c r="G382" s="3" t="s">
        <v>36</v>
      </c>
      <c r="H382" s="3" t="s">
        <v>66</v>
      </c>
      <c r="I382" s="3">
        <v>5</v>
      </c>
      <c r="J382" s="3" t="s">
        <v>12</v>
      </c>
      <c r="K382" s="18">
        <v>90</v>
      </c>
      <c r="L382" s="16">
        <v>220</v>
      </c>
      <c r="M382" s="6" t="str" cm="1">
        <f t="array" ref="M382">_xlfn.IFS(L382&lt;100,"Economy",L382&lt;200,"Standard",L382&lt;350,"Powerful",L382&lt;500,"High Performance",L382&lt;800,"Sports Performance",L382&gt;=800,"Super Performance")</f>
        <v>Powerful</v>
      </c>
    </row>
    <row r="383" spans="1:13" x14ac:dyDescent="0.25">
      <c r="A383" s="5" t="s">
        <v>7</v>
      </c>
      <c r="B383" s="3" t="s">
        <v>520</v>
      </c>
      <c r="C383" s="3" t="s">
        <v>522</v>
      </c>
      <c r="D383" s="4">
        <v>999990</v>
      </c>
      <c r="E383" s="3">
        <v>1591</v>
      </c>
      <c r="F383" s="3">
        <v>4</v>
      </c>
      <c r="G383" s="3" t="s">
        <v>10</v>
      </c>
      <c r="H383" s="3" t="s">
        <v>66</v>
      </c>
      <c r="I383" s="3">
        <v>5</v>
      </c>
      <c r="J383" s="3" t="s">
        <v>12</v>
      </c>
      <c r="K383" s="18">
        <v>123</v>
      </c>
      <c r="L383" s="16">
        <v>151</v>
      </c>
      <c r="M383" s="6" t="str" cm="1">
        <f t="array" ref="M383">_xlfn.IFS(L383&lt;100,"Economy",L383&lt;200,"Standard",L383&lt;350,"Powerful",L383&lt;500,"High Performance",L383&lt;800,"Sports Performance",L383&gt;=800,"Super Performance")</f>
        <v>Standard</v>
      </c>
    </row>
    <row r="384" spans="1:13" x14ac:dyDescent="0.25">
      <c r="A384" s="5" t="s">
        <v>7</v>
      </c>
      <c r="B384" s="3" t="s">
        <v>520</v>
      </c>
      <c r="C384" s="3" t="s">
        <v>523</v>
      </c>
      <c r="D384" s="4">
        <v>1232534</v>
      </c>
      <c r="E384" s="3">
        <v>1591</v>
      </c>
      <c r="F384" s="3">
        <v>4</v>
      </c>
      <c r="G384" s="3" t="s">
        <v>10</v>
      </c>
      <c r="H384" s="3" t="s">
        <v>66</v>
      </c>
      <c r="I384" s="3">
        <v>5</v>
      </c>
      <c r="J384" s="3" t="s">
        <v>12</v>
      </c>
      <c r="K384" s="18">
        <v>123</v>
      </c>
      <c r="L384" s="16">
        <v>151</v>
      </c>
      <c r="M384" s="6" t="str" cm="1">
        <f t="array" ref="M384">_xlfn.IFS(L384&lt;100,"Economy",L384&lt;200,"Standard",L384&lt;350,"Powerful",L384&lt;500,"High Performance",L384&lt;800,"Sports Performance",L384&gt;=800,"Super Performance")</f>
        <v>Standard</v>
      </c>
    </row>
    <row r="385" spans="1:13" x14ac:dyDescent="0.25">
      <c r="A385" s="5" t="s">
        <v>7</v>
      </c>
      <c r="B385" s="3" t="s">
        <v>520</v>
      </c>
      <c r="C385" s="3" t="s">
        <v>524</v>
      </c>
      <c r="D385" s="4">
        <v>1394437</v>
      </c>
      <c r="E385" s="3">
        <v>1591</v>
      </c>
      <c r="F385" s="3">
        <v>4</v>
      </c>
      <c r="G385" s="3" t="s">
        <v>10</v>
      </c>
      <c r="H385" s="3" t="s">
        <v>66</v>
      </c>
      <c r="I385" s="3">
        <v>5</v>
      </c>
      <c r="J385" s="3" t="s">
        <v>12</v>
      </c>
      <c r="K385" s="18">
        <v>123</v>
      </c>
      <c r="L385" s="16">
        <v>151</v>
      </c>
      <c r="M385" s="6" t="str" cm="1">
        <f t="array" ref="M385">_xlfn.IFS(L385&lt;100,"Economy",L385&lt;200,"Standard",L385&lt;350,"Powerful",L385&lt;500,"High Performance",L385&lt;800,"Sports Performance",L385&gt;=800,"Super Performance")</f>
        <v>Standard</v>
      </c>
    </row>
    <row r="386" spans="1:13" x14ac:dyDescent="0.25">
      <c r="A386" s="5" t="s">
        <v>7</v>
      </c>
      <c r="B386" s="3" t="s">
        <v>520</v>
      </c>
      <c r="C386" s="3" t="s">
        <v>525</v>
      </c>
      <c r="D386" s="4">
        <v>1377363</v>
      </c>
      <c r="E386" s="3">
        <v>1591</v>
      </c>
      <c r="F386" s="3">
        <v>4</v>
      </c>
      <c r="G386" s="3" t="s">
        <v>10</v>
      </c>
      <c r="H386" s="3" t="s">
        <v>66</v>
      </c>
      <c r="I386" s="3">
        <v>5</v>
      </c>
      <c r="J386" s="3" t="s">
        <v>30</v>
      </c>
      <c r="K386" s="18">
        <v>123</v>
      </c>
      <c r="L386" s="16">
        <v>151</v>
      </c>
      <c r="M386" s="6" t="str" cm="1">
        <f t="array" ref="M386">_xlfn.IFS(L386&lt;100,"Economy",L386&lt;200,"Standard",L386&lt;350,"Powerful",L386&lt;500,"High Performance",L386&lt;800,"Sports Performance",L386&gt;=800,"Super Performance")</f>
        <v>Standard</v>
      </c>
    </row>
    <row r="387" spans="1:13" x14ac:dyDescent="0.25">
      <c r="A387" s="5" t="s">
        <v>7</v>
      </c>
      <c r="B387" s="3" t="s">
        <v>520</v>
      </c>
      <c r="C387" s="3" t="s">
        <v>526</v>
      </c>
      <c r="D387" s="4">
        <v>1287041</v>
      </c>
      <c r="E387" s="3">
        <v>1591</v>
      </c>
      <c r="F387" s="3">
        <v>4</v>
      </c>
      <c r="G387" s="3" t="s">
        <v>10</v>
      </c>
      <c r="H387" s="3" t="s">
        <v>66</v>
      </c>
      <c r="I387" s="3">
        <v>5</v>
      </c>
      <c r="J387" s="3" t="s">
        <v>30</v>
      </c>
      <c r="K387" s="18">
        <v>123</v>
      </c>
      <c r="L387" s="16">
        <v>151</v>
      </c>
      <c r="M387" s="6" t="str" cm="1">
        <f t="array" ref="M387">_xlfn.IFS(L387&lt;100,"Economy",L387&lt;200,"Standard",L387&lt;350,"Powerful",L387&lt;500,"High Performance",L387&lt;800,"Sports Performance",L387&gt;=800,"Super Performance")</f>
        <v>Standard</v>
      </c>
    </row>
    <row r="388" spans="1:13" x14ac:dyDescent="0.25">
      <c r="A388" s="5" t="s">
        <v>7</v>
      </c>
      <c r="B388" s="3" t="s">
        <v>520</v>
      </c>
      <c r="C388" s="3" t="s">
        <v>527</v>
      </c>
      <c r="D388" s="4">
        <v>1197919</v>
      </c>
      <c r="E388" s="3">
        <v>1396</v>
      </c>
      <c r="F388" s="3">
        <v>4</v>
      </c>
      <c r="G388" s="3" t="s">
        <v>36</v>
      </c>
      <c r="H388" s="3" t="s">
        <v>66</v>
      </c>
      <c r="I388" s="3">
        <v>5</v>
      </c>
      <c r="J388" s="3" t="s">
        <v>12</v>
      </c>
      <c r="K388" s="18">
        <v>90</v>
      </c>
      <c r="L388" s="16">
        <v>220</v>
      </c>
      <c r="M388" s="6" t="str" cm="1">
        <f t="array" ref="M388">_xlfn.IFS(L388&lt;100,"Economy",L388&lt;200,"Standard",L388&lt;350,"Powerful",L388&lt;500,"High Performance",L388&lt;800,"Sports Performance",L388&gt;=800,"Super Performance")</f>
        <v>Powerful</v>
      </c>
    </row>
    <row r="389" spans="1:13" x14ac:dyDescent="0.25">
      <c r="A389" s="5" t="s">
        <v>7</v>
      </c>
      <c r="B389" s="3" t="s">
        <v>520</v>
      </c>
      <c r="C389" s="3" t="s">
        <v>528</v>
      </c>
      <c r="D389" s="4">
        <v>1366797</v>
      </c>
      <c r="E389" s="3">
        <v>1582</v>
      </c>
      <c r="F389" s="3">
        <v>4</v>
      </c>
      <c r="G389" s="3" t="s">
        <v>36</v>
      </c>
      <c r="H389" s="3" t="s">
        <v>66</v>
      </c>
      <c r="I389" s="3">
        <v>5</v>
      </c>
      <c r="J389" s="3" t="s">
        <v>12</v>
      </c>
      <c r="K389" s="18">
        <v>128</v>
      </c>
      <c r="L389" s="16">
        <v>260</v>
      </c>
      <c r="M389" s="6" t="str" cm="1">
        <f t="array" ref="M389">_xlfn.IFS(L389&lt;100,"Economy",L389&lt;200,"Standard",L389&lt;350,"Powerful",L389&lt;500,"High Performance",L389&lt;800,"Sports Performance",L389&gt;=800,"Super Performance")</f>
        <v>Powerful</v>
      </c>
    </row>
    <row r="390" spans="1:13" x14ac:dyDescent="0.25">
      <c r="A390" s="5" t="s">
        <v>7</v>
      </c>
      <c r="B390" s="3" t="s">
        <v>520</v>
      </c>
      <c r="C390" s="3" t="s">
        <v>529</v>
      </c>
      <c r="D390" s="4">
        <v>1543564</v>
      </c>
      <c r="E390" s="3">
        <v>1582</v>
      </c>
      <c r="F390" s="3">
        <v>4</v>
      </c>
      <c r="G390" s="3" t="s">
        <v>36</v>
      </c>
      <c r="H390" s="3" t="s">
        <v>66</v>
      </c>
      <c r="I390" s="3">
        <v>5</v>
      </c>
      <c r="J390" s="3" t="s">
        <v>12</v>
      </c>
      <c r="K390" s="18">
        <v>128</v>
      </c>
      <c r="L390" s="16">
        <v>260</v>
      </c>
      <c r="M390" s="6" t="str" cm="1">
        <f t="array" ref="M390">_xlfn.IFS(L390&lt;100,"Economy",L390&lt;200,"Standard",L390&lt;350,"Powerful",L390&lt;500,"High Performance",L390&lt;800,"Sports Performance",L390&gt;=800,"Super Performance")</f>
        <v>Powerful</v>
      </c>
    </row>
    <row r="391" spans="1:13" x14ac:dyDescent="0.25">
      <c r="A391" s="5" t="s">
        <v>7</v>
      </c>
      <c r="B391" s="3" t="s">
        <v>520</v>
      </c>
      <c r="C391" s="3" t="s">
        <v>530</v>
      </c>
      <c r="D391" s="4">
        <v>1527395</v>
      </c>
      <c r="E391" s="3">
        <v>1582</v>
      </c>
      <c r="F391" s="3">
        <v>4</v>
      </c>
      <c r="G391" s="3" t="s">
        <v>36</v>
      </c>
      <c r="H391" s="3" t="s">
        <v>66</v>
      </c>
      <c r="I391" s="3">
        <v>5</v>
      </c>
      <c r="J391" s="3" t="s">
        <v>30</v>
      </c>
      <c r="K391" s="18">
        <v>128</v>
      </c>
      <c r="L391" s="16">
        <v>260</v>
      </c>
      <c r="M391" s="6" t="str" cm="1">
        <f t="array" ref="M391">_xlfn.IFS(L391&lt;100,"Economy",L391&lt;200,"Standard",L391&lt;350,"Powerful",L391&lt;500,"High Performance",L391&lt;800,"Sports Performance",L391&gt;=800,"Super Performance")</f>
        <v>Powerful</v>
      </c>
    </row>
    <row r="392" spans="1:13" x14ac:dyDescent="0.25">
      <c r="A392" s="5" t="s">
        <v>7</v>
      </c>
      <c r="B392" s="3" t="s">
        <v>520</v>
      </c>
      <c r="C392" s="3" t="s">
        <v>531</v>
      </c>
      <c r="D392" s="4">
        <v>1421208</v>
      </c>
      <c r="E392" s="3">
        <v>1582</v>
      </c>
      <c r="F392" s="3">
        <v>4</v>
      </c>
      <c r="G392" s="3" t="s">
        <v>36</v>
      </c>
      <c r="H392" s="3" t="s">
        <v>66</v>
      </c>
      <c r="I392" s="3">
        <v>5</v>
      </c>
      <c r="J392" s="3" t="s">
        <v>12</v>
      </c>
      <c r="K392" s="18">
        <v>128</v>
      </c>
      <c r="L392" s="16">
        <v>260</v>
      </c>
      <c r="M392" s="6" t="str" cm="1">
        <f t="array" ref="M392">_xlfn.IFS(L392&lt;100,"Economy",L392&lt;200,"Standard",L392&lt;350,"Powerful",L392&lt;500,"High Performance",L392&lt;800,"Sports Performance",L392&gt;=800,"Super Performance")</f>
        <v>Powerful</v>
      </c>
    </row>
    <row r="393" spans="1:13" x14ac:dyDescent="0.25">
      <c r="A393" s="5" t="s">
        <v>7</v>
      </c>
      <c r="B393" s="3" t="s">
        <v>520</v>
      </c>
      <c r="C393" s="3" t="s">
        <v>532</v>
      </c>
      <c r="D393" s="4">
        <v>1336033</v>
      </c>
      <c r="E393" s="3">
        <v>1582</v>
      </c>
      <c r="F393" s="3">
        <v>4</v>
      </c>
      <c r="G393" s="3" t="s">
        <v>36</v>
      </c>
      <c r="H393" s="3" t="s">
        <v>66</v>
      </c>
      <c r="I393" s="3">
        <v>5</v>
      </c>
      <c r="J393" s="3" t="s">
        <v>30</v>
      </c>
      <c r="K393" s="18">
        <v>128</v>
      </c>
      <c r="L393" s="16">
        <v>260</v>
      </c>
      <c r="M393" s="6" t="str" cm="1">
        <f t="array" ref="M393">_xlfn.IFS(L393&lt;100,"Economy",L393&lt;200,"Standard",L393&lt;350,"Powerful",L393&lt;500,"High Performance",L393&lt;800,"Sports Performance",L393&gt;=800,"Super Performance")</f>
        <v>Powerful</v>
      </c>
    </row>
    <row r="394" spans="1:13" x14ac:dyDescent="0.25">
      <c r="A394" s="5" t="s">
        <v>7</v>
      </c>
      <c r="B394" s="3" t="s">
        <v>520</v>
      </c>
      <c r="C394" s="3" t="s">
        <v>533</v>
      </c>
      <c r="D394" s="4">
        <v>1422937</v>
      </c>
      <c r="E394" s="3">
        <v>1591</v>
      </c>
      <c r="F394" s="3">
        <v>4</v>
      </c>
      <c r="G394" s="3" t="s">
        <v>10</v>
      </c>
      <c r="H394" s="3" t="s">
        <v>66</v>
      </c>
      <c r="I394" s="3">
        <v>5</v>
      </c>
      <c r="J394" s="3" t="s">
        <v>12</v>
      </c>
      <c r="K394" s="18">
        <v>121</v>
      </c>
      <c r="L394" s="16">
        <v>151</v>
      </c>
      <c r="M394" s="6" t="str" cm="1">
        <f t="array" ref="M394">_xlfn.IFS(L394&lt;100,"Economy",L394&lt;200,"Standard",L394&lt;350,"Powerful",L394&lt;500,"High Performance",L394&lt;800,"Sports Performance",L394&gt;=800,"Super Performance")</f>
        <v>Standard</v>
      </c>
    </row>
    <row r="395" spans="1:13" x14ac:dyDescent="0.25">
      <c r="A395" s="5" t="s">
        <v>7</v>
      </c>
      <c r="B395" s="3" t="s">
        <v>520</v>
      </c>
      <c r="C395" s="3" t="s">
        <v>534</v>
      </c>
      <c r="D395" s="4">
        <v>1572064</v>
      </c>
      <c r="E395" s="3">
        <v>1582</v>
      </c>
      <c r="F395" s="3">
        <v>4</v>
      </c>
      <c r="G395" s="3" t="s">
        <v>36</v>
      </c>
      <c r="H395" s="3" t="s">
        <v>66</v>
      </c>
      <c r="I395" s="3">
        <v>5</v>
      </c>
      <c r="J395" s="3" t="s">
        <v>12</v>
      </c>
      <c r="K395" s="18">
        <v>126</v>
      </c>
      <c r="L395" s="16">
        <v>260</v>
      </c>
      <c r="M395" s="6" t="str" cm="1">
        <f t="array" ref="M395">_xlfn.IFS(L395&lt;100,"Economy",L395&lt;200,"Standard",L395&lt;350,"Powerful",L395&lt;500,"High Performance",L395&lt;800,"Sports Performance",L395&gt;=800,"Super Performance")</f>
        <v>Powerful</v>
      </c>
    </row>
    <row r="396" spans="1:13" x14ac:dyDescent="0.25">
      <c r="A396" s="5" t="s">
        <v>7</v>
      </c>
      <c r="B396" s="3" t="s">
        <v>520</v>
      </c>
      <c r="C396" s="3" t="s">
        <v>535</v>
      </c>
      <c r="D396" s="4">
        <v>1107167</v>
      </c>
      <c r="E396" s="3">
        <v>1396</v>
      </c>
      <c r="F396" s="3">
        <v>4</v>
      </c>
      <c r="G396" s="3" t="s">
        <v>36</v>
      </c>
      <c r="H396" s="3" t="s">
        <v>66</v>
      </c>
      <c r="I396" s="3">
        <v>5</v>
      </c>
      <c r="J396" s="3" t="s">
        <v>12</v>
      </c>
      <c r="K396" s="18">
        <v>90</v>
      </c>
      <c r="L396" s="16">
        <v>220</v>
      </c>
      <c r="M396" s="6" t="str" cm="1">
        <f t="array" ref="M396">_xlfn.IFS(L396&lt;100,"Economy",L396&lt;200,"Standard",L396&lt;350,"Powerful",L396&lt;500,"High Performance",L396&lt;800,"Sports Performance",L396&gt;=800,"Super Performance")</f>
        <v>Powerful</v>
      </c>
    </row>
    <row r="397" spans="1:13" x14ac:dyDescent="0.25">
      <c r="A397" s="5" t="s">
        <v>7</v>
      </c>
      <c r="B397" s="3" t="s">
        <v>520</v>
      </c>
      <c r="C397" s="3" t="s">
        <v>536</v>
      </c>
      <c r="D397" s="4">
        <v>1092192</v>
      </c>
      <c r="E397" s="3">
        <v>1591</v>
      </c>
      <c r="F397" s="3">
        <v>4</v>
      </c>
      <c r="G397" s="3" t="s">
        <v>10</v>
      </c>
      <c r="H397" s="3" t="s">
        <v>66</v>
      </c>
      <c r="I397" s="3">
        <v>5</v>
      </c>
      <c r="J397" s="3" t="s">
        <v>12</v>
      </c>
      <c r="K397" s="18">
        <v>123</v>
      </c>
      <c r="L397" s="16">
        <v>151</v>
      </c>
      <c r="M397" s="6" t="str" cm="1">
        <f t="array" ref="M397">_xlfn.IFS(L397&lt;100,"Economy",L397&lt;200,"Standard",L397&lt;350,"Powerful",L397&lt;500,"High Performance",L397&lt;800,"Sports Performance",L397&gt;=800,"Super Performance")</f>
        <v>Standard</v>
      </c>
    </row>
    <row r="398" spans="1:13" x14ac:dyDescent="0.25">
      <c r="A398" s="5" t="s">
        <v>7</v>
      </c>
      <c r="B398" s="3" t="s">
        <v>520</v>
      </c>
      <c r="C398" s="3" t="s">
        <v>537</v>
      </c>
      <c r="D398" s="4">
        <v>1279983</v>
      </c>
      <c r="E398" s="3">
        <v>1591</v>
      </c>
      <c r="F398" s="3">
        <v>4</v>
      </c>
      <c r="G398" s="3" t="s">
        <v>10</v>
      </c>
      <c r="H398" s="3" t="s">
        <v>66</v>
      </c>
      <c r="I398" s="3">
        <v>5</v>
      </c>
      <c r="J398" s="3" t="s">
        <v>12</v>
      </c>
      <c r="K398" s="18">
        <v>123</v>
      </c>
      <c r="L398" s="16">
        <v>151</v>
      </c>
      <c r="M398" s="6" t="str" cm="1">
        <f t="array" ref="M398">_xlfn.IFS(L398&lt;100,"Economy",L398&lt;200,"Standard",L398&lt;350,"Powerful",L398&lt;500,"High Performance",L398&lt;800,"Sports Performance",L398&gt;=800,"Super Performance")</f>
        <v>Standard</v>
      </c>
    </row>
    <row r="399" spans="1:13" x14ac:dyDescent="0.25">
      <c r="A399" s="5" t="s">
        <v>301</v>
      </c>
      <c r="B399" s="3" t="s">
        <v>538</v>
      </c>
      <c r="C399" s="3" t="s">
        <v>539</v>
      </c>
      <c r="D399" s="4">
        <v>535562</v>
      </c>
      <c r="E399" s="3">
        <v>1172</v>
      </c>
      <c r="F399" s="3">
        <v>4</v>
      </c>
      <c r="G399" s="3" t="s">
        <v>10</v>
      </c>
      <c r="H399" s="3" t="s">
        <v>11</v>
      </c>
      <c r="I399" s="3">
        <v>5</v>
      </c>
      <c r="J399" s="3" t="s">
        <v>12</v>
      </c>
      <c r="K399" s="18">
        <v>68</v>
      </c>
      <c r="L399" s="16">
        <v>96</v>
      </c>
      <c r="M399" s="6" t="str" cm="1">
        <f t="array" ref="M399">_xlfn.IFS(L399&lt;100,"Economy",L399&lt;200,"Standard",L399&lt;350,"Powerful",L399&lt;500,"High Performance",L399&lt;800,"Sports Performance",L399&gt;=800,"Super Performance")</f>
        <v>Economy</v>
      </c>
    </row>
    <row r="400" spans="1:13" x14ac:dyDescent="0.25">
      <c r="A400" s="5" t="s">
        <v>301</v>
      </c>
      <c r="B400" s="3" t="s">
        <v>538</v>
      </c>
      <c r="C400" s="3" t="s">
        <v>540</v>
      </c>
      <c r="D400" s="4">
        <v>631292</v>
      </c>
      <c r="E400" s="3">
        <v>1172</v>
      </c>
      <c r="F400" s="3">
        <v>4</v>
      </c>
      <c r="G400" s="3" t="s">
        <v>36</v>
      </c>
      <c r="H400" s="3" t="s">
        <v>11</v>
      </c>
      <c r="I400" s="3">
        <v>5</v>
      </c>
      <c r="J400" s="3" t="s">
        <v>12</v>
      </c>
      <c r="K400" s="18">
        <v>76</v>
      </c>
      <c r="L400" s="16">
        <v>197</v>
      </c>
      <c r="M400" s="6" t="str" cm="1">
        <f t="array" ref="M400">_xlfn.IFS(L400&lt;100,"Economy",L400&lt;200,"Standard",L400&lt;350,"Powerful",L400&lt;500,"High Performance",L400&lt;800,"Sports Performance",L400&gt;=800,"Super Performance")</f>
        <v>Standard</v>
      </c>
    </row>
    <row r="401" spans="1:13" x14ac:dyDescent="0.25">
      <c r="A401" s="5" t="s">
        <v>301</v>
      </c>
      <c r="B401" s="3" t="s">
        <v>538</v>
      </c>
      <c r="C401" s="3" t="s">
        <v>541</v>
      </c>
      <c r="D401" s="4">
        <v>692655</v>
      </c>
      <c r="E401" s="3">
        <v>1248</v>
      </c>
      <c r="F401" s="3">
        <v>4</v>
      </c>
      <c r="G401" s="3" t="s">
        <v>36</v>
      </c>
      <c r="H401" s="3" t="s">
        <v>11</v>
      </c>
      <c r="I401" s="3">
        <v>5</v>
      </c>
      <c r="J401" s="3" t="s">
        <v>12</v>
      </c>
      <c r="K401" s="18">
        <v>76</v>
      </c>
      <c r="L401" s="16">
        <v>197</v>
      </c>
      <c r="M401" s="6" t="str" cm="1">
        <f t="array" ref="M401">_xlfn.IFS(L401&lt;100,"Economy",L401&lt;200,"Standard",L401&lt;350,"Powerful",L401&lt;500,"High Performance",L401&lt;800,"Sports Performance",L401&gt;=800,"Super Performance")</f>
        <v>Standard</v>
      </c>
    </row>
    <row r="402" spans="1:13" x14ac:dyDescent="0.25">
      <c r="A402" s="5" t="s">
        <v>301</v>
      </c>
      <c r="B402" s="3" t="s">
        <v>538</v>
      </c>
      <c r="C402" s="3" t="s">
        <v>542</v>
      </c>
      <c r="D402" s="4">
        <v>747774</v>
      </c>
      <c r="E402" s="3">
        <v>1248</v>
      </c>
      <c r="F402" s="3">
        <v>4</v>
      </c>
      <c r="G402" s="3" t="s">
        <v>36</v>
      </c>
      <c r="H402" s="3" t="s">
        <v>11</v>
      </c>
      <c r="I402" s="3">
        <v>5</v>
      </c>
      <c r="J402" s="3" t="s">
        <v>12</v>
      </c>
      <c r="K402" s="18">
        <v>76</v>
      </c>
      <c r="L402" s="16">
        <v>197</v>
      </c>
      <c r="M402" s="6" t="str" cm="1">
        <f t="array" ref="M402">_xlfn.IFS(L402&lt;100,"Economy",L402&lt;200,"Standard",L402&lt;350,"Powerful",L402&lt;500,"High Performance",L402&lt;800,"Sports Performance",L402&gt;=800,"Super Performance")</f>
        <v>Standard</v>
      </c>
    </row>
    <row r="403" spans="1:13" x14ac:dyDescent="0.25">
      <c r="A403" s="5" t="s">
        <v>22</v>
      </c>
      <c r="B403" s="3" t="s">
        <v>344</v>
      </c>
      <c r="C403" s="3" t="s">
        <v>543</v>
      </c>
      <c r="D403" s="4">
        <v>296661</v>
      </c>
      <c r="E403" s="3">
        <v>624</v>
      </c>
      <c r="F403" s="3">
        <v>2</v>
      </c>
      <c r="G403" s="3" t="s">
        <v>15</v>
      </c>
      <c r="H403" s="3" t="s">
        <v>11</v>
      </c>
      <c r="I403" s="3">
        <v>4</v>
      </c>
      <c r="J403" s="3" t="s">
        <v>12</v>
      </c>
      <c r="K403" s="18">
        <v>38</v>
      </c>
      <c r="L403" s="16">
        <v>51</v>
      </c>
      <c r="M403" s="6" t="str" cm="1">
        <f t="array" ref="M403">_xlfn.IFS(L403&lt;100,"Economy",L403&lt;200,"Standard",L403&lt;350,"Powerful",L403&lt;500,"High Performance",L403&lt;800,"Sports Performance",L403&gt;=800,"Super Performance")</f>
        <v>Economy</v>
      </c>
    </row>
    <row r="404" spans="1:13" x14ac:dyDescent="0.25">
      <c r="A404" s="5" t="s">
        <v>350</v>
      </c>
      <c r="B404" s="3" t="s">
        <v>544</v>
      </c>
      <c r="C404" s="3" t="s">
        <v>545</v>
      </c>
      <c r="D404" s="4">
        <v>495000</v>
      </c>
      <c r="E404" s="3">
        <v>999</v>
      </c>
      <c r="F404" s="3">
        <v>3</v>
      </c>
      <c r="G404" s="3" t="s">
        <v>10</v>
      </c>
      <c r="H404" s="3" t="s">
        <v>242</v>
      </c>
      <c r="I404" s="3">
        <v>7</v>
      </c>
      <c r="J404" s="3" t="s">
        <v>12</v>
      </c>
      <c r="K404" s="18">
        <v>72</v>
      </c>
      <c r="L404" s="16">
        <v>96</v>
      </c>
      <c r="M404" s="6" t="str" cm="1">
        <f t="array" ref="M404">_xlfn.IFS(L404&lt;100,"Economy",L404&lt;200,"Standard",L404&lt;350,"Powerful",L404&lt;500,"High Performance",L404&lt;800,"Sports Performance",L404&gt;=800,"Super Performance")</f>
        <v>Economy</v>
      </c>
    </row>
    <row r="405" spans="1:13" x14ac:dyDescent="0.25">
      <c r="A405" s="5" t="s">
        <v>350</v>
      </c>
      <c r="B405" s="3" t="s">
        <v>544</v>
      </c>
      <c r="C405" s="3" t="s">
        <v>546</v>
      </c>
      <c r="D405" s="4">
        <v>559000</v>
      </c>
      <c r="E405" s="3">
        <v>999</v>
      </c>
      <c r="F405" s="3">
        <v>3</v>
      </c>
      <c r="G405" s="3" t="s">
        <v>10</v>
      </c>
      <c r="H405" s="3" t="s">
        <v>242</v>
      </c>
      <c r="I405" s="3">
        <v>7</v>
      </c>
      <c r="J405" s="3" t="s">
        <v>12</v>
      </c>
      <c r="K405" s="18">
        <v>72</v>
      </c>
      <c r="L405" s="16">
        <v>96</v>
      </c>
      <c r="M405" s="6" t="str" cm="1">
        <f t="array" ref="M405">_xlfn.IFS(L405&lt;100,"Economy",L405&lt;200,"Standard",L405&lt;350,"Powerful",L405&lt;500,"High Performance",L405&lt;800,"Sports Performance",L405&gt;=800,"Super Performance")</f>
        <v>Economy</v>
      </c>
    </row>
    <row r="406" spans="1:13" x14ac:dyDescent="0.25">
      <c r="A406" s="5" t="s">
        <v>350</v>
      </c>
      <c r="B406" s="3" t="s">
        <v>544</v>
      </c>
      <c r="C406" s="3" t="s">
        <v>547</v>
      </c>
      <c r="D406" s="4">
        <v>609000</v>
      </c>
      <c r="E406" s="3">
        <v>999</v>
      </c>
      <c r="F406" s="3">
        <v>3</v>
      </c>
      <c r="G406" s="3" t="s">
        <v>10</v>
      </c>
      <c r="H406" s="3" t="s">
        <v>242</v>
      </c>
      <c r="I406" s="3">
        <v>7</v>
      </c>
      <c r="J406" s="3" t="s">
        <v>12</v>
      </c>
      <c r="K406" s="18">
        <v>72</v>
      </c>
      <c r="L406" s="16">
        <v>96</v>
      </c>
      <c r="M406" s="6" t="str" cm="1">
        <f t="array" ref="M406">_xlfn.IFS(L406&lt;100,"Economy",L406&lt;200,"Standard",L406&lt;350,"Powerful",L406&lt;500,"High Performance",L406&lt;800,"Sports Performance",L406&gt;=800,"Super Performance")</f>
        <v>Economy</v>
      </c>
    </row>
    <row r="407" spans="1:13" x14ac:dyDescent="0.25">
      <c r="A407" s="5" t="s">
        <v>350</v>
      </c>
      <c r="B407" s="3" t="s">
        <v>544</v>
      </c>
      <c r="C407" s="3" t="s">
        <v>548</v>
      </c>
      <c r="D407" s="4">
        <v>663000</v>
      </c>
      <c r="E407" s="3">
        <v>999</v>
      </c>
      <c r="F407" s="3">
        <v>3</v>
      </c>
      <c r="G407" s="3" t="s">
        <v>10</v>
      </c>
      <c r="H407" s="3" t="s">
        <v>242</v>
      </c>
      <c r="I407" s="3">
        <v>7</v>
      </c>
      <c r="J407" s="3" t="s">
        <v>12</v>
      </c>
      <c r="K407" s="18">
        <v>72</v>
      </c>
      <c r="L407" s="16">
        <v>96</v>
      </c>
      <c r="M407" s="6" t="str" cm="1">
        <f t="array" ref="M407">_xlfn.IFS(L407&lt;100,"Economy",L407&lt;200,"Standard",L407&lt;350,"Powerful",L407&lt;500,"High Performance",L407&lt;800,"Sports Performance",L407&gt;=800,"Super Performance")</f>
        <v>Economy</v>
      </c>
    </row>
    <row r="408" spans="1:13" x14ac:dyDescent="0.25">
      <c r="A408" s="5" t="s">
        <v>160</v>
      </c>
      <c r="B408" s="3" t="s">
        <v>549</v>
      </c>
      <c r="C408" s="3" t="s">
        <v>550</v>
      </c>
      <c r="D408" s="4">
        <v>3153500</v>
      </c>
      <c r="E408" s="3">
        <v>1968</v>
      </c>
      <c r="F408" s="3">
        <v>4</v>
      </c>
      <c r="G408" s="3" t="s">
        <v>36</v>
      </c>
      <c r="H408" s="3" t="s">
        <v>66</v>
      </c>
      <c r="I408" s="3">
        <v>5</v>
      </c>
      <c r="J408" s="3" t="s">
        <v>30</v>
      </c>
      <c r="K408" s="18">
        <v>141</v>
      </c>
      <c r="L408" s="16">
        <v>340</v>
      </c>
      <c r="M408" s="6" t="str" cm="1">
        <f t="array" ref="M408">_xlfn.IFS(L408&lt;100,"Economy",L408&lt;200,"Standard",L408&lt;350,"Powerful",L408&lt;500,"High Performance",L408&lt;800,"Sports Performance",L408&gt;=800,"Super Performance")</f>
        <v>Powerful</v>
      </c>
    </row>
    <row r="409" spans="1:13" x14ac:dyDescent="0.25">
      <c r="A409" s="5" t="s">
        <v>131</v>
      </c>
      <c r="B409" s="3" t="s">
        <v>551</v>
      </c>
      <c r="C409" s="3" t="s">
        <v>552</v>
      </c>
      <c r="D409" s="4">
        <v>3067001</v>
      </c>
      <c r="E409" s="3">
        <v>1597</v>
      </c>
      <c r="F409" s="3">
        <v>0</v>
      </c>
      <c r="G409" s="3" t="s">
        <v>36</v>
      </c>
      <c r="H409" s="3" t="s">
        <v>66</v>
      </c>
      <c r="I409" s="3">
        <v>7</v>
      </c>
      <c r="J409" s="3" t="s">
        <v>30</v>
      </c>
      <c r="K409" s="18">
        <v>120</v>
      </c>
      <c r="L409" s="16">
        <v>300</v>
      </c>
      <c r="M409" s="6" t="str" cm="1">
        <f t="array" ref="M409">_xlfn.IFS(L409&lt;100,"Economy",L409&lt;200,"Standard",L409&lt;350,"Powerful",L409&lt;500,"High Performance",L409&lt;800,"Sports Performance",L409&gt;=800,"Super Performance")</f>
        <v>Powerful</v>
      </c>
    </row>
    <row r="410" spans="1:13" x14ac:dyDescent="0.25">
      <c r="A410" s="5" t="s">
        <v>131</v>
      </c>
      <c r="B410" s="3" t="s">
        <v>551</v>
      </c>
      <c r="C410" s="3" t="s">
        <v>553</v>
      </c>
      <c r="D410" s="4">
        <v>3277001</v>
      </c>
      <c r="E410" s="3">
        <v>1597</v>
      </c>
      <c r="F410" s="3">
        <v>0</v>
      </c>
      <c r="G410" s="3" t="s">
        <v>36</v>
      </c>
      <c r="H410" s="3" t="s">
        <v>66</v>
      </c>
      <c r="I410" s="3">
        <v>7</v>
      </c>
      <c r="J410" s="3" t="s">
        <v>30</v>
      </c>
      <c r="K410" s="18">
        <v>120</v>
      </c>
      <c r="L410" s="16">
        <v>300</v>
      </c>
      <c r="M410" s="6" t="str" cm="1">
        <f t="array" ref="M410">_xlfn.IFS(L410&lt;100,"Economy",L410&lt;200,"Standard",L410&lt;350,"Powerful",L410&lt;500,"High Performance",L410&lt;800,"Sports Performance",L410&gt;=800,"Super Performance")</f>
        <v>Powerful</v>
      </c>
    </row>
    <row r="411" spans="1:13" x14ac:dyDescent="0.25">
      <c r="A411" s="5" t="s">
        <v>280</v>
      </c>
      <c r="B411" s="3" t="s">
        <v>346</v>
      </c>
      <c r="C411" s="3" t="s">
        <v>473</v>
      </c>
      <c r="D411" s="4">
        <v>4498000</v>
      </c>
      <c r="E411" s="3">
        <v>1999</v>
      </c>
      <c r="F411" s="3">
        <v>4</v>
      </c>
      <c r="G411" s="3" t="s">
        <v>36</v>
      </c>
      <c r="H411" s="3" t="s">
        <v>27</v>
      </c>
      <c r="I411" s="3">
        <v>4</v>
      </c>
      <c r="J411" s="3" t="s">
        <v>30</v>
      </c>
      <c r="K411" s="18">
        <v>180</v>
      </c>
      <c r="L411" s="16">
        <v>430</v>
      </c>
      <c r="M411" s="6" t="str" cm="1">
        <f t="array" ref="M411">_xlfn.IFS(L411&lt;100,"Economy",L411&lt;200,"Standard",L411&lt;350,"Powerful",L411&lt;500,"High Performance",L411&lt;800,"Sports Performance",L411&gt;=800,"Super Performance")</f>
        <v>High Performance</v>
      </c>
    </row>
    <row r="412" spans="1:13" x14ac:dyDescent="0.25">
      <c r="A412" s="5" t="s">
        <v>280</v>
      </c>
      <c r="B412" s="3" t="s">
        <v>346</v>
      </c>
      <c r="C412" s="3" t="s">
        <v>554</v>
      </c>
      <c r="D412" s="4">
        <v>4633000</v>
      </c>
      <c r="E412" s="3">
        <v>1999</v>
      </c>
      <c r="F412" s="3">
        <v>4</v>
      </c>
      <c r="G412" s="3" t="s">
        <v>36</v>
      </c>
      <c r="H412" s="3" t="s">
        <v>27</v>
      </c>
      <c r="I412" s="3">
        <v>4</v>
      </c>
      <c r="J412" s="3" t="s">
        <v>30</v>
      </c>
      <c r="K412" s="18">
        <v>180</v>
      </c>
      <c r="L412" s="16">
        <v>430</v>
      </c>
      <c r="M412" s="6" t="str" cm="1">
        <f t="array" ref="M412">_xlfn.IFS(L412&lt;100,"Economy",L412&lt;200,"Standard",L412&lt;350,"Powerful",L412&lt;500,"High Performance",L412&lt;800,"Sports Performance",L412&gt;=800,"Super Performance")</f>
        <v>High Performance</v>
      </c>
    </row>
    <row r="413" spans="1:13" x14ac:dyDescent="0.25">
      <c r="A413" s="5" t="s">
        <v>287</v>
      </c>
      <c r="B413" s="3" t="s">
        <v>555</v>
      </c>
      <c r="C413" s="3" t="s">
        <v>323</v>
      </c>
      <c r="D413" s="4">
        <v>5706000</v>
      </c>
      <c r="E413" s="3">
        <v>1999</v>
      </c>
      <c r="F413" s="3">
        <v>4</v>
      </c>
      <c r="G413" s="3" t="s">
        <v>36</v>
      </c>
      <c r="H413" s="3" t="s">
        <v>66</v>
      </c>
      <c r="I413" s="3">
        <v>7</v>
      </c>
      <c r="J413" s="3" t="s">
        <v>30</v>
      </c>
      <c r="K413" s="18">
        <v>179</v>
      </c>
      <c r="L413" s="16">
        <v>430</v>
      </c>
      <c r="M413" s="6" t="str" cm="1">
        <f t="array" ref="M413">_xlfn.IFS(L413&lt;100,"Economy",L413&lt;200,"Standard",L413&lt;350,"Powerful",L413&lt;500,"High Performance",L413&lt;800,"Sports Performance",L413&gt;=800,"Super Performance")</f>
        <v>High Performance</v>
      </c>
    </row>
    <row r="414" spans="1:13" x14ac:dyDescent="0.25">
      <c r="A414" s="5" t="s">
        <v>287</v>
      </c>
      <c r="B414" s="3" t="s">
        <v>555</v>
      </c>
      <c r="C414" s="3" t="s">
        <v>556</v>
      </c>
      <c r="D414" s="4">
        <v>6089000</v>
      </c>
      <c r="E414" s="3">
        <v>1999</v>
      </c>
      <c r="F414" s="3">
        <v>4</v>
      </c>
      <c r="G414" s="3" t="s">
        <v>36</v>
      </c>
      <c r="H414" s="3" t="s">
        <v>66</v>
      </c>
      <c r="I414" s="3">
        <v>7</v>
      </c>
      <c r="J414" s="3" t="s">
        <v>30</v>
      </c>
      <c r="K414" s="18">
        <v>179</v>
      </c>
      <c r="L414" s="16">
        <v>430</v>
      </c>
      <c r="M414" s="6" t="str" cm="1">
        <f t="array" ref="M414">_xlfn.IFS(L414&lt;100,"Economy",L414&lt;200,"Standard",L414&lt;350,"Powerful",L414&lt;500,"High Performance",L414&lt;800,"Sports Performance",L414&gt;=800,"Super Performance")</f>
        <v>High Performance</v>
      </c>
    </row>
    <row r="415" spans="1:13" x14ac:dyDescent="0.25">
      <c r="A415" s="5" t="s">
        <v>68</v>
      </c>
      <c r="B415" s="3" t="s">
        <v>557</v>
      </c>
      <c r="C415" s="3" t="s">
        <v>212</v>
      </c>
      <c r="D415" s="4">
        <v>11141200</v>
      </c>
      <c r="E415" s="3">
        <v>2894</v>
      </c>
      <c r="F415" s="3">
        <v>8</v>
      </c>
      <c r="G415" s="3" t="s">
        <v>10</v>
      </c>
      <c r="H415" s="3" t="s">
        <v>212</v>
      </c>
      <c r="I415" s="3">
        <v>4</v>
      </c>
      <c r="J415" s="3" t="s">
        <v>30</v>
      </c>
      <c r="K415" s="18">
        <v>450</v>
      </c>
      <c r="L415" s="16">
        <v>600</v>
      </c>
      <c r="M415" s="6" t="str" cm="1">
        <f t="array" ref="M415">_xlfn.IFS(L415&lt;100,"Economy",L415&lt;200,"Standard",L415&lt;350,"Powerful",L415&lt;500,"High Performance",L415&lt;800,"Sports Performance",L415&gt;=800,"Super Performance")</f>
        <v>Sports Performance</v>
      </c>
    </row>
    <row r="416" spans="1:13" x14ac:dyDescent="0.25">
      <c r="A416" s="5" t="s">
        <v>78</v>
      </c>
      <c r="B416" s="3" t="s">
        <v>558</v>
      </c>
      <c r="C416" s="3" t="s">
        <v>559</v>
      </c>
      <c r="D416" s="4">
        <v>13510000</v>
      </c>
      <c r="E416" s="3">
        <v>2998</v>
      </c>
      <c r="F416" s="3">
        <v>6</v>
      </c>
      <c r="G416" s="3" t="s">
        <v>10</v>
      </c>
      <c r="H416" s="3" t="s">
        <v>27</v>
      </c>
      <c r="I416" s="3">
        <v>4</v>
      </c>
      <c r="J416" s="3" t="s">
        <v>30</v>
      </c>
      <c r="K416" s="18">
        <v>340</v>
      </c>
      <c r="L416" s="16">
        <v>450</v>
      </c>
      <c r="M416" s="6" t="str" cm="1">
        <f t="array" ref="M416">_xlfn.IFS(L416&lt;100,"Economy",L416&lt;200,"Standard",L416&lt;350,"Powerful",L416&lt;500,"High Performance",L416&lt;800,"Sports Performance",L416&gt;=800,"Super Performance")</f>
        <v>High Performance</v>
      </c>
    </row>
    <row r="417" spans="1:13" x14ac:dyDescent="0.25">
      <c r="A417" s="5" t="s">
        <v>78</v>
      </c>
      <c r="B417" s="3" t="s">
        <v>558</v>
      </c>
      <c r="C417" s="3" t="s">
        <v>560</v>
      </c>
      <c r="D417" s="4">
        <v>16500000</v>
      </c>
      <c r="E417" s="3">
        <v>2998</v>
      </c>
      <c r="F417" s="3">
        <v>6</v>
      </c>
      <c r="G417" s="3" t="s">
        <v>194</v>
      </c>
      <c r="H417" s="3" t="s">
        <v>27</v>
      </c>
      <c r="I417" s="3">
        <v>4</v>
      </c>
      <c r="J417" s="3" t="s">
        <v>30</v>
      </c>
      <c r="K417" s="18">
        <v>286</v>
      </c>
      <c r="L417" s="16">
        <v>450</v>
      </c>
      <c r="M417" s="6" t="str" cm="1">
        <f t="array" ref="M417">_xlfn.IFS(L417&lt;100,"Economy",L417&lt;200,"Standard",L417&lt;350,"Powerful",L417&lt;500,"High Performance",L417&lt;800,"Sports Performance",L417&gt;=800,"Super Performance")</f>
        <v>High Performance</v>
      </c>
    </row>
    <row r="418" spans="1:13" x14ac:dyDescent="0.25">
      <c r="A418" s="5" t="s">
        <v>78</v>
      </c>
      <c r="B418" s="3" t="s">
        <v>558</v>
      </c>
      <c r="C418" s="3" t="s">
        <v>561</v>
      </c>
      <c r="D418" s="4">
        <v>24250000</v>
      </c>
      <c r="E418" s="3">
        <v>6592</v>
      </c>
      <c r="F418" s="3">
        <v>12</v>
      </c>
      <c r="G418" s="3" t="s">
        <v>10</v>
      </c>
      <c r="H418" s="3" t="s">
        <v>27</v>
      </c>
      <c r="I418" s="3">
        <v>4</v>
      </c>
      <c r="J418" s="3" t="s">
        <v>30</v>
      </c>
      <c r="K418" s="18">
        <v>609</v>
      </c>
      <c r="L418" s="16">
        <v>850</v>
      </c>
      <c r="M418" s="6" t="str" cm="1">
        <f t="array" ref="M418">_xlfn.IFS(L418&lt;100,"Economy",L418&lt;200,"Standard",L418&lt;350,"Powerful",L418&lt;500,"High Performance",L418&lt;800,"Sports Performance",L418&gt;=800,"Super Performance")</f>
        <v>Super Performance</v>
      </c>
    </row>
    <row r="419" spans="1:13" x14ac:dyDescent="0.25">
      <c r="A419" s="5" t="s">
        <v>68</v>
      </c>
      <c r="B419" s="3" t="s">
        <v>562</v>
      </c>
      <c r="C419" s="3" t="s">
        <v>563</v>
      </c>
      <c r="D419" s="4">
        <v>13359500</v>
      </c>
      <c r="E419" s="3">
        <v>2995</v>
      </c>
      <c r="F419" s="3">
        <v>4</v>
      </c>
      <c r="G419" s="3" t="s">
        <v>10</v>
      </c>
      <c r="H419" s="3" t="s">
        <v>66</v>
      </c>
      <c r="I419" s="3">
        <v>7</v>
      </c>
      <c r="J419" s="3" t="s">
        <v>30</v>
      </c>
      <c r="K419" s="18">
        <v>340</v>
      </c>
      <c r="L419" s="16">
        <v>500</v>
      </c>
      <c r="M419" s="6" t="str" cm="1">
        <f t="array" ref="M419">_xlfn.IFS(L419&lt;100,"Economy",L419&lt;200,"Standard",L419&lt;350,"Powerful",L419&lt;500,"High Performance",L419&lt;800,"Sports Performance",L419&gt;=800,"Super Performance")</f>
        <v>Sports Performance</v>
      </c>
    </row>
    <row r="420" spans="1:13" x14ac:dyDescent="0.25">
      <c r="A420" s="5" t="s">
        <v>90</v>
      </c>
      <c r="B420" s="3" t="s">
        <v>564</v>
      </c>
      <c r="C420" s="3" t="s">
        <v>565</v>
      </c>
      <c r="D420" s="4">
        <v>21875136</v>
      </c>
      <c r="E420" s="3">
        <v>3982</v>
      </c>
      <c r="F420" s="3">
        <v>8</v>
      </c>
      <c r="G420" s="3" t="s">
        <v>10</v>
      </c>
      <c r="H420" s="3" t="s">
        <v>66</v>
      </c>
      <c r="I420" s="3">
        <v>7</v>
      </c>
      <c r="J420" s="3" t="s">
        <v>30</v>
      </c>
      <c r="K420" s="18">
        <v>585</v>
      </c>
      <c r="L420" s="16">
        <v>850</v>
      </c>
      <c r="M420" s="6" t="str" cm="1">
        <f t="array" ref="M420">_xlfn.IFS(L420&lt;100,"Economy",L420&lt;200,"Standard",L420&lt;350,"Powerful",L420&lt;500,"High Performance",L420&lt;800,"Sports Performance",L420&gt;=800,"Super Performance")</f>
        <v>Super Performance</v>
      </c>
    </row>
    <row r="421" spans="1:13" x14ac:dyDescent="0.25">
      <c r="A421" s="5" t="s">
        <v>90</v>
      </c>
      <c r="B421" s="3" t="s">
        <v>564</v>
      </c>
      <c r="C421" s="3" t="s">
        <v>566</v>
      </c>
      <c r="D421" s="4">
        <v>15000000</v>
      </c>
      <c r="E421" s="3">
        <v>2925</v>
      </c>
      <c r="F421" s="3">
        <v>6</v>
      </c>
      <c r="G421" s="3" t="s">
        <v>36</v>
      </c>
      <c r="H421" s="3" t="s">
        <v>66</v>
      </c>
      <c r="I421" s="3">
        <v>7</v>
      </c>
      <c r="J421" s="3" t="s">
        <v>30</v>
      </c>
      <c r="K421" s="18">
        <v>289</v>
      </c>
      <c r="L421" s="16">
        <v>600</v>
      </c>
      <c r="M421" s="6" t="str" cm="1">
        <f t="array" ref="M421">_xlfn.IFS(L421&lt;100,"Economy",L421&lt;200,"Standard",L421&lt;350,"Powerful",L421&lt;500,"High Performance",L421&lt;800,"Sports Performance",L421&gt;=800,"Super Performance")</f>
        <v>Sports Performance</v>
      </c>
    </row>
    <row r="422" spans="1:13" x14ac:dyDescent="0.25">
      <c r="A422" s="5" t="s">
        <v>202</v>
      </c>
      <c r="B422" s="3" t="s">
        <v>567</v>
      </c>
      <c r="C422" s="3" t="s">
        <v>568</v>
      </c>
      <c r="D422" s="4">
        <v>959860</v>
      </c>
      <c r="E422" s="3">
        <v>2498</v>
      </c>
      <c r="F422" s="3">
        <v>4</v>
      </c>
      <c r="G422" s="3" t="s">
        <v>36</v>
      </c>
      <c r="H422" s="3" t="s">
        <v>66</v>
      </c>
      <c r="I422" s="3">
        <v>6</v>
      </c>
      <c r="J422" s="3" t="s">
        <v>12</v>
      </c>
      <c r="K422" s="18">
        <v>105</v>
      </c>
      <c r="L422" s="16">
        <v>247</v>
      </c>
      <c r="M422" s="6" t="str" cm="1">
        <f t="array" ref="M422">_xlfn.IFS(L422&lt;100,"Economy",L422&lt;200,"Standard",L422&lt;350,"Powerful",L422&lt;500,"High Performance",L422&lt;800,"Sports Performance",L422&gt;=800,"Super Performance")</f>
        <v>Powerful</v>
      </c>
    </row>
    <row r="423" spans="1:13" x14ac:dyDescent="0.25">
      <c r="A423" s="5" t="s">
        <v>202</v>
      </c>
      <c r="B423" s="3" t="s">
        <v>567</v>
      </c>
      <c r="C423" s="3" t="s">
        <v>569</v>
      </c>
      <c r="D423" s="4">
        <v>999148</v>
      </c>
      <c r="E423" s="3">
        <v>2498</v>
      </c>
      <c r="F423" s="3">
        <v>4</v>
      </c>
      <c r="G423" s="3" t="s">
        <v>36</v>
      </c>
      <c r="H423" s="3" t="s">
        <v>66</v>
      </c>
      <c r="I423" s="3">
        <v>6</v>
      </c>
      <c r="J423" s="3" t="s">
        <v>12</v>
      </c>
      <c r="K423" s="18">
        <v>105</v>
      </c>
      <c r="L423" s="16">
        <v>247</v>
      </c>
      <c r="M423" s="6" t="str" cm="1">
        <f t="array" ref="M423">_xlfn.IFS(L423&lt;100,"Economy",L423&lt;200,"Standard",L423&lt;350,"Powerful",L423&lt;500,"High Performance",L423&lt;800,"Sports Performance",L423&gt;=800,"Super Performance")</f>
        <v>Powerful</v>
      </c>
    </row>
    <row r="424" spans="1:13" x14ac:dyDescent="0.25">
      <c r="A424" s="5" t="s">
        <v>202</v>
      </c>
      <c r="B424" s="3" t="s">
        <v>567</v>
      </c>
      <c r="C424" s="3" t="s">
        <v>570</v>
      </c>
      <c r="D424" s="4">
        <v>974860</v>
      </c>
      <c r="E424" s="3">
        <v>2498</v>
      </c>
      <c r="F424" s="3">
        <v>4</v>
      </c>
      <c r="G424" s="3" t="s">
        <v>36</v>
      </c>
      <c r="H424" s="3" t="s">
        <v>66</v>
      </c>
      <c r="I424" s="3">
        <v>6</v>
      </c>
      <c r="J424" s="3" t="s">
        <v>12</v>
      </c>
      <c r="K424" s="18">
        <v>105</v>
      </c>
      <c r="L424" s="16">
        <v>247</v>
      </c>
      <c r="M424" s="6" t="str" cm="1">
        <f t="array" ref="M424">_xlfn.IFS(L424&lt;100,"Economy",L424&lt;200,"Standard",L424&lt;350,"Powerful",L424&lt;500,"High Performance",L424&lt;800,"Sports Performance",L424&gt;=800,"Super Performance")</f>
        <v>Powerful</v>
      </c>
    </row>
    <row r="425" spans="1:13" x14ac:dyDescent="0.25">
      <c r="A425" s="5" t="s">
        <v>202</v>
      </c>
      <c r="B425" s="3" t="s">
        <v>413</v>
      </c>
      <c r="C425" s="3" t="s">
        <v>571</v>
      </c>
      <c r="D425" s="4">
        <v>1610180</v>
      </c>
      <c r="E425" s="3">
        <v>2179</v>
      </c>
      <c r="F425" s="3">
        <v>4</v>
      </c>
      <c r="G425" s="3" t="s">
        <v>10</v>
      </c>
      <c r="H425" s="3" t="s">
        <v>66</v>
      </c>
      <c r="I425" s="3">
        <v>7</v>
      </c>
      <c r="J425" s="3" t="s">
        <v>30</v>
      </c>
      <c r="K425" s="18">
        <v>140</v>
      </c>
      <c r="L425" s="16">
        <v>320</v>
      </c>
      <c r="M425" s="6" t="str" cm="1">
        <f t="array" ref="M425">_xlfn.IFS(L425&lt;100,"Economy",L425&lt;200,"Standard",L425&lt;350,"Powerful",L425&lt;500,"High Performance",L425&lt;800,"Sports Performance",L425&gt;=800,"Super Performance")</f>
        <v>Powerful</v>
      </c>
    </row>
    <row r="426" spans="1:13" x14ac:dyDescent="0.25">
      <c r="A426" s="5" t="s">
        <v>572</v>
      </c>
      <c r="B426" s="3" t="s">
        <v>573</v>
      </c>
      <c r="C426" s="3" t="s">
        <v>574</v>
      </c>
      <c r="D426" s="4">
        <v>3399000</v>
      </c>
      <c r="E426" s="3">
        <v>1968</v>
      </c>
      <c r="F426" s="3">
        <v>4</v>
      </c>
      <c r="G426" s="3" t="s">
        <v>36</v>
      </c>
      <c r="H426" s="3" t="s">
        <v>66</v>
      </c>
      <c r="I426" s="3">
        <v>7</v>
      </c>
      <c r="J426" s="3" t="s">
        <v>30</v>
      </c>
      <c r="K426" s="18">
        <v>148</v>
      </c>
      <c r="L426" s="16">
        <v>340</v>
      </c>
      <c r="M426" s="6" t="str" cm="1">
        <f t="array" ref="M426">_xlfn.IFS(L426&lt;100,"Economy",L426&lt;200,"Standard",L426&lt;350,"Powerful",L426&lt;500,"High Performance",L426&lt;800,"Sports Performance",L426&gt;=800,"Super Performance")</f>
        <v>Powerful</v>
      </c>
    </row>
    <row r="427" spans="1:13" x14ac:dyDescent="0.25">
      <c r="A427" s="5" t="s">
        <v>68</v>
      </c>
      <c r="B427" s="3" t="s">
        <v>575</v>
      </c>
      <c r="C427" s="3" t="s">
        <v>576</v>
      </c>
      <c r="D427" s="4">
        <v>6921500</v>
      </c>
      <c r="E427" s="3">
        <v>1984</v>
      </c>
      <c r="F427" s="3">
        <v>6</v>
      </c>
      <c r="G427" s="3" t="s">
        <v>10</v>
      </c>
      <c r="H427" s="3" t="s">
        <v>66</v>
      </c>
      <c r="I427" s="3">
        <v>7</v>
      </c>
      <c r="J427" s="3" t="s">
        <v>30</v>
      </c>
      <c r="K427" s="18">
        <v>252</v>
      </c>
      <c r="L427" s="16">
        <v>370</v>
      </c>
      <c r="M427" s="6" t="str" cm="1">
        <f t="array" ref="M427">_xlfn.IFS(L427&lt;100,"Economy",L427&lt;200,"Standard",L427&lt;350,"Powerful",L427&lt;500,"High Performance",L427&lt;800,"Sports Performance",L427&gt;=800,"Super Performance")</f>
        <v>High Performance</v>
      </c>
    </row>
    <row r="428" spans="1:13" x14ac:dyDescent="0.25">
      <c r="A428" s="5" t="s">
        <v>68</v>
      </c>
      <c r="B428" s="3" t="s">
        <v>575</v>
      </c>
      <c r="C428" s="3" t="s">
        <v>577</v>
      </c>
      <c r="D428" s="4">
        <v>7621500</v>
      </c>
      <c r="E428" s="3">
        <v>1984</v>
      </c>
      <c r="F428" s="3">
        <v>6</v>
      </c>
      <c r="G428" s="3" t="s">
        <v>10</v>
      </c>
      <c r="H428" s="3" t="s">
        <v>66</v>
      </c>
      <c r="I428" s="3">
        <v>7</v>
      </c>
      <c r="J428" s="3" t="s">
        <v>30</v>
      </c>
      <c r="K428" s="18">
        <v>252</v>
      </c>
      <c r="L428" s="16">
        <v>370</v>
      </c>
      <c r="M428" s="6" t="str" cm="1">
        <f t="array" ref="M428">_xlfn.IFS(L428&lt;100,"Economy",L428&lt;200,"Standard",L428&lt;350,"Powerful",L428&lt;500,"High Performance",L428&lt;800,"Sports Performance",L428&gt;=800,"Super Performance")</f>
        <v>High Performance</v>
      </c>
    </row>
    <row r="429" spans="1:13" x14ac:dyDescent="0.25">
      <c r="A429" s="5" t="s">
        <v>68</v>
      </c>
      <c r="B429" s="3" t="s">
        <v>575</v>
      </c>
      <c r="C429" s="3" t="s">
        <v>578</v>
      </c>
      <c r="D429" s="4">
        <v>7711500</v>
      </c>
      <c r="E429" s="3">
        <v>1984</v>
      </c>
      <c r="F429" s="3">
        <v>6</v>
      </c>
      <c r="G429" s="3" t="s">
        <v>10</v>
      </c>
      <c r="H429" s="3" t="s">
        <v>66</v>
      </c>
      <c r="I429" s="3">
        <v>7</v>
      </c>
      <c r="J429" s="3" t="s">
        <v>30</v>
      </c>
      <c r="K429" s="18">
        <v>252</v>
      </c>
      <c r="L429" s="16">
        <v>370</v>
      </c>
      <c r="M429" s="6" t="str" cm="1">
        <f t="array" ref="M429">_xlfn.IFS(L429&lt;100,"Economy",L429&lt;200,"Standard",L429&lt;350,"Powerful",L429&lt;500,"High Performance",L429&lt;800,"Sports Performance",L429&gt;=800,"Super Performance")</f>
        <v>High Performance</v>
      </c>
    </row>
    <row r="430" spans="1:13" x14ac:dyDescent="0.25">
      <c r="A430" s="5" t="s">
        <v>382</v>
      </c>
      <c r="B430" s="3" t="s">
        <v>441</v>
      </c>
      <c r="C430" s="3" t="s">
        <v>579</v>
      </c>
      <c r="D430" s="4">
        <v>9665000</v>
      </c>
      <c r="E430" s="3">
        <v>1969</v>
      </c>
      <c r="F430" s="3">
        <v>4</v>
      </c>
      <c r="G430" s="3" t="s">
        <v>194</v>
      </c>
      <c r="H430" s="3" t="s">
        <v>66</v>
      </c>
      <c r="I430" s="3">
        <v>7</v>
      </c>
      <c r="J430" s="3" t="s">
        <v>30</v>
      </c>
      <c r="K430" s="18">
        <v>320</v>
      </c>
      <c r="L430" s="16">
        <v>240</v>
      </c>
      <c r="M430" s="6" t="str" cm="1">
        <f t="array" ref="M430">_xlfn.IFS(L430&lt;100,"Economy",L430&lt;200,"Standard",L430&lt;350,"Powerful",L430&lt;500,"High Performance",L430&lt;800,"Sports Performance",L430&gt;=800,"Super Performance")</f>
        <v>Powerful</v>
      </c>
    </row>
    <row r="431" spans="1:13" x14ac:dyDescent="0.25">
      <c r="A431" s="5" t="s">
        <v>146</v>
      </c>
      <c r="B431" s="3" t="s">
        <v>147</v>
      </c>
      <c r="C431" s="3" t="s">
        <v>580</v>
      </c>
      <c r="D431" s="4">
        <v>8670586</v>
      </c>
      <c r="E431" s="3">
        <v>1997</v>
      </c>
      <c r="F431" s="3">
        <v>8</v>
      </c>
      <c r="G431" s="3" t="s">
        <v>10</v>
      </c>
      <c r="H431" s="3" t="s">
        <v>66</v>
      </c>
      <c r="I431" s="3">
        <v>7</v>
      </c>
      <c r="J431" s="3" t="s">
        <v>30</v>
      </c>
      <c r="K431" s="18">
        <v>296</v>
      </c>
      <c r="L431" s="16">
        <v>400</v>
      </c>
      <c r="M431" s="6" t="str" cm="1">
        <f t="array" ref="M431">_xlfn.IFS(L431&lt;100,"Economy",L431&lt;200,"Standard",L431&lt;350,"Powerful",L431&lt;500,"High Performance",L431&lt;800,"Sports Performance",L431&gt;=800,"Super Performance")</f>
        <v>High Performance</v>
      </c>
    </row>
    <row r="432" spans="1:13" x14ac:dyDescent="0.25">
      <c r="A432" s="5" t="s">
        <v>146</v>
      </c>
      <c r="B432" s="3" t="s">
        <v>147</v>
      </c>
      <c r="C432" s="3" t="s">
        <v>581</v>
      </c>
      <c r="D432" s="4">
        <v>9448181</v>
      </c>
      <c r="E432" s="3">
        <v>1997</v>
      </c>
      <c r="F432" s="3">
        <v>8</v>
      </c>
      <c r="G432" s="3" t="s">
        <v>10</v>
      </c>
      <c r="H432" s="3" t="s">
        <v>66</v>
      </c>
      <c r="I432" s="3">
        <v>7</v>
      </c>
      <c r="J432" s="3" t="s">
        <v>30</v>
      </c>
      <c r="K432" s="18">
        <v>296</v>
      </c>
      <c r="L432" s="16">
        <v>400</v>
      </c>
      <c r="M432" s="6" t="str" cm="1">
        <f t="array" ref="M432">_xlfn.IFS(L432&lt;100,"Economy",L432&lt;200,"Standard",L432&lt;350,"Powerful",L432&lt;500,"High Performance",L432&lt;800,"Sports Performance",L432&gt;=800,"Super Performance")</f>
        <v>High Performance</v>
      </c>
    </row>
    <row r="433" spans="1:13" x14ac:dyDescent="0.25">
      <c r="A433" s="5" t="s">
        <v>146</v>
      </c>
      <c r="B433" s="3" t="s">
        <v>147</v>
      </c>
      <c r="C433" s="3" t="s">
        <v>582</v>
      </c>
      <c r="D433" s="4">
        <v>11476911</v>
      </c>
      <c r="E433" s="3">
        <v>2995</v>
      </c>
      <c r="F433" s="3">
        <v>6</v>
      </c>
      <c r="G433" s="3" t="s">
        <v>10</v>
      </c>
      <c r="H433" s="3" t="s">
        <v>66</v>
      </c>
      <c r="I433" s="3">
        <v>7</v>
      </c>
      <c r="J433" s="3" t="s">
        <v>30</v>
      </c>
      <c r="K433" s="18">
        <v>335</v>
      </c>
      <c r="L433" s="16">
        <v>450</v>
      </c>
      <c r="M433" s="6" t="str" cm="1">
        <f t="array" ref="M433">_xlfn.IFS(L433&lt;100,"Economy",L433&lt;200,"Standard",L433&lt;350,"Powerful",L433&lt;500,"High Performance",L433&lt;800,"Sports Performance",L433&gt;=800,"Super Performance")</f>
        <v>High Performance</v>
      </c>
    </row>
    <row r="434" spans="1:13" x14ac:dyDescent="0.25">
      <c r="A434" s="5" t="s">
        <v>146</v>
      </c>
      <c r="B434" s="3" t="s">
        <v>147</v>
      </c>
      <c r="C434" s="3" t="s">
        <v>583</v>
      </c>
      <c r="D434" s="4">
        <v>15600000</v>
      </c>
      <c r="E434" s="3">
        <v>1997</v>
      </c>
      <c r="F434" s="3">
        <v>8</v>
      </c>
      <c r="G434" s="3" t="s">
        <v>10</v>
      </c>
      <c r="H434" s="3" t="s">
        <v>66</v>
      </c>
      <c r="I434" s="3">
        <v>7</v>
      </c>
      <c r="J434" s="3" t="s">
        <v>30</v>
      </c>
      <c r="K434" s="18">
        <v>296</v>
      </c>
      <c r="L434" s="16">
        <v>400</v>
      </c>
      <c r="M434" s="6" t="str" cm="1">
        <f t="array" ref="M434">_xlfn.IFS(L434&lt;100,"Economy",L434&lt;200,"Standard",L434&lt;350,"Powerful",L434&lt;500,"High Performance",L434&lt;800,"Sports Performance",L434&gt;=800,"Super Performance")</f>
        <v>High Performance</v>
      </c>
    </row>
    <row r="435" spans="1:13" x14ac:dyDescent="0.25">
      <c r="A435" s="5" t="s">
        <v>146</v>
      </c>
      <c r="B435" s="3" t="s">
        <v>147</v>
      </c>
      <c r="C435" s="3" t="s">
        <v>584</v>
      </c>
      <c r="D435" s="4">
        <v>13228725</v>
      </c>
      <c r="E435" s="3">
        <v>2995</v>
      </c>
      <c r="F435" s="3">
        <v>6</v>
      </c>
      <c r="G435" s="3" t="s">
        <v>10</v>
      </c>
      <c r="H435" s="3" t="s">
        <v>66</v>
      </c>
      <c r="I435" s="3">
        <v>7</v>
      </c>
      <c r="J435" s="3" t="s">
        <v>30</v>
      </c>
      <c r="K435" s="18">
        <v>335</v>
      </c>
      <c r="L435" s="16">
        <v>450</v>
      </c>
      <c r="M435" s="6" t="str" cm="1">
        <f t="array" ref="M435">_xlfn.IFS(L435&lt;100,"Economy",L435&lt;200,"Standard",L435&lt;350,"Powerful",L435&lt;500,"High Performance",L435&lt;800,"Sports Performance",L435&gt;=800,"Super Performance")</f>
        <v>High Performance</v>
      </c>
    </row>
    <row r="436" spans="1:13" x14ac:dyDescent="0.25">
      <c r="A436" s="5" t="s">
        <v>146</v>
      </c>
      <c r="B436" s="3" t="s">
        <v>585</v>
      </c>
      <c r="C436" s="3" t="s">
        <v>586</v>
      </c>
      <c r="D436" s="4">
        <v>19527130</v>
      </c>
      <c r="E436" s="3">
        <v>2993</v>
      </c>
      <c r="F436" s="3">
        <v>6</v>
      </c>
      <c r="G436" s="3" t="s">
        <v>36</v>
      </c>
      <c r="H436" s="3" t="s">
        <v>66</v>
      </c>
      <c r="I436" s="3">
        <v>7</v>
      </c>
      <c r="J436" s="3" t="s">
        <v>30</v>
      </c>
      <c r="K436" s="18">
        <v>254</v>
      </c>
      <c r="L436" s="16">
        <v>600</v>
      </c>
      <c r="M436" s="6" t="str" cm="1">
        <f t="array" ref="M436">_xlfn.IFS(L436&lt;100,"Economy",L436&lt;200,"Standard",L436&lt;350,"Powerful",L436&lt;500,"High Performance",L436&lt;800,"Sports Performance",L436&gt;=800,"Super Performance")</f>
        <v>Sports Performance</v>
      </c>
    </row>
    <row r="437" spans="1:13" x14ac:dyDescent="0.25">
      <c r="A437" s="5" t="s">
        <v>146</v>
      </c>
      <c r="B437" s="3" t="s">
        <v>585</v>
      </c>
      <c r="C437" s="3" t="s">
        <v>587</v>
      </c>
      <c r="D437" s="4">
        <v>25174051</v>
      </c>
      <c r="E437" s="3">
        <v>4367</v>
      </c>
      <c r="F437" s="3">
        <v>8</v>
      </c>
      <c r="G437" s="3" t="s">
        <v>36</v>
      </c>
      <c r="H437" s="3" t="s">
        <v>66</v>
      </c>
      <c r="I437" s="3">
        <v>7</v>
      </c>
      <c r="J437" s="3" t="s">
        <v>30</v>
      </c>
      <c r="K437" s="18">
        <v>335</v>
      </c>
      <c r="L437" s="16">
        <v>740</v>
      </c>
      <c r="M437" s="6" t="str" cm="1">
        <f t="array" ref="M437">_xlfn.IFS(L437&lt;100,"Economy",L437&lt;200,"Standard",L437&lt;350,"Powerful",L437&lt;500,"High Performance",L437&lt;800,"Sports Performance",L437&gt;=800,"Super Performance")</f>
        <v>Sports Performance</v>
      </c>
    </row>
    <row r="438" spans="1:13" x14ac:dyDescent="0.25">
      <c r="A438" s="5" t="s">
        <v>146</v>
      </c>
      <c r="B438" s="3" t="s">
        <v>585</v>
      </c>
      <c r="C438" s="3" t="s">
        <v>588</v>
      </c>
      <c r="D438" s="4">
        <v>23675691</v>
      </c>
      <c r="E438" s="3">
        <v>4367</v>
      </c>
      <c r="F438" s="3">
        <v>8</v>
      </c>
      <c r="G438" s="3" t="s">
        <v>36</v>
      </c>
      <c r="H438" s="3" t="s">
        <v>66</v>
      </c>
      <c r="I438" s="3">
        <v>7</v>
      </c>
      <c r="J438" s="3" t="s">
        <v>30</v>
      </c>
      <c r="K438" s="18">
        <v>335</v>
      </c>
      <c r="L438" s="16">
        <v>740</v>
      </c>
      <c r="M438" s="6" t="str" cm="1">
        <f t="array" ref="M438">_xlfn.IFS(L438&lt;100,"Economy",L438&lt;200,"Standard",L438&lt;350,"Powerful",L438&lt;500,"High Performance",L438&lt;800,"Sports Performance",L438&gt;=800,"Super Performance")</f>
        <v>Sports Performance</v>
      </c>
    </row>
    <row r="439" spans="1:13" x14ac:dyDescent="0.25">
      <c r="A439" s="5" t="s">
        <v>93</v>
      </c>
      <c r="B439" s="3" t="s">
        <v>263</v>
      </c>
      <c r="C439" s="3" t="s">
        <v>97</v>
      </c>
      <c r="D439" s="4">
        <v>759000</v>
      </c>
      <c r="E439" s="3">
        <v>1462</v>
      </c>
      <c r="F439" s="3">
        <v>4</v>
      </c>
      <c r="G439" s="3" t="s">
        <v>10</v>
      </c>
      <c r="H439" s="3" t="s">
        <v>226</v>
      </c>
      <c r="I439" s="3">
        <v>7</v>
      </c>
      <c r="J439" s="3" t="s">
        <v>12</v>
      </c>
      <c r="K439" s="18">
        <v>103</v>
      </c>
      <c r="L439" s="16">
        <v>138</v>
      </c>
      <c r="M439" s="6" t="str" cm="1">
        <f t="array" ref="M439">_xlfn.IFS(L439&lt;100,"Economy",L439&lt;200,"Standard",L439&lt;350,"Powerful",L439&lt;500,"High Performance",L439&lt;800,"Sports Performance",L439&gt;=800,"Super Performance")</f>
        <v>Standard</v>
      </c>
    </row>
    <row r="440" spans="1:13" x14ac:dyDescent="0.25">
      <c r="A440" s="5" t="s">
        <v>589</v>
      </c>
      <c r="B440" s="3" t="s">
        <v>590</v>
      </c>
      <c r="C440" s="3" t="s">
        <v>591</v>
      </c>
      <c r="D440" s="4">
        <v>2693000</v>
      </c>
      <c r="E440" s="3">
        <v>2360</v>
      </c>
      <c r="F440" s="3">
        <v>4</v>
      </c>
      <c r="G440" s="3" t="s">
        <v>10</v>
      </c>
      <c r="H440" s="3" t="s">
        <v>66</v>
      </c>
      <c r="I440" s="3">
        <v>7</v>
      </c>
      <c r="J440" s="3" t="s">
        <v>30</v>
      </c>
      <c r="K440" s="18">
        <v>167</v>
      </c>
      <c r="L440" s="16">
        <v>222</v>
      </c>
      <c r="M440" s="6" t="str" cm="1">
        <f t="array" ref="M440">_xlfn.IFS(L440&lt;100,"Economy",L440&lt;200,"Standard",L440&lt;350,"Powerful",L440&lt;500,"High Performance",L440&lt;800,"Sports Performance",L440&gt;=800,"Super Performance")</f>
        <v>Powerful</v>
      </c>
    </row>
    <row r="441" spans="1:13" x14ac:dyDescent="0.25">
      <c r="A441" s="5" t="s">
        <v>78</v>
      </c>
      <c r="B441" s="3" t="s">
        <v>592</v>
      </c>
      <c r="C441" s="3" t="s">
        <v>593</v>
      </c>
      <c r="D441" s="4">
        <v>6890000</v>
      </c>
      <c r="E441" s="3">
        <v>2993</v>
      </c>
      <c r="F441" s="3">
        <v>6</v>
      </c>
      <c r="G441" s="3" t="s">
        <v>36</v>
      </c>
      <c r="H441" s="3" t="s">
        <v>27</v>
      </c>
      <c r="I441" s="3">
        <v>4</v>
      </c>
      <c r="J441" s="3" t="s">
        <v>30</v>
      </c>
      <c r="K441" s="18">
        <v>265</v>
      </c>
      <c r="L441" s="16">
        <v>620</v>
      </c>
      <c r="M441" s="6" t="str" cm="1">
        <f t="array" ref="M441">_xlfn.IFS(L441&lt;100,"Economy",L441&lt;200,"Standard",L441&lt;350,"Powerful",L441&lt;500,"High Performance",L441&lt;800,"Sports Performance",L441&gt;=800,"Super Performance")</f>
        <v>Sports Performance</v>
      </c>
    </row>
    <row r="442" spans="1:13" x14ac:dyDescent="0.25">
      <c r="A442" s="5" t="s">
        <v>78</v>
      </c>
      <c r="B442" s="3" t="s">
        <v>592</v>
      </c>
      <c r="C442" s="3" t="s">
        <v>594</v>
      </c>
      <c r="D442" s="4">
        <v>7450000</v>
      </c>
      <c r="E442" s="3">
        <v>2993</v>
      </c>
      <c r="F442" s="3">
        <v>6</v>
      </c>
      <c r="G442" s="3" t="s">
        <v>36</v>
      </c>
      <c r="H442" s="3" t="s">
        <v>27</v>
      </c>
      <c r="I442" s="3">
        <v>4</v>
      </c>
      <c r="J442" s="3" t="s">
        <v>30</v>
      </c>
      <c r="K442" s="18">
        <v>265</v>
      </c>
      <c r="L442" s="16">
        <v>620</v>
      </c>
      <c r="M442" s="6" t="str" cm="1">
        <f t="array" ref="M442">_xlfn.IFS(L442&lt;100,"Economy",L442&lt;200,"Standard",L442&lt;350,"Powerful",L442&lt;500,"High Performance",L442&lt;800,"Sports Performance",L442&gt;=800,"Super Performance")</f>
        <v>Sports Performance</v>
      </c>
    </row>
    <row r="443" spans="1:13" x14ac:dyDescent="0.25">
      <c r="A443" s="5" t="s">
        <v>78</v>
      </c>
      <c r="B443" s="3" t="s">
        <v>592</v>
      </c>
      <c r="C443" s="3" t="s">
        <v>595</v>
      </c>
      <c r="D443" s="4">
        <v>6440000</v>
      </c>
      <c r="E443" s="3">
        <v>1995</v>
      </c>
      <c r="F443" s="3">
        <v>4</v>
      </c>
      <c r="G443" s="3" t="s">
        <v>36</v>
      </c>
      <c r="H443" s="3" t="s">
        <v>27</v>
      </c>
      <c r="I443" s="3">
        <v>4</v>
      </c>
      <c r="J443" s="3" t="s">
        <v>30</v>
      </c>
      <c r="K443" s="18">
        <v>188</v>
      </c>
      <c r="L443" s="16">
        <v>400</v>
      </c>
      <c r="M443" s="6" t="str" cm="1">
        <f t="array" ref="M443">_xlfn.IFS(L443&lt;100,"Economy",L443&lt;200,"Standard",L443&lt;350,"Powerful",L443&lt;500,"High Performance",L443&lt;800,"Sports Performance",L443&gt;=800,"Super Performance")</f>
        <v>High Performance</v>
      </c>
    </row>
    <row r="444" spans="1:13" x14ac:dyDescent="0.25">
      <c r="A444" s="5" t="s">
        <v>280</v>
      </c>
      <c r="B444" s="3" t="s">
        <v>281</v>
      </c>
      <c r="C444" s="3" t="s">
        <v>596</v>
      </c>
      <c r="D444" s="4">
        <v>10144987</v>
      </c>
      <c r="E444" s="3">
        <v>1997</v>
      </c>
      <c r="F444" s="3">
        <v>6</v>
      </c>
      <c r="G444" s="3" t="s">
        <v>10</v>
      </c>
      <c r="H444" s="3" t="s">
        <v>206</v>
      </c>
      <c r="I444" s="3">
        <v>2</v>
      </c>
      <c r="J444" s="3" t="s">
        <v>30</v>
      </c>
      <c r="K444" s="18">
        <v>297</v>
      </c>
      <c r="L444" s="16">
        <v>400</v>
      </c>
      <c r="M444" s="6" t="str" cm="1">
        <f t="array" ref="M444">_xlfn.IFS(L444&lt;100,"Economy",L444&lt;200,"Standard",L444&lt;350,"Powerful",L444&lt;500,"High Performance",L444&lt;800,"Sports Performance",L444&gt;=800,"Super Performance")</f>
        <v>High Performance</v>
      </c>
    </row>
    <row r="445" spans="1:13" x14ac:dyDescent="0.25">
      <c r="A445" s="5" t="s">
        <v>280</v>
      </c>
      <c r="B445" s="3" t="s">
        <v>281</v>
      </c>
      <c r="C445" s="3" t="s">
        <v>597</v>
      </c>
      <c r="D445" s="4">
        <v>10419200</v>
      </c>
      <c r="E445" s="3">
        <v>1997</v>
      </c>
      <c r="F445" s="3">
        <v>8</v>
      </c>
      <c r="G445" s="3" t="s">
        <v>10</v>
      </c>
      <c r="H445" s="3" t="s">
        <v>206</v>
      </c>
      <c r="I445" s="3">
        <v>2</v>
      </c>
      <c r="J445" s="3" t="s">
        <v>30</v>
      </c>
      <c r="K445" s="18">
        <v>297</v>
      </c>
      <c r="L445" s="16">
        <v>400</v>
      </c>
      <c r="M445" s="6" t="str" cm="1">
        <f t="array" ref="M445">_xlfn.IFS(L445&lt;100,"Economy",L445&lt;200,"Standard",L445&lt;350,"Powerful",L445&lt;500,"High Performance",L445&lt;800,"Sports Performance",L445&gt;=800,"Super Performance")</f>
        <v>High Performance</v>
      </c>
    </row>
    <row r="446" spans="1:13" x14ac:dyDescent="0.25">
      <c r="A446" s="5" t="s">
        <v>280</v>
      </c>
      <c r="B446" s="3" t="s">
        <v>281</v>
      </c>
      <c r="C446" s="3" t="s">
        <v>598</v>
      </c>
      <c r="D446" s="4">
        <v>9366433</v>
      </c>
      <c r="E446" s="3">
        <v>1997</v>
      </c>
      <c r="F446" s="3">
        <v>4</v>
      </c>
      <c r="G446" s="3" t="s">
        <v>10</v>
      </c>
      <c r="H446" s="3" t="s">
        <v>212</v>
      </c>
      <c r="I446" s="3">
        <v>2</v>
      </c>
      <c r="J446" s="3" t="s">
        <v>30</v>
      </c>
      <c r="K446" s="18">
        <v>297</v>
      </c>
      <c r="L446" s="16">
        <v>400</v>
      </c>
      <c r="M446" s="6" t="str" cm="1">
        <f t="array" ref="M446">_xlfn.IFS(L446&lt;100,"Economy",L446&lt;200,"Standard",L446&lt;350,"Powerful",L446&lt;500,"High Performance",L446&lt;800,"Sports Performance",L446&gt;=800,"Super Performance")</f>
        <v>High Performance</v>
      </c>
    </row>
    <row r="447" spans="1:13" x14ac:dyDescent="0.25">
      <c r="A447" s="5" t="s">
        <v>22</v>
      </c>
      <c r="B447" s="3" t="s">
        <v>599</v>
      </c>
      <c r="C447" s="3" t="s">
        <v>600</v>
      </c>
      <c r="D447" s="4">
        <v>1205000</v>
      </c>
      <c r="E447" s="3">
        <v>2200</v>
      </c>
      <c r="F447" s="3">
        <v>4</v>
      </c>
      <c r="G447" s="3" t="s">
        <v>36</v>
      </c>
      <c r="H447" s="3" t="s">
        <v>242</v>
      </c>
      <c r="I447" s="3">
        <v>16</v>
      </c>
      <c r="J447" s="3" t="s">
        <v>12</v>
      </c>
      <c r="K447" s="18"/>
      <c r="L447" s="16">
        <v>190</v>
      </c>
      <c r="M447" s="6" t="str" cm="1">
        <f t="array" ref="M447">_xlfn.IFS(L447&lt;100,"Economy",L447&lt;200,"Standard",L447&lt;350,"Powerful",L447&lt;500,"High Performance",L447&lt;800,"Sports Performance",L447&gt;=800,"Super Performance")</f>
        <v>Standard</v>
      </c>
    </row>
    <row r="448" spans="1:13" x14ac:dyDescent="0.25">
      <c r="A448" s="5" t="s">
        <v>7</v>
      </c>
      <c r="B448" s="3" t="s">
        <v>601</v>
      </c>
      <c r="C448" s="3" t="s">
        <v>602</v>
      </c>
      <c r="D448" s="4">
        <v>2371858</v>
      </c>
      <c r="E448" s="3" t="s">
        <v>1386</v>
      </c>
      <c r="F448" s="3">
        <v>0</v>
      </c>
      <c r="G448" s="3" t="s">
        <v>141</v>
      </c>
      <c r="H448" s="3" t="s">
        <v>66</v>
      </c>
      <c r="I448" s="3">
        <v>4</v>
      </c>
      <c r="J448" s="3" t="s">
        <v>30</v>
      </c>
      <c r="K448" s="18">
        <v>136</v>
      </c>
      <c r="L448" s="16">
        <v>395</v>
      </c>
      <c r="M448" s="6" t="str" cm="1">
        <f t="array" ref="M448">_xlfn.IFS(L448&lt;100,"Economy",L448&lt;200,"Standard",L448&lt;350,"Powerful",L448&lt;500,"High Performance",L448&lt;800,"Sports Performance",L448&gt;=800,"Super Performance")</f>
        <v>High Performance</v>
      </c>
    </row>
    <row r="449" spans="1:13" x14ac:dyDescent="0.25">
      <c r="A449" s="5" t="s">
        <v>364</v>
      </c>
      <c r="B449" s="3" t="s">
        <v>603</v>
      </c>
      <c r="C449" s="3" t="s">
        <v>604</v>
      </c>
      <c r="D449" s="4">
        <v>390000</v>
      </c>
      <c r="E449" s="3">
        <v>999</v>
      </c>
      <c r="F449" s="3">
        <v>3</v>
      </c>
      <c r="G449" s="3" t="s">
        <v>10</v>
      </c>
      <c r="H449" s="3" t="s">
        <v>11</v>
      </c>
      <c r="I449" s="3">
        <v>5</v>
      </c>
      <c r="J449" s="3" t="s">
        <v>12</v>
      </c>
      <c r="K449" s="18">
        <v>68</v>
      </c>
      <c r="L449" s="16">
        <v>91</v>
      </c>
      <c r="M449" s="6" t="str" cm="1">
        <f t="array" ref="M449">_xlfn.IFS(L449&lt;100,"Economy",L449&lt;200,"Standard",L449&lt;350,"Powerful",L449&lt;500,"High Performance",L449&lt;800,"Sports Performance",L449&gt;=800,"Super Performance")</f>
        <v>Economy</v>
      </c>
    </row>
    <row r="450" spans="1:13" x14ac:dyDescent="0.25">
      <c r="A450" s="5" t="s">
        <v>364</v>
      </c>
      <c r="B450" s="3" t="s">
        <v>603</v>
      </c>
      <c r="C450" s="3" t="s">
        <v>605</v>
      </c>
      <c r="D450" s="4">
        <v>437065</v>
      </c>
      <c r="E450" s="3">
        <v>999</v>
      </c>
      <c r="F450" s="3">
        <v>3</v>
      </c>
      <c r="G450" s="3" t="s">
        <v>10</v>
      </c>
      <c r="H450" s="3" t="s">
        <v>11</v>
      </c>
      <c r="I450" s="3">
        <v>5</v>
      </c>
      <c r="J450" s="3" t="s">
        <v>30</v>
      </c>
      <c r="K450" s="18">
        <v>68</v>
      </c>
      <c r="L450" s="16">
        <v>91</v>
      </c>
      <c r="M450" s="6" t="str" cm="1">
        <f t="array" ref="M450">_xlfn.IFS(L450&lt;100,"Economy",L450&lt;200,"Standard",L450&lt;350,"Powerful",L450&lt;500,"High Performance",L450&lt;800,"Sports Performance",L450&gt;=800,"Super Performance")</f>
        <v>Economy</v>
      </c>
    </row>
    <row r="451" spans="1:13" x14ac:dyDescent="0.25">
      <c r="A451" s="5" t="s">
        <v>93</v>
      </c>
      <c r="B451" s="3" t="s">
        <v>606</v>
      </c>
      <c r="C451" s="3" t="s">
        <v>607</v>
      </c>
      <c r="D451" s="4">
        <v>439777</v>
      </c>
      <c r="E451" s="3">
        <v>998</v>
      </c>
      <c r="F451" s="3">
        <v>3</v>
      </c>
      <c r="G451" s="3" t="s">
        <v>15</v>
      </c>
      <c r="H451" s="3" t="s">
        <v>11</v>
      </c>
      <c r="I451" s="3">
        <v>5</v>
      </c>
      <c r="J451" s="3" t="s">
        <v>12</v>
      </c>
      <c r="K451" s="18">
        <v>59</v>
      </c>
      <c r="L451" s="16">
        <v>78</v>
      </c>
      <c r="M451" s="6" t="str" cm="1">
        <f t="array" ref="M451">_xlfn.IFS(L451&lt;100,"Economy",L451&lt;200,"Standard",L451&lt;350,"Powerful",L451&lt;500,"High Performance",L451&lt;800,"Sports Performance",L451&gt;=800,"Super Performance")</f>
        <v>Economy</v>
      </c>
    </row>
    <row r="452" spans="1:13" x14ac:dyDescent="0.25">
      <c r="A452" s="5" t="s">
        <v>364</v>
      </c>
      <c r="B452" s="3" t="s">
        <v>365</v>
      </c>
      <c r="C452" s="3" t="s">
        <v>608</v>
      </c>
      <c r="D452" s="4">
        <v>374990</v>
      </c>
      <c r="E452" s="3">
        <v>1198</v>
      </c>
      <c r="F452" s="3">
        <v>3</v>
      </c>
      <c r="G452" s="3" t="s">
        <v>10</v>
      </c>
      <c r="H452" s="3" t="s">
        <v>11</v>
      </c>
      <c r="I452" s="3">
        <v>5</v>
      </c>
      <c r="J452" s="3" t="s">
        <v>12</v>
      </c>
      <c r="K452" s="18">
        <v>68</v>
      </c>
      <c r="L452" s="16">
        <v>104</v>
      </c>
      <c r="M452" s="6" t="str" cm="1">
        <f t="array" ref="M452">_xlfn.IFS(L452&lt;100,"Economy",L452&lt;200,"Standard",L452&lt;350,"Powerful",L452&lt;500,"High Performance",L452&lt;800,"Sports Performance",L452&gt;=800,"Super Performance")</f>
        <v>Standard</v>
      </c>
    </row>
    <row r="453" spans="1:13" x14ac:dyDescent="0.25">
      <c r="A453" s="5" t="s">
        <v>364</v>
      </c>
      <c r="B453" s="3" t="s">
        <v>365</v>
      </c>
      <c r="C453" s="3" t="s">
        <v>609</v>
      </c>
      <c r="D453" s="4">
        <v>468229</v>
      </c>
      <c r="E453" s="3">
        <v>1198</v>
      </c>
      <c r="F453" s="3">
        <v>3</v>
      </c>
      <c r="G453" s="3" t="s">
        <v>10</v>
      </c>
      <c r="H453" s="3" t="s">
        <v>11</v>
      </c>
      <c r="I453" s="3">
        <v>5</v>
      </c>
      <c r="J453" s="3" t="s">
        <v>12</v>
      </c>
      <c r="K453" s="18">
        <v>68</v>
      </c>
      <c r="L453" s="16">
        <v>104</v>
      </c>
      <c r="M453" s="6" t="str" cm="1">
        <f t="array" ref="M453">_xlfn.IFS(L453&lt;100,"Economy",L453&lt;200,"Standard",L453&lt;350,"Powerful",L453&lt;500,"High Performance",L453&lt;800,"Sports Performance",L453&gt;=800,"Super Performance")</f>
        <v>Standard</v>
      </c>
    </row>
    <row r="454" spans="1:13" x14ac:dyDescent="0.25">
      <c r="A454" s="5" t="s">
        <v>364</v>
      </c>
      <c r="B454" s="3" t="s">
        <v>365</v>
      </c>
      <c r="C454" s="3" t="s">
        <v>610</v>
      </c>
      <c r="D454" s="4">
        <v>528464</v>
      </c>
      <c r="E454" s="3">
        <v>1198</v>
      </c>
      <c r="F454" s="3">
        <v>3</v>
      </c>
      <c r="G454" s="3" t="s">
        <v>10</v>
      </c>
      <c r="H454" s="3" t="s">
        <v>11</v>
      </c>
      <c r="I454" s="3">
        <v>5</v>
      </c>
      <c r="J454" s="3" t="s">
        <v>12</v>
      </c>
      <c r="K454" s="18">
        <v>68</v>
      </c>
      <c r="L454" s="16">
        <v>104</v>
      </c>
      <c r="M454" s="6" t="str" cm="1">
        <f t="array" ref="M454">_xlfn.IFS(L454&lt;100,"Economy",L454&lt;200,"Standard",L454&lt;350,"Powerful",L454&lt;500,"High Performance",L454&lt;800,"Sports Performance",L454&gt;=800,"Super Performance")</f>
        <v>Standard</v>
      </c>
    </row>
    <row r="455" spans="1:13" x14ac:dyDescent="0.25">
      <c r="A455" s="5" t="s">
        <v>364</v>
      </c>
      <c r="B455" s="3" t="s">
        <v>365</v>
      </c>
      <c r="C455" s="3" t="s">
        <v>611</v>
      </c>
      <c r="D455" s="4">
        <v>594464</v>
      </c>
      <c r="E455" s="3">
        <v>1198</v>
      </c>
      <c r="F455" s="3">
        <v>3</v>
      </c>
      <c r="G455" s="3" t="s">
        <v>10</v>
      </c>
      <c r="H455" s="3" t="s">
        <v>11</v>
      </c>
      <c r="I455" s="3">
        <v>5</v>
      </c>
      <c r="J455" s="3" t="s">
        <v>12</v>
      </c>
      <c r="K455" s="18">
        <v>78</v>
      </c>
      <c r="L455" s="16">
        <v>104</v>
      </c>
      <c r="M455" s="6" t="str" cm="1">
        <f t="array" ref="M455">_xlfn.IFS(L455&lt;100,"Economy",L455&lt;200,"Standard",L455&lt;350,"Powerful",L455&lt;500,"High Performance",L455&lt;800,"Sports Performance",L455&gt;=800,"Super Performance")</f>
        <v>Standard</v>
      </c>
    </row>
    <row r="456" spans="1:13" x14ac:dyDescent="0.25">
      <c r="A456" s="5" t="s">
        <v>93</v>
      </c>
      <c r="B456" s="3" t="s">
        <v>371</v>
      </c>
      <c r="C456" s="3" t="s">
        <v>612</v>
      </c>
      <c r="D456" s="4">
        <v>480670</v>
      </c>
      <c r="E456" s="3">
        <v>998</v>
      </c>
      <c r="F456" s="3">
        <v>3</v>
      </c>
      <c r="G456" s="3" t="s">
        <v>15</v>
      </c>
      <c r="H456" s="3" t="s">
        <v>11</v>
      </c>
      <c r="I456" s="3">
        <v>5</v>
      </c>
      <c r="J456" s="3" t="s">
        <v>12</v>
      </c>
      <c r="K456" s="18">
        <v>59</v>
      </c>
      <c r="L456" s="16">
        <v>78</v>
      </c>
      <c r="M456" s="6" t="str" cm="1">
        <f t="array" ref="M456">_xlfn.IFS(L456&lt;100,"Economy",L456&lt;200,"Standard",L456&lt;350,"Powerful",L456&lt;500,"High Performance",L456&lt;800,"Sports Performance",L456&gt;=800,"Super Performance")</f>
        <v>Economy</v>
      </c>
    </row>
    <row r="457" spans="1:13" x14ac:dyDescent="0.25">
      <c r="A457" s="5" t="s">
        <v>330</v>
      </c>
      <c r="B457" s="3" t="s">
        <v>373</v>
      </c>
      <c r="C457" s="3" t="s">
        <v>613</v>
      </c>
      <c r="D457" s="4">
        <v>525021</v>
      </c>
      <c r="E457" s="3">
        <v>1198</v>
      </c>
      <c r="F457" s="3">
        <v>3</v>
      </c>
      <c r="G457" s="3" t="s">
        <v>10</v>
      </c>
      <c r="H457" s="3" t="s">
        <v>11</v>
      </c>
      <c r="I457" s="3">
        <v>5</v>
      </c>
      <c r="J457" s="3" t="s">
        <v>12</v>
      </c>
      <c r="K457" s="18">
        <v>68</v>
      </c>
      <c r="L457" s="16">
        <v>104</v>
      </c>
      <c r="M457" s="6" t="str" cm="1">
        <f t="array" ref="M457">_xlfn.IFS(L457&lt;100,"Economy",L457&lt;200,"Standard",L457&lt;350,"Powerful",L457&lt;500,"High Performance",L457&lt;800,"Sports Performance",L457&gt;=800,"Super Performance")</f>
        <v>Standard</v>
      </c>
    </row>
    <row r="458" spans="1:13" x14ac:dyDescent="0.25">
      <c r="A458" s="5" t="s">
        <v>330</v>
      </c>
      <c r="B458" s="3" t="s">
        <v>373</v>
      </c>
      <c r="C458" s="3" t="s">
        <v>614</v>
      </c>
      <c r="D458" s="4">
        <v>563133</v>
      </c>
      <c r="E458" s="3">
        <v>1198</v>
      </c>
      <c r="F458" s="3">
        <v>3</v>
      </c>
      <c r="G458" s="3" t="s">
        <v>10</v>
      </c>
      <c r="H458" s="3" t="s">
        <v>11</v>
      </c>
      <c r="I458" s="3">
        <v>5</v>
      </c>
      <c r="J458" s="3" t="s">
        <v>12</v>
      </c>
      <c r="K458" s="18">
        <v>68</v>
      </c>
      <c r="L458" s="16">
        <v>104</v>
      </c>
      <c r="M458" s="6" t="str" cm="1">
        <f t="array" ref="M458">_xlfn.IFS(L458&lt;100,"Economy",L458&lt;200,"Standard",L458&lt;350,"Powerful",L458&lt;500,"High Performance",L458&lt;800,"Sports Performance",L458&gt;=800,"Super Performance")</f>
        <v>Standard</v>
      </c>
    </row>
    <row r="459" spans="1:13" x14ac:dyDescent="0.25">
      <c r="A459" s="5" t="s">
        <v>40</v>
      </c>
      <c r="B459" s="3" t="s">
        <v>615</v>
      </c>
      <c r="C459" s="3" t="s">
        <v>616</v>
      </c>
      <c r="D459" s="4">
        <v>591400</v>
      </c>
      <c r="E459" s="3">
        <v>1194</v>
      </c>
      <c r="F459" s="3">
        <v>3</v>
      </c>
      <c r="G459" s="3" t="s">
        <v>10</v>
      </c>
      <c r="H459" s="3" t="s">
        <v>11</v>
      </c>
      <c r="I459" s="3">
        <v>5</v>
      </c>
      <c r="J459" s="3" t="s">
        <v>12</v>
      </c>
      <c r="K459" s="18">
        <v>96</v>
      </c>
      <c r="L459" s="16">
        <v>120</v>
      </c>
      <c r="M459" s="6" t="str" cm="1">
        <f t="array" ref="M459">_xlfn.IFS(L459&lt;100,"Economy",L459&lt;200,"Standard",L459&lt;350,"Powerful",L459&lt;500,"High Performance",L459&lt;800,"Sports Performance",L459&gt;=800,"Super Performance")</f>
        <v>Standard</v>
      </c>
    </row>
    <row r="460" spans="1:13" x14ac:dyDescent="0.25">
      <c r="A460" s="5" t="s">
        <v>40</v>
      </c>
      <c r="B460" s="3" t="s">
        <v>615</v>
      </c>
      <c r="C460" s="3" t="s">
        <v>617</v>
      </c>
      <c r="D460" s="4">
        <v>721400</v>
      </c>
      <c r="E460" s="3">
        <v>1194</v>
      </c>
      <c r="F460" s="3">
        <v>3</v>
      </c>
      <c r="G460" s="3" t="s">
        <v>10</v>
      </c>
      <c r="H460" s="3" t="s">
        <v>11</v>
      </c>
      <c r="I460" s="3">
        <v>5</v>
      </c>
      <c r="J460" s="3" t="s">
        <v>12</v>
      </c>
      <c r="K460" s="18">
        <v>96</v>
      </c>
      <c r="L460" s="16">
        <v>120</v>
      </c>
      <c r="M460" s="6" t="str" cm="1">
        <f t="array" ref="M460">_xlfn.IFS(L460&lt;100,"Economy",L460&lt;200,"Standard",L460&lt;350,"Powerful",L460&lt;500,"High Performance",L460&lt;800,"Sports Performance",L460&gt;=800,"Super Performance")</f>
        <v>Standard</v>
      </c>
    </row>
    <row r="461" spans="1:13" x14ac:dyDescent="0.25">
      <c r="A461" s="5" t="s">
        <v>40</v>
      </c>
      <c r="B461" s="3" t="s">
        <v>615</v>
      </c>
      <c r="C461" s="3" t="s">
        <v>618</v>
      </c>
      <c r="D461" s="4">
        <v>756400</v>
      </c>
      <c r="E461" s="3">
        <v>1194</v>
      </c>
      <c r="F461" s="3">
        <v>3</v>
      </c>
      <c r="G461" s="3" t="s">
        <v>10</v>
      </c>
      <c r="H461" s="3" t="s">
        <v>11</v>
      </c>
      <c r="I461" s="3">
        <v>5</v>
      </c>
      <c r="J461" s="3" t="s">
        <v>12</v>
      </c>
      <c r="K461" s="18">
        <v>96</v>
      </c>
      <c r="L461" s="16">
        <v>120</v>
      </c>
      <c r="M461" s="6" t="str" cm="1">
        <f t="array" ref="M461">_xlfn.IFS(L461&lt;100,"Economy",L461&lt;200,"Standard",L461&lt;350,"Powerful",L461&lt;500,"High Performance",L461&lt;800,"Sports Performance",L461&gt;=800,"Super Performance")</f>
        <v>Standard</v>
      </c>
    </row>
    <row r="462" spans="1:13" x14ac:dyDescent="0.25">
      <c r="A462" s="5" t="s">
        <v>40</v>
      </c>
      <c r="B462" s="3" t="s">
        <v>615</v>
      </c>
      <c r="C462" s="3" t="s">
        <v>619</v>
      </c>
      <c r="D462" s="4">
        <v>681400</v>
      </c>
      <c r="E462" s="3">
        <v>1194</v>
      </c>
      <c r="F462" s="3">
        <v>3</v>
      </c>
      <c r="G462" s="3" t="s">
        <v>10</v>
      </c>
      <c r="H462" s="3" t="s">
        <v>304</v>
      </c>
      <c r="I462" s="3">
        <v>5</v>
      </c>
      <c r="J462" s="3" t="s">
        <v>12</v>
      </c>
      <c r="K462" s="18">
        <v>96</v>
      </c>
      <c r="L462" s="16">
        <v>120</v>
      </c>
      <c r="M462" s="6" t="str" cm="1">
        <f t="array" ref="M462">_xlfn.IFS(L462&lt;100,"Economy",L462&lt;200,"Standard",L462&lt;350,"Powerful",L462&lt;500,"High Performance",L462&lt;800,"Sports Performance",L462&gt;=800,"Super Performance")</f>
        <v>Standard</v>
      </c>
    </row>
    <row r="463" spans="1:13" x14ac:dyDescent="0.25">
      <c r="A463" s="5" t="s">
        <v>40</v>
      </c>
      <c r="B463" s="3" t="s">
        <v>615</v>
      </c>
      <c r="C463" s="3" t="s">
        <v>620</v>
      </c>
      <c r="D463" s="4">
        <v>745900</v>
      </c>
      <c r="E463" s="3">
        <v>1498</v>
      </c>
      <c r="F463" s="3">
        <v>3</v>
      </c>
      <c r="G463" s="3" t="s">
        <v>36</v>
      </c>
      <c r="H463" s="3" t="s">
        <v>304</v>
      </c>
      <c r="I463" s="3">
        <v>5</v>
      </c>
      <c r="J463" s="3" t="s">
        <v>12</v>
      </c>
      <c r="K463" s="18">
        <v>100</v>
      </c>
      <c r="L463" s="16">
        <v>215</v>
      </c>
      <c r="M463" s="6" t="str" cm="1">
        <f t="array" ref="M463">_xlfn.IFS(L463&lt;100,"Economy",L463&lt;200,"Standard",L463&lt;350,"Powerful",L463&lt;500,"High Performance",L463&lt;800,"Sports Performance",L463&gt;=800,"Super Performance")</f>
        <v>Powerful</v>
      </c>
    </row>
    <row r="464" spans="1:13" x14ac:dyDescent="0.25">
      <c r="A464" s="5" t="s">
        <v>382</v>
      </c>
      <c r="B464" s="3" t="s">
        <v>621</v>
      </c>
      <c r="C464" s="3" t="s">
        <v>622</v>
      </c>
      <c r="D464" s="4">
        <v>3990000</v>
      </c>
      <c r="E464" s="3">
        <v>1969</v>
      </c>
      <c r="F464" s="3">
        <v>5</v>
      </c>
      <c r="G464" s="3" t="s">
        <v>36</v>
      </c>
      <c r="H464" s="3" t="s">
        <v>66</v>
      </c>
      <c r="I464" s="3">
        <v>5</v>
      </c>
      <c r="J464" s="3" t="s">
        <v>30</v>
      </c>
      <c r="K464" s="18">
        <v>190</v>
      </c>
      <c r="L464" s="16">
        <v>400</v>
      </c>
      <c r="M464" s="6" t="str" cm="1">
        <f t="array" ref="M464">_xlfn.IFS(L464&lt;100,"Economy",L464&lt;200,"Standard",L464&lt;350,"Powerful",L464&lt;500,"High Performance",L464&lt;800,"Sports Performance",L464&gt;=800,"Super Performance")</f>
        <v>High Performance</v>
      </c>
    </row>
    <row r="465" spans="1:13" x14ac:dyDescent="0.25">
      <c r="A465" s="5" t="s">
        <v>382</v>
      </c>
      <c r="B465" s="3" t="s">
        <v>621</v>
      </c>
      <c r="C465" s="3" t="s">
        <v>483</v>
      </c>
      <c r="D465" s="4">
        <v>4390000</v>
      </c>
      <c r="E465" s="3">
        <v>1969</v>
      </c>
      <c r="F465" s="3">
        <v>5</v>
      </c>
      <c r="G465" s="3" t="s">
        <v>36</v>
      </c>
      <c r="H465" s="3" t="s">
        <v>66</v>
      </c>
      <c r="I465" s="3">
        <v>5</v>
      </c>
      <c r="J465" s="3" t="s">
        <v>30</v>
      </c>
      <c r="K465" s="18">
        <v>190</v>
      </c>
      <c r="L465" s="16">
        <v>400</v>
      </c>
      <c r="M465" s="6" t="str" cm="1">
        <f t="array" ref="M465">_xlfn.IFS(L465&lt;100,"Economy",L465&lt;200,"Standard",L465&lt;350,"Powerful",L465&lt;500,"High Performance",L465&lt;800,"Sports Performance",L465&gt;=800,"Super Performance")</f>
        <v>High Performance</v>
      </c>
    </row>
    <row r="466" spans="1:13" x14ac:dyDescent="0.25">
      <c r="A466" s="5" t="s">
        <v>382</v>
      </c>
      <c r="B466" s="3" t="s">
        <v>621</v>
      </c>
      <c r="C466" s="3" t="s">
        <v>623</v>
      </c>
      <c r="D466" s="4">
        <v>3990000</v>
      </c>
      <c r="E466" s="3">
        <v>1969</v>
      </c>
      <c r="F466" s="3">
        <v>5</v>
      </c>
      <c r="G466" s="3" t="s">
        <v>10</v>
      </c>
      <c r="H466" s="3" t="s">
        <v>66</v>
      </c>
      <c r="I466" s="3">
        <v>5</v>
      </c>
      <c r="J466" s="3" t="s">
        <v>30</v>
      </c>
      <c r="K466" s="18">
        <v>190</v>
      </c>
      <c r="L466" s="16">
        <v>300</v>
      </c>
      <c r="M466" s="6" t="str" cm="1">
        <f t="array" ref="M466">_xlfn.IFS(L466&lt;100,"Economy",L466&lt;200,"Standard",L466&lt;350,"Powerful",L466&lt;500,"High Performance",L466&lt;800,"Sports Performance",L466&gt;=800,"Super Performance")</f>
        <v>Powerful</v>
      </c>
    </row>
    <row r="467" spans="1:13" x14ac:dyDescent="0.25">
      <c r="A467" s="5" t="s">
        <v>90</v>
      </c>
      <c r="B467" s="3" t="s">
        <v>624</v>
      </c>
      <c r="C467" s="3" t="s">
        <v>625</v>
      </c>
      <c r="D467" s="4">
        <v>53247201</v>
      </c>
      <c r="E467" s="3">
        <v>6592</v>
      </c>
      <c r="F467" s="3">
        <v>12</v>
      </c>
      <c r="G467" s="3" t="s">
        <v>10</v>
      </c>
      <c r="H467" s="3" t="s">
        <v>27</v>
      </c>
      <c r="I467" s="3">
        <v>5</v>
      </c>
      <c r="J467" s="3" t="s">
        <v>30</v>
      </c>
      <c r="K467" s="18">
        <v>570</v>
      </c>
      <c r="L467" s="16">
        <v>780</v>
      </c>
      <c r="M467" s="6" t="str" cm="1">
        <f t="array" ref="M467">_xlfn.IFS(L467&lt;100,"Economy",L467&lt;200,"Standard",L467&lt;350,"Powerful",L467&lt;500,"High Performance",L467&lt;800,"Sports Performance",L467&gt;=800,"Super Performance")</f>
        <v>Sports Performance</v>
      </c>
    </row>
    <row r="468" spans="1:13" x14ac:dyDescent="0.25">
      <c r="A468" s="5" t="s">
        <v>93</v>
      </c>
      <c r="B468" s="3" t="s">
        <v>626</v>
      </c>
      <c r="C468" s="3" t="s">
        <v>95</v>
      </c>
      <c r="D468" s="4">
        <v>294800</v>
      </c>
      <c r="E468" s="3">
        <v>796</v>
      </c>
      <c r="F468" s="3">
        <v>3</v>
      </c>
      <c r="G468" s="3" t="s">
        <v>10</v>
      </c>
      <c r="H468" s="3" t="s">
        <v>11</v>
      </c>
      <c r="I468" s="3">
        <v>5</v>
      </c>
      <c r="J468" s="3" t="s">
        <v>12</v>
      </c>
      <c r="K468" s="18">
        <v>48</v>
      </c>
      <c r="L468" s="16">
        <v>69</v>
      </c>
      <c r="M468" s="6" t="str" cm="1">
        <f t="array" ref="M468">_xlfn.IFS(L468&lt;100,"Economy",L468&lt;200,"Standard",L468&lt;350,"Powerful",L468&lt;500,"High Performance",L468&lt;800,"Sports Performance",L468&gt;=800,"Super Performance")</f>
        <v>Economy</v>
      </c>
    </row>
    <row r="469" spans="1:13" x14ac:dyDescent="0.25">
      <c r="A469" s="5" t="s">
        <v>93</v>
      </c>
      <c r="B469" s="3" t="s">
        <v>626</v>
      </c>
      <c r="C469" s="3" t="s">
        <v>96</v>
      </c>
      <c r="D469" s="4">
        <v>299900</v>
      </c>
      <c r="E469" s="3">
        <v>796</v>
      </c>
      <c r="F469" s="3">
        <v>3</v>
      </c>
      <c r="G469" s="3" t="s">
        <v>10</v>
      </c>
      <c r="H469" s="3" t="s">
        <v>11</v>
      </c>
      <c r="I469" s="3">
        <v>5</v>
      </c>
      <c r="J469" s="3" t="s">
        <v>12</v>
      </c>
      <c r="K469" s="18">
        <v>48</v>
      </c>
      <c r="L469" s="16">
        <v>69</v>
      </c>
      <c r="M469" s="6" t="str" cm="1">
        <f t="array" ref="M469">_xlfn.IFS(L469&lt;100,"Economy",L469&lt;200,"Standard",L469&lt;350,"Powerful",L469&lt;500,"High Performance",L469&lt;800,"Sports Performance",L469&gt;=800,"Super Performance")</f>
        <v>Economy</v>
      </c>
    </row>
    <row r="470" spans="1:13" x14ac:dyDescent="0.25">
      <c r="A470" s="5" t="s">
        <v>93</v>
      </c>
      <c r="B470" s="3" t="s">
        <v>626</v>
      </c>
      <c r="C470" s="3" t="s">
        <v>97</v>
      </c>
      <c r="D470" s="4">
        <v>352900</v>
      </c>
      <c r="E470" s="3">
        <v>796</v>
      </c>
      <c r="F470" s="3">
        <v>3</v>
      </c>
      <c r="G470" s="3" t="s">
        <v>10</v>
      </c>
      <c r="H470" s="3" t="s">
        <v>11</v>
      </c>
      <c r="I470" s="3">
        <v>5</v>
      </c>
      <c r="J470" s="3" t="s">
        <v>12</v>
      </c>
      <c r="K470" s="18">
        <v>47</v>
      </c>
      <c r="L470" s="16">
        <v>69</v>
      </c>
      <c r="M470" s="6" t="str" cm="1">
        <f t="array" ref="M470">_xlfn.IFS(L470&lt;100,"Economy",L470&lt;200,"Standard",L470&lt;350,"Powerful",L470&lt;500,"High Performance",L470&lt;800,"Sports Performance",L470&gt;=800,"Super Performance")</f>
        <v>Economy</v>
      </c>
    </row>
    <row r="471" spans="1:13" x14ac:dyDescent="0.25">
      <c r="A471" s="5" t="s">
        <v>93</v>
      </c>
      <c r="B471" s="3" t="s">
        <v>626</v>
      </c>
      <c r="C471" s="3" t="s">
        <v>98</v>
      </c>
      <c r="D471" s="4">
        <v>357200</v>
      </c>
      <c r="E471" s="3">
        <v>796</v>
      </c>
      <c r="F471" s="3">
        <v>3</v>
      </c>
      <c r="G471" s="3" t="s">
        <v>10</v>
      </c>
      <c r="H471" s="3" t="s">
        <v>11</v>
      </c>
      <c r="I471" s="3">
        <v>5</v>
      </c>
      <c r="J471" s="3" t="s">
        <v>12</v>
      </c>
      <c r="K471" s="18">
        <v>48</v>
      </c>
      <c r="L471" s="16">
        <v>69</v>
      </c>
      <c r="M471" s="6" t="str" cm="1">
        <f t="array" ref="M471">_xlfn.IFS(L471&lt;100,"Economy",L471&lt;200,"Standard",L471&lt;350,"Powerful",L471&lt;500,"High Performance",L471&lt;800,"Sports Performance",L471&gt;=800,"Super Performance")</f>
        <v>Economy</v>
      </c>
    </row>
    <row r="472" spans="1:13" x14ac:dyDescent="0.25">
      <c r="A472" s="5" t="s">
        <v>93</v>
      </c>
      <c r="B472" s="3" t="s">
        <v>626</v>
      </c>
      <c r="C472" s="3" t="s">
        <v>99</v>
      </c>
      <c r="D472" s="4">
        <v>376100</v>
      </c>
      <c r="E472" s="3">
        <v>796</v>
      </c>
      <c r="F472" s="3">
        <v>3</v>
      </c>
      <c r="G472" s="3" t="s">
        <v>10</v>
      </c>
      <c r="H472" s="3" t="s">
        <v>11</v>
      </c>
      <c r="I472" s="3">
        <v>5</v>
      </c>
      <c r="J472" s="3" t="s">
        <v>12</v>
      </c>
      <c r="K472" s="18">
        <v>48</v>
      </c>
      <c r="L472" s="16">
        <v>69</v>
      </c>
      <c r="M472" s="6" t="str" cm="1">
        <f t="array" ref="M472">_xlfn.IFS(L472&lt;100,"Economy",L472&lt;200,"Standard",L472&lt;350,"Powerful",L472&lt;500,"High Performance",L472&lt;800,"Sports Performance",L472&gt;=800,"Super Performance")</f>
        <v>Economy</v>
      </c>
    </row>
    <row r="473" spans="1:13" x14ac:dyDescent="0.25">
      <c r="A473" s="5" t="s">
        <v>93</v>
      </c>
      <c r="B473" s="3" t="s">
        <v>626</v>
      </c>
      <c r="C473" s="3" t="s">
        <v>627</v>
      </c>
      <c r="D473" s="4">
        <v>405570</v>
      </c>
      <c r="E473" s="3">
        <v>796</v>
      </c>
      <c r="F473" s="3">
        <v>3</v>
      </c>
      <c r="G473" s="3" t="s">
        <v>272</v>
      </c>
      <c r="H473" s="3" t="s">
        <v>11</v>
      </c>
      <c r="I473" s="3">
        <v>5</v>
      </c>
      <c r="J473" s="3" t="s">
        <v>12</v>
      </c>
      <c r="K473" s="18">
        <v>47</v>
      </c>
      <c r="L473" s="16">
        <v>69</v>
      </c>
      <c r="M473" s="6" t="str" cm="1">
        <f t="array" ref="M473">_xlfn.IFS(L473&lt;100,"Economy",L473&lt;200,"Standard",L473&lt;350,"Powerful",L473&lt;500,"High Performance",L473&lt;800,"Sports Performance",L473&gt;=800,"Super Performance")</f>
        <v>Economy</v>
      </c>
    </row>
    <row r="474" spans="1:13" x14ac:dyDescent="0.25">
      <c r="A474" s="5" t="s">
        <v>93</v>
      </c>
      <c r="B474" s="3" t="s">
        <v>626</v>
      </c>
      <c r="C474" s="3" t="s">
        <v>628</v>
      </c>
      <c r="D474" s="4">
        <v>409190</v>
      </c>
      <c r="E474" s="3">
        <v>796</v>
      </c>
      <c r="F474" s="3">
        <v>3</v>
      </c>
      <c r="G474" s="3" t="s">
        <v>272</v>
      </c>
      <c r="H474" s="3" t="s">
        <v>11</v>
      </c>
      <c r="I474" s="3">
        <v>5</v>
      </c>
      <c r="J474" s="3" t="s">
        <v>12</v>
      </c>
      <c r="K474" s="18">
        <v>48</v>
      </c>
      <c r="L474" s="16">
        <v>69</v>
      </c>
      <c r="M474" s="6" t="str" cm="1">
        <f t="array" ref="M474">_xlfn.IFS(L474&lt;100,"Economy",L474&lt;200,"Standard",L474&lt;350,"Powerful",L474&lt;500,"High Performance",L474&lt;800,"Sports Performance",L474&gt;=800,"Super Performance")</f>
        <v>Economy</v>
      </c>
    </row>
    <row r="475" spans="1:13" x14ac:dyDescent="0.25">
      <c r="A475" s="5" t="s">
        <v>93</v>
      </c>
      <c r="B475" s="3" t="s">
        <v>626</v>
      </c>
      <c r="C475" s="3" t="s">
        <v>629</v>
      </c>
      <c r="D475" s="4">
        <v>389600</v>
      </c>
      <c r="E475" s="3">
        <v>796</v>
      </c>
      <c r="F475" s="3">
        <v>3</v>
      </c>
      <c r="G475" s="3" t="s">
        <v>10</v>
      </c>
      <c r="H475" s="3" t="s">
        <v>11</v>
      </c>
      <c r="I475" s="3">
        <v>5</v>
      </c>
      <c r="J475" s="3" t="s">
        <v>12</v>
      </c>
      <c r="K475" s="18">
        <v>48</v>
      </c>
      <c r="L475" s="16">
        <v>69</v>
      </c>
      <c r="M475" s="6" t="str" cm="1">
        <f t="array" ref="M475">_xlfn.IFS(L475&lt;100,"Economy",L475&lt;200,"Standard",L475&lt;350,"Powerful",L475&lt;500,"High Performance",L475&lt;800,"Sports Performance",L475&gt;=800,"Super Performance")</f>
        <v>Economy</v>
      </c>
    </row>
    <row r="476" spans="1:13" x14ac:dyDescent="0.25">
      <c r="A476" s="5" t="s">
        <v>93</v>
      </c>
      <c r="B476" s="3" t="s">
        <v>379</v>
      </c>
      <c r="C476" s="3" t="s">
        <v>630</v>
      </c>
      <c r="D476" s="4">
        <v>530000</v>
      </c>
      <c r="E476" s="3">
        <v>998</v>
      </c>
      <c r="F476" s="3">
        <v>3</v>
      </c>
      <c r="G476" s="3" t="s">
        <v>15</v>
      </c>
      <c r="H476" s="3" t="s">
        <v>11</v>
      </c>
      <c r="I476" s="3">
        <v>5</v>
      </c>
      <c r="J476" s="3" t="s">
        <v>12</v>
      </c>
      <c r="K476" s="18">
        <v>59</v>
      </c>
      <c r="L476" s="16">
        <v>78</v>
      </c>
      <c r="M476" s="6" t="str" cm="1">
        <f t="array" ref="M476">_xlfn.IFS(L476&lt;100,"Economy",L476&lt;200,"Standard",L476&lt;350,"Powerful",L476&lt;500,"High Performance",L476&lt;800,"Sports Performance",L476&gt;=800,"Super Performance")</f>
        <v>Economy</v>
      </c>
    </row>
    <row r="477" spans="1:13" x14ac:dyDescent="0.25">
      <c r="A477" s="5" t="s">
        <v>22</v>
      </c>
      <c r="B477" s="3" t="s">
        <v>631</v>
      </c>
      <c r="C477" s="3" t="s">
        <v>332</v>
      </c>
      <c r="D477" s="4">
        <v>529000</v>
      </c>
      <c r="E477" s="3">
        <v>1199</v>
      </c>
      <c r="F477" s="3">
        <v>3</v>
      </c>
      <c r="G477" s="3" t="s">
        <v>10</v>
      </c>
      <c r="H477" s="3" t="s">
        <v>11</v>
      </c>
      <c r="I477" s="3">
        <v>5</v>
      </c>
      <c r="J477" s="3" t="s">
        <v>12</v>
      </c>
      <c r="K477" s="18">
        <v>86</v>
      </c>
      <c r="L477" s="16">
        <v>113</v>
      </c>
      <c r="M477" s="6" t="str" cm="1">
        <f t="array" ref="M477">_xlfn.IFS(L477&lt;100,"Economy",L477&lt;200,"Standard",L477&lt;350,"Powerful",L477&lt;500,"High Performance",L477&lt;800,"Sports Performance",L477&gt;=800,"Super Performance")</f>
        <v>Standard</v>
      </c>
    </row>
    <row r="478" spans="1:13" x14ac:dyDescent="0.25">
      <c r="A478" s="5" t="s">
        <v>22</v>
      </c>
      <c r="B478" s="3" t="s">
        <v>632</v>
      </c>
      <c r="C478" s="3" t="s">
        <v>346</v>
      </c>
      <c r="D478" s="4">
        <v>695000</v>
      </c>
      <c r="E478" s="3">
        <v>1198</v>
      </c>
      <c r="F478" s="3">
        <v>3</v>
      </c>
      <c r="G478" s="3" t="s">
        <v>10</v>
      </c>
      <c r="H478" s="3" t="s">
        <v>66</v>
      </c>
      <c r="I478" s="3">
        <v>5</v>
      </c>
      <c r="J478" s="3" t="s">
        <v>12</v>
      </c>
      <c r="K478" s="18">
        <v>110</v>
      </c>
      <c r="L478" s="16">
        <v>170</v>
      </c>
      <c r="M478" s="6" t="str" cm="1">
        <f t="array" ref="M478">_xlfn.IFS(L478&lt;100,"Economy",L478&lt;200,"Standard",L478&lt;350,"Powerful",L478&lt;500,"High Performance",L478&lt;800,"Sports Performance",L478&gt;=800,"Super Performance")</f>
        <v>Standard</v>
      </c>
    </row>
    <row r="479" spans="1:13" x14ac:dyDescent="0.25">
      <c r="A479" s="5" t="s">
        <v>22</v>
      </c>
      <c r="B479" s="3" t="s">
        <v>632</v>
      </c>
      <c r="C479" s="3" t="s">
        <v>348</v>
      </c>
      <c r="D479" s="4">
        <v>770000</v>
      </c>
      <c r="E479" s="3">
        <v>1198</v>
      </c>
      <c r="F479" s="3">
        <v>3</v>
      </c>
      <c r="G479" s="3" t="s">
        <v>10</v>
      </c>
      <c r="H479" s="3" t="s">
        <v>66</v>
      </c>
      <c r="I479" s="3">
        <v>5</v>
      </c>
      <c r="J479" s="3" t="s">
        <v>12</v>
      </c>
      <c r="K479" s="18">
        <v>110</v>
      </c>
      <c r="L479" s="16">
        <v>170</v>
      </c>
      <c r="M479" s="6" t="str" cm="1">
        <f t="array" ref="M479">_xlfn.IFS(L479&lt;100,"Economy",L479&lt;200,"Standard",L479&lt;350,"Powerful",L479&lt;500,"High Performance",L479&lt;800,"Sports Performance",L479&gt;=800,"Super Performance")</f>
        <v>Standard</v>
      </c>
    </row>
    <row r="480" spans="1:13" x14ac:dyDescent="0.25">
      <c r="A480" s="5" t="s">
        <v>22</v>
      </c>
      <c r="B480" s="3" t="s">
        <v>632</v>
      </c>
      <c r="C480" s="3" t="s">
        <v>633</v>
      </c>
      <c r="D480" s="4">
        <v>870000</v>
      </c>
      <c r="E480" s="3">
        <v>1198</v>
      </c>
      <c r="F480" s="3">
        <v>3</v>
      </c>
      <c r="G480" s="3" t="s">
        <v>10</v>
      </c>
      <c r="H480" s="3" t="s">
        <v>66</v>
      </c>
      <c r="I480" s="3">
        <v>5</v>
      </c>
      <c r="J480" s="3" t="s">
        <v>12</v>
      </c>
      <c r="K480" s="18">
        <v>110</v>
      </c>
      <c r="L480" s="16">
        <v>170</v>
      </c>
      <c r="M480" s="6" t="str" cm="1">
        <f t="array" ref="M480">_xlfn.IFS(L480&lt;100,"Economy",L480&lt;200,"Standard",L480&lt;350,"Powerful",L480&lt;500,"High Performance",L480&lt;800,"Sports Performance",L480&gt;=800,"Super Performance")</f>
        <v>Standard</v>
      </c>
    </row>
    <row r="481" spans="1:13" x14ac:dyDescent="0.25">
      <c r="A481" s="5" t="s">
        <v>22</v>
      </c>
      <c r="B481" s="3" t="s">
        <v>632</v>
      </c>
      <c r="C481" s="3" t="s">
        <v>634</v>
      </c>
      <c r="D481" s="4">
        <v>950000</v>
      </c>
      <c r="E481" s="3">
        <v>1198</v>
      </c>
      <c r="F481" s="3">
        <v>3</v>
      </c>
      <c r="G481" s="3" t="s">
        <v>10</v>
      </c>
      <c r="H481" s="3" t="s">
        <v>66</v>
      </c>
      <c r="I481" s="3">
        <v>5</v>
      </c>
      <c r="J481" s="3" t="s">
        <v>12</v>
      </c>
      <c r="K481" s="18">
        <v>110</v>
      </c>
      <c r="L481" s="16">
        <v>170</v>
      </c>
      <c r="M481" s="6" t="str" cm="1">
        <f t="array" ref="M481">_xlfn.IFS(L481&lt;100,"Economy",L481&lt;200,"Standard",L481&lt;350,"Powerful",L481&lt;500,"High Performance",L481&lt;800,"Sports Performance",L481&gt;=800,"Super Performance")</f>
        <v>Standard</v>
      </c>
    </row>
    <row r="482" spans="1:13" x14ac:dyDescent="0.25">
      <c r="A482" s="5" t="s">
        <v>22</v>
      </c>
      <c r="B482" s="3" t="s">
        <v>632</v>
      </c>
      <c r="C482" s="3" t="s">
        <v>635</v>
      </c>
      <c r="D482" s="4">
        <v>970000</v>
      </c>
      <c r="E482" s="3">
        <v>1198</v>
      </c>
      <c r="F482" s="3">
        <v>3</v>
      </c>
      <c r="G482" s="3" t="s">
        <v>10</v>
      </c>
      <c r="H482" s="3" t="s">
        <v>66</v>
      </c>
      <c r="I482" s="3">
        <v>5</v>
      </c>
      <c r="J482" s="3" t="s">
        <v>12</v>
      </c>
      <c r="K482" s="18">
        <v>110</v>
      </c>
      <c r="L482" s="16">
        <v>170</v>
      </c>
      <c r="M482" s="6" t="str" cm="1">
        <f t="array" ref="M482">_xlfn.IFS(L482&lt;100,"Economy",L482&lt;200,"Standard",L482&lt;350,"Powerful",L482&lt;500,"High Performance",L482&lt;800,"Sports Performance",L482&gt;=800,"Super Performance")</f>
        <v>Standard</v>
      </c>
    </row>
    <row r="483" spans="1:13" x14ac:dyDescent="0.25">
      <c r="A483" s="5" t="s">
        <v>22</v>
      </c>
      <c r="B483" s="3" t="s">
        <v>632</v>
      </c>
      <c r="C483" s="3" t="s">
        <v>636</v>
      </c>
      <c r="D483" s="4">
        <v>1040000</v>
      </c>
      <c r="E483" s="3">
        <v>1198</v>
      </c>
      <c r="F483" s="3">
        <v>3</v>
      </c>
      <c r="G483" s="3" t="s">
        <v>10</v>
      </c>
      <c r="H483" s="3" t="s">
        <v>66</v>
      </c>
      <c r="I483" s="3">
        <v>5</v>
      </c>
      <c r="J483" s="3" t="s">
        <v>12</v>
      </c>
      <c r="K483" s="18">
        <v>110</v>
      </c>
      <c r="L483" s="16">
        <v>170</v>
      </c>
      <c r="M483" s="6" t="str" cm="1">
        <f t="array" ref="M483">_xlfn.IFS(L483&lt;100,"Economy",L483&lt;200,"Standard",L483&lt;350,"Powerful",L483&lt;500,"High Performance",L483&lt;800,"Sports Performance",L483&gt;=800,"Super Performance")</f>
        <v>Standard</v>
      </c>
    </row>
    <row r="484" spans="1:13" x14ac:dyDescent="0.25">
      <c r="A484" s="5" t="s">
        <v>22</v>
      </c>
      <c r="B484" s="3" t="s">
        <v>632</v>
      </c>
      <c r="C484" s="3" t="s">
        <v>637</v>
      </c>
      <c r="D484" s="4">
        <v>1060000</v>
      </c>
      <c r="E484" s="3">
        <v>1198</v>
      </c>
      <c r="F484" s="3">
        <v>3</v>
      </c>
      <c r="G484" s="3" t="s">
        <v>10</v>
      </c>
      <c r="H484" s="3" t="s">
        <v>66</v>
      </c>
      <c r="I484" s="3">
        <v>5</v>
      </c>
      <c r="J484" s="3" t="s">
        <v>30</v>
      </c>
      <c r="K484" s="18">
        <v>110</v>
      </c>
      <c r="L484" s="16">
        <v>170</v>
      </c>
      <c r="M484" s="6" t="str" cm="1">
        <f t="array" ref="M484">_xlfn.IFS(L484&lt;100,"Economy",L484&lt;200,"Standard",L484&lt;350,"Powerful",L484&lt;500,"High Performance",L484&lt;800,"Sports Performance",L484&gt;=800,"Super Performance")</f>
        <v>Standard</v>
      </c>
    </row>
    <row r="485" spans="1:13" x14ac:dyDescent="0.25">
      <c r="A485" s="5" t="s">
        <v>22</v>
      </c>
      <c r="B485" s="3" t="s">
        <v>632</v>
      </c>
      <c r="C485" s="3" t="s">
        <v>349</v>
      </c>
      <c r="D485" s="4">
        <v>830000</v>
      </c>
      <c r="E485" s="3">
        <v>1198</v>
      </c>
      <c r="F485" s="3">
        <v>3</v>
      </c>
      <c r="G485" s="3" t="s">
        <v>10</v>
      </c>
      <c r="H485" s="3" t="s">
        <v>66</v>
      </c>
      <c r="I485" s="3">
        <v>5</v>
      </c>
      <c r="J485" s="3" t="s">
        <v>30</v>
      </c>
      <c r="K485" s="18">
        <v>110</v>
      </c>
      <c r="L485" s="16">
        <v>170</v>
      </c>
      <c r="M485" s="6" t="str" cm="1">
        <f t="array" ref="M485">_xlfn.IFS(L485&lt;100,"Economy",L485&lt;200,"Standard",L485&lt;350,"Powerful",L485&lt;500,"High Performance",L485&lt;800,"Sports Performance",L485&gt;=800,"Super Performance")</f>
        <v>Standard</v>
      </c>
    </row>
    <row r="486" spans="1:13" x14ac:dyDescent="0.25">
      <c r="A486" s="5" t="s">
        <v>22</v>
      </c>
      <c r="B486" s="3" t="s">
        <v>632</v>
      </c>
      <c r="C486" s="3" t="s">
        <v>638</v>
      </c>
      <c r="D486" s="4">
        <v>1010000</v>
      </c>
      <c r="E486" s="3">
        <v>1198</v>
      </c>
      <c r="F486" s="3">
        <v>3</v>
      </c>
      <c r="G486" s="3" t="s">
        <v>10</v>
      </c>
      <c r="H486" s="3" t="s">
        <v>66</v>
      </c>
      <c r="I486" s="3">
        <v>5</v>
      </c>
      <c r="J486" s="3" t="s">
        <v>30</v>
      </c>
      <c r="K486" s="18">
        <v>110</v>
      </c>
      <c r="L486" s="16">
        <v>170</v>
      </c>
      <c r="M486" s="6" t="str" cm="1">
        <f t="array" ref="M486">_xlfn.IFS(L486&lt;100,"Economy",L486&lt;200,"Standard",L486&lt;350,"Powerful",L486&lt;500,"High Performance",L486&lt;800,"Sports Performance",L486&gt;=800,"Super Performance")</f>
        <v>Standard</v>
      </c>
    </row>
    <row r="487" spans="1:13" x14ac:dyDescent="0.25">
      <c r="A487" s="5" t="s">
        <v>22</v>
      </c>
      <c r="B487" s="3" t="s">
        <v>632</v>
      </c>
      <c r="C487" s="3" t="s">
        <v>639</v>
      </c>
      <c r="D487" s="4">
        <v>1030000</v>
      </c>
      <c r="E487" s="3">
        <v>1198</v>
      </c>
      <c r="F487" s="3">
        <v>3</v>
      </c>
      <c r="G487" s="3" t="s">
        <v>10</v>
      </c>
      <c r="H487" s="3" t="s">
        <v>66</v>
      </c>
      <c r="I487" s="3">
        <v>5</v>
      </c>
      <c r="J487" s="3" t="s">
        <v>30</v>
      </c>
      <c r="K487" s="18">
        <v>110</v>
      </c>
      <c r="L487" s="16">
        <v>170</v>
      </c>
      <c r="M487" s="6" t="str" cm="1">
        <f t="array" ref="M487">_xlfn.IFS(L487&lt;100,"Economy",L487&lt;200,"Standard",L487&lt;350,"Powerful",L487&lt;500,"High Performance",L487&lt;800,"Sports Performance",L487&gt;=800,"Super Performance")</f>
        <v>Standard</v>
      </c>
    </row>
    <row r="488" spans="1:13" x14ac:dyDescent="0.25">
      <c r="A488" s="5" t="s">
        <v>22</v>
      </c>
      <c r="B488" s="3" t="s">
        <v>632</v>
      </c>
      <c r="C488" s="3" t="s">
        <v>640</v>
      </c>
      <c r="D488" s="4">
        <v>1100000</v>
      </c>
      <c r="E488" s="3">
        <v>1198</v>
      </c>
      <c r="F488" s="3">
        <v>3</v>
      </c>
      <c r="G488" s="3" t="s">
        <v>10</v>
      </c>
      <c r="H488" s="3" t="s">
        <v>66</v>
      </c>
      <c r="I488" s="3">
        <v>5</v>
      </c>
      <c r="J488" s="3" t="s">
        <v>30</v>
      </c>
      <c r="K488" s="18">
        <v>110</v>
      </c>
      <c r="L488" s="16">
        <v>170</v>
      </c>
      <c r="M488" s="6" t="str" cm="1">
        <f t="array" ref="M488">_xlfn.IFS(L488&lt;100,"Economy",L488&lt;200,"Standard",L488&lt;350,"Powerful",L488&lt;500,"High Performance",L488&lt;800,"Sports Performance",L488&gt;=800,"Super Performance")</f>
        <v>Standard</v>
      </c>
    </row>
    <row r="489" spans="1:13" x14ac:dyDescent="0.25">
      <c r="A489" s="5" t="s">
        <v>22</v>
      </c>
      <c r="B489" s="3" t="s">
        <v>632</v>
      </c>
      <c r="C489" s="3" t="s">
        <v>641</v>
      </c>
      <c r="D489" s="4">
        <v>1120000</v>
      </c>
      <c r="E489" s="3">
        <v>1198</v>
      </c>
      <c r="F489" s="3">
        <v>3</v>
      </c>
      <c r="G489" s="3" t="s">
        <v>10</v>
      </c>
      <c r="H489" s="3" t="s">
        <v>66</v>
      </c>
      <c r="I489" s="3">
        <v>5</v>
      </c>
      <c r="J489" s="3" t="s">
        <v>30</v>
      </c>
      <c r="K489" s="18">
        <v>110</v>
      </c>
      <c r="L489" s="16">
        <v>170</v>
      </c>
      <c r="M489" s="6" t="str" cm="1">
        <f t="array" ref="M489">_xlfn.IFS(L489&lt;100,"Economy",L489&lt;200,"Standard",L489&lt;350,"Powerful",L489&lt;500,"High Performance",L489&lt;800,"Sports Performance",L489&gt;=800,"Super Performance")</f>
        <v>Standard</v>
      </c>
    </row>
    <row r="490" spans="1:13" x14ac:dyDescent="0.25">
      <c r="A490" s="5" t="s">
        <v>40</v>
      </c>
      <c r="B490" s="3" t="s">
        <v>642</v>
      </c>
      <c r="C490" s="3" t="s">
        <v>643</v>
      </c>
      <c r="D490" s="4">
        <v>791000</v>
      </c>
      <c r="E490" s="3">
        <v>1497</v>
      </c>
      <c r="F490" s="3">
        <v>3</v>
      </c>
      <c r="G490" s="3" t="s">
        <v>10</v>
      </c>
      <c r="H490" s="3" t="s">
        <v>66</v>
      </c>
      <c r="I490" s="3">
        <v>5</v>
      </c>
      <c r="J490" s="3" t="s">
        <v>12</v>
      </c>
      <c r="K490" s="18">
        <v>123</v>
      </c>
      <c r="L490" s="16">
        <v>150</v>
      </c>
      <c r="M490" s="6" t="str" cm="1">
        <f t="array" ref="M490">_xlfn.IFS(L490&lt;100,"Economy",L490&lt;200,"Standard",L490&lt;350,"Powerful",L490&lt;500,"High Performance",L490&lt;800,"Sports Performance",L490&gt;=800,"Super Performance")</f>
        <v>Standard</v>
      </c>
    </row>
    <row r="491" spans="1:13" x14ac:dyDescent="0.25">
      <c r="A491" s="5" t="s">
        <v>40</v>
      </c>
      <c r="B491" s="3" t="s">
        <v>642</v>
      </c>
      <c r="C491" s="3" t="s">
        <v>644</v>
      </c>
      <c r="D491" s="4">
        <v>871000</v>
      </c>
      <c r="E491" s="3">
        <v>1497</v>
      </c>
      <c r="F491" s="3">
        <v>3</v>
      </c>
      <c r="G491" s="3" t="s">
        <v>10</v>
      </c>
      <c r="H491" s="3" t="s">
        <v>66</v>
      </c>
      <c r="I491" s="3">
        <v>5</v>
      </c>
      <c r="J491" s="3" t="s">
        <v>12</v>
      </c>
      <c r="K491" s="18">
        <v>123</v>
      </c>
      <c r="L491" s="16">
        <v>150</v>
      </c>
      <c r="M491" s="6" t="str" cm="1">
        <f t="array" ref="M491">_xlfn.IFS(L491&lt;100,"Economy",L491&lt;200,"Standard",L491&lt;350,"Powerful",L491&lt;500,"High Performance",L491&lt;800,"Sports Performance",L491&gt;=800,"Super Performance")</f>
        <v>Standard</v>
      </c>
    </row>
    <row r="492" spans="1:13" x14ac:dyDescent="0.25">
      <c r="A492" s="5" t="s">
        <v>40</v>
      </c>
      <c r="B492" s="3" t="s">
        <v>642</v>
      </c>
      <c r="C492" s="3" t="s">
        <v>645</v>
      </c>
      <c r="D492" s="4">
        <v>950000</v>
      </c>
      <c r="E492" s="3">
        <v>1497</v>
      </c>
      <c r="F492" s="3">
        <v>3</v>
      </c>
      <c r="G492" s="3" t="s">
        <v>10</v>
      </c>
      <c r="H492" s="3" t="s">
        <v>66</v>
      </c>
      <c r="I492" s="3">
        <v>5</v>
      </c>
      <c r="J492" s="3" t="s">
        <v>12</v>
      </c>
      <c r="K492" s="18">
        <v>123</v>
      </c>
      <c r="L492" s="16">
        <v>150</v>
      </c>
      <c r="M492" s="6" t="str" cm="1">
        <f t="array" ref="M492">_xlfn.IFS(L492&lt;100,"Economy",L492&lt;200,"Standard",L492&lt;350,"Powerful",L492&lt;500,"High Performance",L492&lt;800,"Sports Performance",L492&gt;=800,"Super Performance")</f>
        <v>Standard</v>
      </c>
    </row>
    <row r="493" spans="1:13" x14ac:dyDescent="0.25">
      <c r="A493" s="5" t="s">
        <v>40</v>
      </c>
      <c r="B493" s="3" t="s">
        <v>642</v>
      </c>
      <c r="C493" s="3" t="s">
        <v>646</v>
      </c>
      <c r="D493" s="4">
        <v>1130000</v>
      </c>
      <c r="E493" s="3">
        <v>1497</v>
      </c>
      <c r="F493" s="3">
        <v>3</v>
      </c>
      <c r="G493" s="3" t="s">
        <v>10</v>
      </c>
      <c r="H493" s="3" t="s">
        <v>66</v>
      </c>
      <c r="I493" s="3">
        <v>5</v>
      </c>
      <c r="J493" s="3" t="s">
        <v>30</v>
      </c>
      <c r="K493" s="18">
        <v>123</v>
      </c>
      <c r="L493" s="16">
        <v>150</v>
      </c>
      <c r="M493" s="6" t="str" cm="1">
        <f t="array" ref="M493">_xlfn.IFS(L493&lt;100,"Economy",L493&lt;200,"Standard",L493&lt;350,"Powerful",L493&lt;500,"High Performance",L493&lt;800,"Sports Performance",L493&gt;=800,"Super Performance")</f>
        <v>Standard</v>
      </c>
    </row>
    <row r="494" spans="1:13" x14ac:dyDescent="0.25">
      <c r="A494" s="5" t="s">
        <v>40</v>
      </c>
      <c r="B494" s="3" t="s">
        <v>642</v>
      </c>
      <c r="C494" s="3" t="s">
        <v>647</v>
      </c>
      <c r="D494" s="4">
        <v>1145000</v>
      </c>
      <c r="E494" s="3">
        <v>1498</v>
      </c>
      <c r="F494" s="3">
        <v>3</v>
      </c>
      <c r="G494" s="3" t="s">
        <v>36</v>
      </c>
      <c r="H494" s="3" t="s">
        <v>66</v>
      </c>
      <c r="I494" s="3">
        <v>5</v>
      </c>
      <c r="J494" s="3" t="s">
        <v>12</v>
      </c>
      <c r="K494" s="18">
        <v>100</v>
      </c>
      <c r="L494" s="16">
        <v>205</v>
      </c>
      <c r="M494" s="6" t="str" cm="1">
        <f t="array" ref="M494">_xlfn.IFS(L494&lt;100,"Economy",L494&lt;200,"Standard",L494&lt;350,"Powerful",L494&lt;500,"High Performance",L494&lt;800,"Sports Performance",L494&gt;=800,"Super Performance")</f>
        <v>Powerful</v>
      </c>
    </row>
    <row r="495" spans="1:13" x14ac:dyDescent="0.25">
      <c r="A495" s="5" t="s">
        <v>22</v>
      </c>
      <c r="B495" s="3" t="s">
        <v>648</v>
      </c>
      <c r="C495" s="3" t="s">
        <v>649</v>
      </c>
      <c r="D495" s="4">
        <v>960868</v>
      </c>
      <c r="E495" s="3" t="s">
        <v>1386</v>
      </c>
      <c r="F495" s="3">
        <v>0</v>
      </c>
      <c r="G495" s="3" t="s">
        <v>141</v>
      </c>
      <c r="H495" s="3" t="s">
        <v>27</v>
      </c>
      <c r="I495" s="3">
        <v>5</v>
      </c>
      <c r="J495" s="3" t="s">
        <v>30</v>
      </c>
      <c r="K495" s="18">
        <v>41.5</v>
      </c>
      <c r="L495" s="16">
        <v>105</v>
      </c>
      <c r="M495" s="6" t="str" cm="1">
        <f t="array" ref="M495">_xlfn.IFS(L495&lt;100,"Economy",L495&lt;200,"Standard",L495&lt;350,"Powerful",L495&lt;500,"High Performance",L495&lt;800,"Sports Performance",L495&gt;=800,"Super Performance")</f>
        <v>Standard</v>
      </c>
    </row>
    <row r="496" spans="1:13" x14ac:dyDescent="0.25">
      <c r="A496" s="5" t="s">
        <v>22</v>
      </c>
      <c r="B496" s="3" t="s">
        <v>648</v>
      </c>
      <c r="C496" s="3" t="s">
        <v>650</v>
      </c>
      <c r="D496" s="4">
        <v>975868</v>
      </c>
      <c r="E496" s="3" t="s">
        <v>1386</v>
      </c>
      <c r="F496" s="3">
        <v>0</v>
      </c>
      <c r="G496" s="3" t="s">
        <v>141</v>
      </c>
      <c r="H496" s="3" t="s">
        <v>27</v>
      </c>
      <c r="I496" s="3">
        <v>5</v>
      </c>
      <c r="J496" s="3" t="s">
        <v>30</v>
      </c>
      <c r="K496" s="18">
        <v>41.5</v>
      </c>
      <c r="L496" s="16">
        <v>105</v>
      </c>
      <c r="M496" s="6" t="str" cm="1">
        <f t="array" ref="M496">_xlfn.IFS(L496&lt;100,"Economy",L496&lt;200,"Standard",L496&lt;350,"Powerful",L496&lt;500,"High Performance",L496&lt;800,"Sports Performance",L496&gt;=800,"Super Performance")</f>
        <v>Standard</v>
      </c>
    </row>
    <row r="497" spans="1:13" x14ac:dyDescent="0.25">
      <c r="A497" s="5" t="s">
        <v>22</v>
      </c>
      <c r="B497" s="3" t="s">
        <v>648</v>
      </c>
      <c r="C497" s="3" t="s">
        <v>651</v>
      </c>
      <c r="D497" s="4">
        <v>944175</v>
      </c>
      <c r="E497" s="3" t="s">
        <v>1386</v>
      </c>
      <c r="F497" s="3">
        <v>0</v>
      </c>
      <c r="G497" s="3" t="s">
        <v>141</v>
      </c>
      <c r="H497" s="3" t="s">
        <v>27</v>
      </c>
      <c r="I497" s="3">
        <v>5</v>
      </c>
      <c r="J497" s="3" t="s">
        <v>30</v>
      </c>
      <c r="K497" s="18">
        <v>41.5</v>
      </c>
      <c r="L497" s="16">
        <v>105</v>
      </c>
      <c r="M497" s="6" t="str" cm="1">
        <f t="array" ref="M497">_xlfn.IFS(L497&lt;100,"Economy",L497&lt;200,"Standard",L497&lt;350,"Powerful",L497&lt;500,"High Performance",L497&lt;800,"Sports Performance",L497&gt;=800,"Super Performance")</f>
        <v>Standard</v>
      </c>
    </row>
    <row r="498" spans="1:13" x14ac:dyDescent="0.25">
      <c r="A498" s="5" t="s">
        <v>382</v>
      </c>
      <c r="B498" s="3" t="s">
        <v>652</v>
      </c>
      <c r="C498" s="3" t="s">
        <v>653</v>
      </c>
      <c r="D498" s="4">
        <v>3850500</v>
      </c>
      <c r="E498" s="3">
        <v>1984</v>
      </c>
      <c r="F498" s="3">
        <v>5</v>
      </c>
      <c r="G498" s="3" t="s">
        <v>36</v>
      </c>
      <c r="H498" s="3" t="s">
        <v>27</v>
      </c>
      <c r="I498" s="3">
        <v>5</v>
      </c>
      <c r="J498" s="3" t="s">
        <v>30</v>
      </c>
      <c r="K498" s="18">
        <v>181</v>
      </c>
      <c r="L498" s="16">
        <v>400</v>
      </c>
      <c r="M498" s="6" t="str" cm="1">
        <f t="array" ref="M498">_xlfn.IFS(L498&lt;100,"Economy",L498&lt;200,"Standard",L498&lt;350,"Powerful",L498&lt;500,"High Performance",L498&lt;800,"Sports Performance",L498&gt;=800,"Super Performance")</f>
        <v>High Performance</v>
      </c>
    </row>
    <row r="499" spans="1:13" x14ac:dyDescent="0.25">
      <c r="A499" s="5" t="s">
        <v>68</v>
      </c>
      <c r="B499" s="3" t="s">
        <v>495</v>
      </c>
      <c r="C499" s="3" t="s">
        <v>654</v>
      </c>
      <c r="D499" s="4">
        <v>5021200</v>
      </c>
      <c r="E499" s="3">
        <v>1984</v>
      </c>
      <c r="F499" s="3">
        <v>6</v>
      </c>
      <c r="G499" s="3" t="s">
        <v>10</v>
      </c>
      <c r="H499" s="3" t="s">
        <v>66</v>
      </c>
      <c r="I499" s="3">
        <v>5</v>
      </c>
      <c r="J499" s="3" t="s">
        <v>30</v>
      </c>
      <c r="K499" s="18">
        <v>248</v>
      </c>
      <c r="L499" s="16">
        <v>370</v>
      </c>
      <c r="M499" s="6" t="str" cm="1">
        <f t="array" ref="M499">_xlfn.IFS(L499&lt;100,"Economy",L499&lt;200,"Standard",L499&lt;350,"Powerful",L499&lt;500,"High Performance",L499&lt;800,"Sports Performance",L499&gt;=800,"Super Performance")</f>
        <v>High Performance</v>
      </c>
    </row>
    <row r="500" spans="1:13" x14ac:dyDescent="0.25">
      <c r="A500" s="5" t="s">
        <v>68</v>
      </c>
      <c r="B500" s="3" t="s">
        <v>495</v>
      </c>
      <c r="C500" s="3" t="s">
        <v>655</v>
      </c>
      <c r="D500" s="4">
        <v>5621200</v>
      </c>
      <c r="E500" s="3">
        <v>1984</v>
      </c>
      <c r="F500" s="3">
        <v>6</v>
      </c>
      <c r="G500" s="3" t="s">
        <v>10</v>
      </c>
      <c r="H500" s="3" t="s">
        <v>66</v>
      </c>
      <c r="I500" s="3">
        <v>5</v>
      </c>
      <c r="J500" s="3" t="s">
        <v>30</v>
      </c>
      <c r="K500" s="18">
        <v>248</v>
      </c>
      <c r="L500" s="16">
        <v>370</v>
      </c>
      <c r="M500" s="6" t="str" cm="1">
        <f t="array" ref="M500">_xlfn.IFS(L500&lt;100,"Economy",L500&lt;200,"Standard",L500&lt;350,"Powerful",L500&lt;500,"High Performance",L500&lt;800,"Sports Performance",L500&gt;=800,"Super Performance")</f>
        <v>High Performance</v>
      </c>
    </row>
    <row r="501" spans="1:13" x14ac:dyDescent="0.25">
      <c r="A501" s="5" t="s">
        <v>90</v>
      </c>
      <c r="B501" s="3" t="s">
        <v>386</v>
      </c>
      <c r="C501" s="3" t="s">
        <v>656</v>
      </c>
      <c r="D501" s="4">
        <v>5964321</v>
      </c>
      <c r="E501" s="3">
        <v>2987</v>
      </c>
      <c r="F501" s="3">
        <v>6</v>
      </c>
      <c r="G501" s="3" t="s">
        <v>36</v>
      </c>
      <c r="H501" s="3" t="s">
        <v>27</v>
      </c>
      <c r="I501" s="3">
        <v>5</v>
      </c>
      <c r="J501" s="3" t="s">
        <v>30</v>
      </c>
      <c r="K501" s="18">
        <v>268.7</v>
      </c>
      <c r="L501" s="16">
        <v>620</v>
      </c>
      <c r="M501" s="6" t="str" cm="1">
        <f t="array" ref="M501">_xlfn.IFS(L501&lt;100,"Economy",L501&lt;200,"Standard",L501&lt;350,"Powerful",L501&lt;500,"High Performance",L501&lt;800,"Sports Performance",L501&gt;=800,"Super Performance")</f>
        <v>Sports Performance</v>
      </c>
    </row>
    <row r="502" spans="1:13" x14ac:dyDescent="0.25">
      <c r="A502" s="5" t="s">
        <v>90</v>
      </c>
      <c r="B502" s="3" t="s">
        <v>386</v>
      </c>
      <c r="C502" s="3" t="s">
        <v>657</v>
      </c>
      <c r="D502" s="4">
        <v>5850000</v>
      </c>
      <c r="E502" s="3">
        <v>2987</v>
      </c>
      <c r="F502" s="3">
        <v>6</v>
      </c>
      <c r="G502" s="3" t="s">
        <v>36</v>
      </c>
      <c r="H502" s="3" t="s">
        <v>27</v>
      </c>
      <c r="I502" s="3">
        <v>5</v>
      </c>
      <c r="J502" s="3" t="s">
        <v>30</v>
      </c>
      <c r="K502" s="18">
        <v>268.7</v>
      </c>
      <c r="L502" s="16">
        <v>620</v>
      </c>
      <c r="M502" s="6" t="str" cm="1">
        <f t="array" ref="M502">_xlfn.IFS(L502&lt;100,"Economy",L502&lt;200,"Standard",L502&lt;350,"Powerful",L502&lt;500,"High Performance",L502&lt;800,"Sports Performance",L502&gt;=800,"Super Performance")</f>
        <v>Sports Performance</v>
      </c>
    </row>
    <row r="503" spans="1:13" x14ac:dyDescent="0.25">
      <c r="A503" s="5" t="s">
        <v>90</v>
      </c>
      <c r="B503" s="3" t="s">
        <v>386</v>
      </c>
      <c r="C503" s="3" t="s">
        <v>658</v>
      </c>
      <c r="D503" s="4">
        <v>6250000</v>
      </c>
      <c r="E503" s="3">
        <v>2987</v>
      </c>
      <c r="F503" s="3">
        <v>6</v>
      </c>
      <c r="G503" s="3" t="s">
        <v>36</v>
      </c>
      <c r="H503" s="3" t="s">
        <v>27</v>
      </c>
      <c r="I503" s="3">
        <v>5</v>
      </c>
      <c r="J503" s="3" t="s">
        <v>30</v>
      </c>
      <c r="K503" s="18">
        <v>268.7</v>
      </c>
      <c r="L503" s="16">
        <v>620</v>
      </c>
      <c r="M503" s="6" t="str" cm="1">
        <f t="array" ref="M503">_xlfn.IFS(L503&lt;100,"Economy",L503&lt;200,"Standard",L503&lt;350,"Powerful",L503&lt;500,"High Performance",L503&lt;800,"Sports Performance",L503&gt;=800,"Super Performance")</f>
        <v>Sports Performance</v>
      </c>
    </row>
    <row r="504" spans="1:13" x14ac:dyDescent="0.25">
      <c r="A504" s="5" t="s">
        <v>78</v>
      </c>
      <c r="B504" s="3" t="s">
        <v>659</v>
      </c>
      <c r="C504" s="3" t="s">
        <v>660</v>
      </c>
      <c r="D504" s="4">
        <v>6590000</v>
      </c>
      <c r="E504" s="3">
        <v>2993</v>
      </c>
      <c r="F504" s="3">
        <v>6</v>
      </c>
      <c r="G504" s="3" t="s">
        <v>36</v>
      </c>
      <c r="H504" s="3" t="s">
        <v>66</v>
      </c>
      <c r="I504" s="3">
        <v>5</v>
      </c>
      <c r="J504" s="3" t="s">
        <v>30</v>
      </c>
      <c r="K504" s="18">
        <v>265</v>
      </c>
      <c r="L504" s="16">
        <v>620</v>
      </c>
      <c r="M504" s="6" t="str" cm="1">
        <f t="array" ref="M504">_xlfn.IFS(L504&lt;100,"Economy",L504&lt;200,"Standard",L504&lt;350,"Powerful",L504&lt;500,"High Performance",L504&lt;800,"Sports Performance",L504&gt;=800,"Super Performance")</f>
        <v>Sports Performance</v>
      </c>
    </row>
    <row r="505" spans="1:13" x14ac:dyDescent="0.25">
      <c r="A505" s="5" t="s">
        <v>78</v>
      </c>
      <c r="B505" s="3" t="s">
        <v>659</v>
      </c>
      <c r="C505" s="3" t="s">
        <v>661</v>
      </c>
      <c r="D505" s="4">
        <v>6350000</v>
      </c>
      <c r="E505" s="3">
        <v>1998</v>
      </c>
      <c r="F505" s="3">
        <v>6</v>
      </c>
      <c r="G505" s="3" t="s">
        <v>10</v>
      </c>
      <c r="H505" s="3" t="s">
        <v>66</v>
      </c>
      <c r="I505" s="3">
        <v>5</v>
      </c>
      <c r="J505" s="3" t="s">
        <v>30</v>
      </c>
      <c r="K505" s="18">
        <v>248</v>
      </c>
      <c r="L505" s="16">
        <v>350</v>
      </c>
      <c r="M505" s="6" t="str" cm="1">
        <f t="array" ref="M505">_xlfn.IFS(L505&lt;100,"Economy",L505&lt;200,"Standard",L505&lt;350,"Powerful",L505&lt;500,"High Performance",L505&lt;800,"Sports Performance",L505&gt;=800,"Super Performance")</f>
        <v>High Performance</v>
      </c>
    </row>
    <row r="506" spans="1:13" x14ac:dyDescent="0.25">
      <c r="A506" s="5" t="s">
        <v>90</v>
      </c>
      <c r="B506" s="3" t="s">
        <v>662</v>
      </c>
      <c r="C506" s="3" t="s">
        <v>663</v>
      </c>
      <c r="D506" s="4">
        <v>7500000</v>
      </c>
      <c r="E506" s="3">
        <v>1950</v>
      </c>
      <c r="F506" s="3">
        <v>6</v>
      </c>
      <c r="G506" s="3" t="s">
        <v>36</v>
      </c>
      <c r="H506" s="3" t="s">
        <v>66</v>
      </c>
      <c r="I506" s="3">
        <v>5</v>
      </c>
      <c r="J506" s="3" t="s">
        <v>30</v>
      </c>
      <c r="K506" s="18">
        <v>194</v>
      </c>
      <c r="L506" s="16">
        <v>400</v>
      </c>
      <c r="M506" s="6" t="str" cm="1">
        <f t="array" ref="M506">_xlfn.IFS(L506&lt;100,"Economy",L506&lt;200,"Standard",L506&lt;350,"Powerful",L506&lt;500,"High Performance",L506&lt;800,"Sports Performance",L506&gt;=800,"Super Performance")</f>
        <v>High Performance</v>
      </c>
    </row>
    <row r="507" spans="1:13" x14ac:dyDescent="0.25">
      <c r="A507" s="5" t="s">
        <v>146</v>
      </c>
      <c r="B507" s="3" t="s">
        <v>147</v>
      </c>
      <c r="C507" s="3" t="s">
        <v>664</v>
      </c>
      <c r="D507" s="4">
        <v>10373732</v>
      </c>
      <c r="E507" s="3">
        <v>2993</v>
      </c>
      <c r="F507" s="3">
        <v>6</v>
      </c>
      <c r="G507" s="3" t="s">
        <v>36</v>
      </c>
      <c r="H507" s="3" t="s">
        <v>66</v>
      </c>
      <c r="I507" s="3">
        <v>5</v>
      </c>
      <c r="J507" s="3" t="s">
        <v>30</v>
      </c>
      <c r="K507" s="18">
        <v>254</v>
      </c>
      <c r="L507" s="16">
        <v>600</v>
      </c>
      <c r="M507" s="6" t="str" cm="1">
        <f t="array" ref="M507">_xlfn.IFS(L507&lt;100,"Economy",L507&lt;200,"Standard",L507&lt;350,"Powerful",L507&lt;500,"High Performance",L507&lt;800,"Sports Performance",L507&gt;=800,"Super Performance")</f>
        <v>Sports Performance</v>
      </c>
    </row>
    <row r="508" spans="1:13" x14ac:dyDescent="0.25">
      <c r="A508" s="5" t="s">
        <v>146</v>
      </c>
      <c r="B508" s="3" t="s">
        <v>147</v>
      </c>
      <c r="C508" s="3" t="s">
        <v>665</v>
      </c>
      <c r="D508" s="4">
        <v>11913021</v>
      </c>
      <c r="E508" s="3">
        <v>2993</v>
      </c>
      <c r="F508" s="3">
        <v>6</v>
      </c>
      <c r="G508" s="3" t="s">
        <v>36</v>
      </c>
      <c r="H508" s="3" t="s">
        <v>66</v>
      </c>
      <c r="I508" s="3">
        <v>5</v>
      </c>
      <c r="J508" s="3" t="s">
        <v>30</v>
      </c>
      <c r="K508" s="18">
        <v>254</v>
      </c>
      <c r="L508" s="16">
        <v>600</v>
      </c>
      <c r="M508" s="6" t="str" cm="1">
        <f t="array" ref="M508">_xlfn.IFS(L508&lt;100,"Economy",L508&lt;200,"Standard",L508&lt;350,"Powerful",L508&lt;500,"High Performance",L508&lt;800,"Sports Performance",L508&gt;=800,"Super Performance")</f>
        <v>Sports Performance</v>
      </c>
    </row>
    <row r="509" spans="1:13" x14ac:dyDescent="0.25">
      <c r="A509" s="5" t="s">
        <v>297</v>
      </c>
      <c r="B509" s="3" t="s">
        <v>666</v>
      </c>
      <c r="C509" s="3" t="s">
        <v>667</v>
      </c>
      <c r="D509" s="4">
        <v>15806000</v>
      </c>
      <c r="E509" s="3">
        <v>2995</v>
      </c>
      <c r="F509" s="3">
        <v>6</v>
      </c>
      <c r="G509" s="3" t="s">
        <v>194</v>
      </c>
      <c r="H509" s="3" t="s">
        <v>66</v>
      </c>
      <c r="I509" s="3">
        <v>5</v>
      </c>
      <c r="J509" s="3" t="s">
        <v>30</v>
      </c>
      <c r="K509" s="18">
        <v>340</v>
      </c>
      <c r="L509" s="16">
        <v>450</v>
      </c>
      <c r="M509" s="6" t="str" cm="1">
        <f t="array" ref="M509">_xlfn.IFS(L509&lt;100,"Economy",L509&lt;200,"Standard",L509&lt;350,"Powerful",L509&lt;500,"High Performance",L509&lt;800,"Sports Performance",L509&gt;=800,"Super Performance")</f>
        <v>High Performance</v>
      </c>
    </row>
    <row r="510" spans="1:13" x14ac:dyDescent="0.25">
      <c r="A510" s="5" t="s">
        <v>297</v>
      </c>
      <c r="B510" s="3" t="s">
        <v>666</v>
      </c>
      <c r="C510" s="3" t="s">
        <v>300</v>
      </c>
      <c r="D510" s="4">
        <v>19210000</v>
      </c>
      <c r="E510" s="3">
        <v>3996</v>
      </c>
      <c r="F510" s="3">
        <v>6</v>
      </c>
      <c r="G510" s="3" t="s">
        <v>10</v>
      </c>
      <c r="H510" s="3" t="s">
        <v>66</v>
      </c>
      <c r="I510" s="3">
        <v>5</v>
      </c>
      <c r="J510" s="3" t="s">
        <v>30</v>
      </c>
      <c r="K510" s="18">
        <v>550</v>
      </c>
      <c r="L510" s="16">
        <v>770</v>
      </c>
      <c r="M510" s="6" t="str" cm="1">
        <f t="array" ref="M510">_xlfn.IFS(L510&lt;100,"Economy",L510&lt;200,"Standard",L510&lt;350,"Powerful",L510&lt;500,"High Performance",L510&lt;800,"Sports Performance",L510&gt;=800,"Super Performance")</f>
        <v>Sports Performance</v>
      </c>
    </row>
    <row r="511" spans="1:13" x14ac:dyDescent="0.25">
      <c r="A511" s="5" t="s">
        <v>297</v>
      </c>
      <c r="B511" s="3" t="s">
        <v>666</v>
      </c>
      <c r="C511" s="3" t="s">
        <v>299</v>
      </c>
      <c r="D511" s="4">
        <v>11936000</v>
      </c>
      <c r="E511" s="3">
        <v>2995</v>
      </c>
      <c r="F511" s="3">
        <v>6</v>
      </c>
      <c r="G511" s="3" t="s">
        <v>10</v>
      </c>
      <c r="H511" s="3" t="s">
        <v>66</v>
      </c>
      <c r="I511" s="3">
        <v>5</v>
      </c>
      <c r="J511" s="3" t="s">
        <v>30</v>
      </c>
      <c r="K511" s="18">
        <v>335</v>
      </c>
      <c r="L511" s="16">
        <v>450</v>
      </c>
      <c r="M511" s="6" t="str" cm="1">
        <f t="array" ref="M511">_xlfn.IFS(L511&lt;100,"Economy",L511&lt;200,"Standard",L511&lt;350,"Powerful",L511&lt;500,"High Performance",L511&lt;800,"Sports Performance",L511&gt;=800,"Super Performance")</f>
        <v>High Performance</v>
      </c>
    </row>
    <row r="512" spans="1:13" x14ac:dyDescent="0.25">
      <c r="A512" s="5" t="s">
        <v>146</v>
      </c>
      <c r="B512" s="3" t="s">
        <v>585</v>
      </c>
      <c r="C512" s="3" t="s">
        <v>668</v>
      </c>
      <c r="D512" s="4">
        <v>18185267</v>
      </c>
      <c r="E512" s="3">
        <v>2993</v>
      </c>
      <c r="F512" s="3">
        <v>6</v>
      </c>
      <c r="G512" s="3" t="s">
        <v>36</v>
      </c>
      <c r="H512" s="3" t="s">
        <v>66</v>
      </c>
      <c r="I512" s="3">
        <v>5</v>
      </c>
      <c r="J512" s="3" t="s">
        <v>30</v>
      </c>
      <c r="K512" s="18">
        <v>254</v>
      </c>
      <c r="L512" s="16">
        <v>600</v>
      </c>
      <c r="M512" s="6" t="str" cm="1">
        <f t="array" ref="M512">_xlfn.IFS(L512&lt;100,"Economy",L512&lt;200,"Standard",L512&lt;350,"Powerful",L512&lt;500,"High Performance",L512&lt;800,"Sports Performance",L512&gt;=800,"Super Performance")</f>
        <v>Sports Performance</v>
      </c>
    </row>
    <row r="513" spans="1:13" x14ac:dyDescent="0.25">
      <c r="A513" s="5" t="s">
        <v>239</v>
      </c>
      <c r="B513" s="3" t="s">
        <v>669</v>
      </c>
      <c r="C513" s="3" t="s">
        <v>670</v>
      </c>
      <c r="D513" s="4">
        <v>1029000</v>
      </c>
      <c r="E513" s="3">
        <v>1497</v>
      </c>
      <c r="F513" s="3">
        <v>0</v>
      </c>
      <c r="G513" s="3" t="s">
        <v>10</v>
      </c>
      <c r="H513" s="3" t="s">
        <v>66</v>
      </c>
      <c r="I513" s="3">
        <v>5</v>
      </c>
      <c r="J513" s="3" t="s">
        <v>12</v>
      </c>
      <c r="K513" s="18">
        <v>115</v>
      </c>
      <c r="L513" s="16">
        <v>144</v>
      </c>
      <c r="M513" s="6" t="str" cm="1">
        <f t="array" ref="M513">_xlfn.IFS(L513&lt;100,"Economy",L513&lt;200,"Standard",L513&lt;350,"Powerful",L513&lt;500,"High Performance",L513&lt;800,"Sports Performance",L513&gt;=800,"Super Performance")</f>
        <v>Standard</v>
      </c>
    </row>
    <row r="514" spans="1:13" x14ac:dyDescent="0.25">
      <c r="A514" s="5" t="s">
        <v>239</v>
      </c>
      <c r="B514" s="3" t="s">
        <v>669</v>
      </c>
      <c r="C514" s="3" t="s">
        <v>671</v>
      </c>
      <c r="D514" s="4">
        <v>1149000</v>
      </c>
      <c r="E514" s="3">
        <v>1497</v>
      </c>
      <c r="F514" s="3">
        <v>0</v>
      </c>
      <c r="G514" s="3" t="s">
        <v>10</v>
      </c>
      <c r="H514" s="3" t="s">
        <v>66</v>
      </c>
      <c r="I514" s="3">
        <v>5</v>
      </c>
      <c r="J514" s="3" t="s">
        <v>12</v>
      </c>
      <c r="K514" s="18">
        <v>115</v>
      </c>
      <c r="L514" s="16">
        <v>144</v>
      </c>
      <c r="M514" s="6" t="str" cm="1">
        <f t="array" ref="M514">_xlfn.IFS(L514&lt;100,"Economy",L514&lt;200,"Standard",L514&lt;350,"Powerful",L514&lt;500,"High Performance",L514&lt;800,"Sports Performance",L514&gt;=800,"Super Performance")</f>
        <v>Standard</v>
      </c>
    </row>
    <row r="515" spans="1:13" x14ac:dyDescent="0.25">
      <c r="A515" s="5" t="s">
        <v>239</v>
      </c>
      <c r="B515" s="3" t="s">
        <v>669</v>
      </c>
      <c r="C515" s="3" t="s">
        <v>672</v>
      </c>
      <c r="D515" s="4">
        <v>1309000</v>
      </c>
      <c r="E515" s="3">
        <v>1497</v>
      </c>
      <c r="F515" s="3">
        <v>0</v>
      </c>
      <c r="G515" s="3" t="s">
        <v>10</v>
      </c>
      <c r="H515" s="3" t="s">
        <v>66</v>
      </c>
      <c r="I515" s="3">
        <v>5</v>
      </c>
      <c r="J515" s="3" t="s">
        <v>12</v>
      </c>
      <c r="K515" s="18">
        <v>115</v>
      </c>
      <c r="L515" s="16">
        <v>144</v>
      </c>
      <c r="M515" s="6" t="str" cm="1">
        <f t="array" ref="M515">_xlfn.IFS(L515&lt;100,"Economy",L515&lt;200,"Standard",L515&lt;350,"Powerful",L515&lt;500,"High Performance",L515&lt;800,"Sports Performance",L515&gt;=800,"Super Performance")</f>
        <v>Standard</v>
      </c>
    </row>
    <row r="516" spans="1:13" x14ac:dyDescent="0.25">
      <c r="A516" s="5" t="s">
        <v>239</v>
      </c>
      <c r="B516" s="3" t="s">
        <v>669</v>
      </c>
      <c r="C516" s="3" t="s">
        <v>673</v>
      </c>
      <c r="D516" s="4">
        <v>1409000</v>
      </c>
      <c r="E516" s="3">
        <v>1497</v>
      </c>
      <c r="F516" s="3">
        <v>0</v>
      </c>
      <c r="G516" s="3" t="s">
        <v>10</v>
      </c>
      <c r="H516" s="3" t="s">
        <v>66</v>
      </c>
      <c r="I516" s="3">
        <v>5</v>
      </c>
      <c r="J516" s="3" t="s">
        <v>30</v>
      </c>
      <c r="K516" s="18">
        <v>115</v>
      </c>
      <c r="L516" s="16">
        <v>144</v>
      </c>
      <c r="M516" s="6" t="str" cm="1">
        <f t="array" ref="M516">_xlfn.IFS(L516&lt;100,"Economy",L516&lt;200,"Standard",L516&lt;350,"Powerful",L516&lt;500,"High Performance",L516&lt;800,"Sports Performance",L516&gt;=800,"Super Performance")</f>
        <v>Standard</v>
      </c>
    </row>
    <row r="517" spans="1:13" x14ac:dyDescent="0.25">
      <c r="A517" s="5" t="s">
        <v>239</v>
      </c>
      <c r="B517" s="3" t="s">
        <v>669</v>
      </c>
      <c r="C517" s="3" t="s">
        <v>674</v>
      </c>
      <c r="D517" s="4">
        <v>1034000</v>
      </c>
      <c r="E517" s="3">
        <v>1493</v>
      </c>
      <c r="F517" s="3">
        <v>0</v>
      </c>
      <c r="G517" s="3" t="s">
        <v>36</v>
      </c>
      <c r="H517" s="3" t="s">
        <v>66</v>
      </c>
      <c r="I517" s="3">
        <v>5</v>
      </c>
      <c r="J517" s="3" t="s">
        <v>12</v>
      </c>
      <c r="K517" s="18">
        <v>114</v>
      </c>
      <c r="L517" s="16">
        <v>250</v>
      </c>
      <c r="M517" s="6" t="str" cm="1">
        <f t="array" ref="M517">_xlfn.IFS(L517&lt;100,"Economy",L517&lt;200,"Standard",L517&lt;350,"Powerful",L517&lt;500,"High Performance",L517&lt;800,"Sports Performance",L517&gt;=800,"Super Performance")</f>
        <v>Powerful</v>
      </c>
    </row>
    <row r="518" spans="1:13" x14ac:dyDescent="0.25">
      <c r="A518" s="5" t="s">
        <v>239</v>
      </c>
      <c r="B518" s="3" t="s">
        <v>669</v>
      </c>
      <c r="C518" s="3" t="s">
        <v>675</v>
      </c>
      <c r="D518" s="4">
        <v>1154000</v>
      </c>
      <c r="E518" s="3">
        <v>1493</v>
      </c>
      <c r="F518" s="3">
        <v>0</v>
      </c>
      <c r="G518" s="3" t="s">
        <v>36</v>
      </c>
      <c r="H518" s="3" t="s">
        <v>66</v>
      </c>
      <c r="I518" s="3">
        <v>5</v>
      </c>
      <c r="J518" s="3" t="s">
        <v>12</v>
      </c>
      <c r="K518" s="18">
        <v>115</v>
      </c>
      <c r="L518" s="16">
        <v>250</v>
      </c>
      <c r="M518" s="6" t="str" cm="1">
        <f t="array" ref="M518">_xlfn.IFS(L518&lt;100,"Economy",L518&lt;200,"Standard",L518&lt;350,"Powerful",L518&lt;500,"High Performance",L518&lt;800,"Sports Performance",L518&gt;=800,"Super Performance")</f>
        <v>Powerful</v>
      </c>
    </row>
    <row r="519" spans="1:13" x14ac:dyDescent="0.25">
      <c r="A519" s="5" t="s">
        <v>239</v>
      </c>
      <c r="B519" s="3" t="s">
        <v>669</v>
      </c>
      <c r="C519" s="3" t="s">
        <v>676</v>
      </c>
      <c r="D519" s="4">
        <v>1254000</v>
      </c>
      <c r="E519" s="3">
        <v>1493</v>
      </c>
      <c r="F519" s="3">
        <v>0</v>
      </c>
      <c r="G519" s="3" t="s">
        <v>36</v>
      </c>
      <c r="H519" s="3" t="s">
        <v>66</v>
      </c>
      <c r="I519" s="3">
        <v>5</v>
      </c>
      <c r="J519" s="3" t="s">
        <v>12</v>
      </c>
      <c r="K519" s="18">
        <v>115</v>
      </c>
      <c r="L519" s="16">
        <v>250</v>
      </c>
      <c r="M519" s="6" t="str" cm="1">
        <f t="array" ref="M519">_xlfn.IFS(L519&lt;100,"Economy",L519&lt;200,"Standard",L519&lt;350,"Powerful",L519&lt;500,"High Performance",L519&lt;800,"Sports Performance",L519&gt;=800,"Super Performance")</f>
        <v>Powerful</v>
      </c>
    </row>
    <row r="520" spans="1:13" x14ac:dyDescent="0.25">
      <c r="A520" s="5" t="s">
        <v>239</v>
      </c>
      <c r="B520" s="3" t="s">
        <v>669</v>
      </c>
      <c r="C520" s="3" t="s">
        <v>677</v>
      </c>
      <c r="D520" s="4">
        <v>1354000</v>
      </c>
      <c r="E520" s="3">
        <v>1493</v>
      </c>
      <c r="F520" s="3">
        <v>0</v>
      </c>
      <c r="G520" s="3" t="s">
        <v>36</v>
      </c>
      <c r="H520" s="3" t="s">
        <v>66</v>
      </c>
      <c r="I520" s="3">
        <v>5</v>
      </c>
      <c r="J520" s="3" t="s">
        <v>30</v>
      </c>
      <c r="K520" s="18">
        <v>115</v>
      </c>
      <c r="L520" s="16">
        <v>250</v>
      </c>
      <c r="M520" s="6" t="str" cm="1">
        <f t="array" ref="M520">_xlfn.IFS(L520&lt;100,"Economy",L520&lt;200,"Standard",L520&lt;350,"Powerful",L520&lt;500,"High Performance",L520&lt;800,"Sports Performance",L520&gt;=800,"Super Performance")</f>
        <v>Powerful</v>
      </c>
    </row>
    <row r="521" spans="1:13" x14ac:dyDescent="0.25">
      <c r="A521" s="5" t="s">
        <v>239</v>
      </c>
      <c r="B521" s="3" t="s">
        <v>669</v>
      </c>
      <c r="C521" s="3" t="s">
        <v>678</v>
      </c>
      <c r="D521" s="4">
        <v>1534000</v>
      </c>
      <c r="E521" s="3">
        <v>1493</v>
      </c>
      <c r="F521" s="3">
        <v>0</v>
      </c>
      <c r="G521" s="3" t="s">
        <v>36</v>
      </c>
      <c r="H521" s="3" t="s">
        <v>66</v>
      </c>
      <c r="I521" s="3">
        <v>5</v>
      </c>
      <c r="J521" s="3" t="s">
        <v>12</v>
      </c>
      <c r="K521" s="18">
        <v>115</v>
      </c>
      <c r="L521" s="16">
        <v>250</v>
      </c>
      <c r="M521" s="6" t="str" cm="1">
        <f t="array" ref="M521">_xlfn.IFS(L521&lt;100,"Economy",L521&lt;200,"Standard",L521&lt;350,"Powerful",L521&lt;500,"High Performance",L521&lt;800,"Sports Performance",L521&gt;=800,"Super Performance")</f>
        <v>Powerful</v>
      </c>
    </row>
    <row r="522" spans="1:13" x14ac:dyDescent="0.25">
      <c r="A522" s="5" t="s">
        <v>239</v>
      </c>
      <c r="B522" s="3" t="s">
        <v>669</v>
      </c>
      <c r="C522" s="3" t="s">
        <v>679</v>
      </c>
      <c r="D522" s="4">
        <v>1634000</v>
      </c>
      <c r="E522" s="3">
        <v>1493</v>
      </c>
      <c r="F522" s="3">
        <v>0</v>
      </c>
      <c r="G522" s="3" t="s">
        <v>36</v>
      </c>
      <c r="H522" s="3" t="s">
        <v>66</v>
      </c>
      <c r="I522" s="3">
        <v>5</v>
      </c>
      <c r="J522" s="3" t="s">
        <v>30</v>
      </c>
      <c r="K522" s="18">
        <v>115</v>
      </c>
      <c r="L522" s="16">
        <v>250</v>
      </c>
      <c r="M522" s="6" t="str" cm="1">
        <f t="array" ref="M522">_xlfn.IFS(L522&lt;100,"Economy",L522&lt;200,"Standard",L522&lt;350,"Powerful",L522&lt;500,"High Performance",L522&lt;800,"Sports Performance",L522&gt;=800,"Super Performance")</f>
        <v>Powerful</v>
      </c>
    </row>
    <row r="523" spans="1:13" x14ac:dyDescent="0.25">
      <c r="A523" s="5" t="s">
        <v>239</v>
      </c>
      <c r="B523" s="3" t="s">
        <v>669</v>
      </c>
      <c r="C523" s="3" t="s">
        <v>680</v>
      </c>
      <c r="D523" s="4">
        <v>1414000</v>
      </c>
      <c r="E523" s="3">
        <v>1493</v>
      </c>
      <c r="F523" s="3">
        <v>0</v>
      </c>
      <c r="G523" s="3" t="s">
        <v>36</v>
      </c>
      <c r="H523" s="3" t="s">
        <v>66</v>
      </c>
      <c r="I523" s="3">
        <v>5</v>
      </c>
      <c r="J523" s="3" t="s">
        <v>12</v>
      </c>
      <c r="K523" s="18">
        <v>115</v>
      </c>
      <c r="L523" s="16">
        <v>250</v>
      </c>
      <c r="M523" s="6" t="str" cm="1">
        <f t="array" ref="M523">_xlfn.IFS(L523&lt;100,"Economy",L523&lt;200,"Standard",L523&lt;350,"Powerful",L523&lt;500,"High Performance",L523&lt;800,"Sports Performance",L523&gt;=800,"Super Performance")</f>
        <v>Powerful</v>
      </c>
    </row>
    <row r="524" spans="1:13" x14ac:dyDescent="0.25">
      <c r="A524" s="5" t="s">
        <v>22</v>
      </c>
      <c r="B524" s="3" t="s">
        <v>681</v>
      </c>
      <c r="C524" s="3" t="s">
        <v>348</v>
      </c>
      <c r="D524" s="4">
        <v>1399000</v>
      </c>
      <c r="E524" s="3" t="s">
        <v>1386</v>
      </c>
      <c r="F524" s="3">
        <v>0</v>
      </c>
      <c r="G524" s="3" t="s">
        <v>141</v>
      </c>
      <c r="H524" s="3" t="s">
        <v>66</v>
      </c>
      <c r="I524" s="3">
        <v>5</v>
      </c>
      <c r="J524" s="3" t="s">
        <v>30</v>
      </c>
      <c r="K524" s="18">
        <v>129</v>
      </c>
      <c r="L524" s="16">
        <v>245</v>
      </c>
      <c r="M524" s="6" t="str" cm="1">
        <f t="array" ref="M524">_xlfn.IFS(L524&lt;100,"Economy",L524&lt;200,"Standard",L524&lt;350,"Powerful",L524&lt;500,"High Performance",L524&lt;800,"Sports Performance",L524&gt;=800,"Super Performance")</f>
        <v>Powerful</v>
      </c>
    </row>
    <row r="525" spans="1:13" x14ac:dyDescent="0.25">
      <c r="A525" s="5" t="s">
        <v>22</v>
      </c>
      <c r="B525" s="3" t="s">
        <v>681</v>
      </c>
      <c r="C525" s="3" t="s">
        <v>634</v>
      </c>
      <c r="D525" s="4">
        <v>1499000</v>
      </c>
      <c r="E525" s="3" t="s">
        <v>1386</v>
      </c>
      <c r="F525" s="3">
        <v>0</v>
      </c>
      <c r="G525" s="3" t="s">
        <v>141</v>
      </c>
      <c r="H525" s="3" t="s">
        <v>66</v>
      </c>
      <c r="I525" s="3">
        <v>5</v>
      </c>
      <c r="J525" s="3" t="s">
        <v>30</v>
      </c>
      <c r="K525" s="18">
        <v>129</v>
      </c>
      <c r="L525" s="16">
        <v>245</v>
      </c>
      <c r="M525" s="6" t="str" cm="1">
        <f t="array" ref="M525">_xlfn.IFS(L525&lt;100,"Economy",L525&lt;200,"Standard",L525&lt;350,"Powerful",L525&lt;500,"High Performance",L525&lt;800,"Sports Performance",L525&gt;=800,"Super Performance")</f>
        <v>Powerful</v>
      </c>
    </row>
    <row r="526" spans="1:13" x14ac:dyDescent="0.25">
      <c r="A526" s="5" t="s">
        <v>22</v>
      </c>
      <c r="B526" s="3" t="s">
        <v>681</v>
      </c>
      <c r="C526" s="3" t="s">
        <v>682</v>
      </c>
      <c r="D526" s="4">
        <v>1599000</v>
      </c>
      <c r="E526" s="3" t="s">
        <v>1386</v>
      </c>
      <c r="F526" s="3">
        <v>0</v>
      </c>
      <c r="G526" s="3" t="s">
        <v>141</v>
      </c>
      <c r="H526" s="3" t="s">
        <v>66</v>
      </c>
      <c r="I526" s="3">
        <v>5</v>
      </c>
      <c r="J526" s="3" t="s">
        <v>30</v>
      </c>
      <c r="K526" s="18">
        <v>129</v>
      </c>
      <c r="L526" s="16">
        <v>245</v>
      </c>
      <c r="M526" s="6" t="str" cm="1">
        <f t="array" ref="M526">_xlfn.IFS(L526&lt;100,"Economy",L526&lt;200,"Standard",L526&lt;350,"Powerful",L526&lt;500,"High Performance",L526&lt;800,"Sports Performance",L526&gt;=800,"Super Performance")</f>
        <v>Powerful</v>
      </c>
    </row>
    <row r="527" spans="1:13" x14ac:dyDescent="0.25">
      <c r="A527" s="5" t="s">
        <v>90</v>
      </c>
      <c r="B527" s="3" t="s">
        <v>683</v>
      </c>
      <c r="C527" s="3" t="s">
        <v>684</v>
      </c>
      <c r="D527" s="4">
        <v>7500000</v>
      </c>
      <c r="E527" s="3">
        <v>3982</v>
      </c>
      <c r="F527" s="3">
        <v>8</v>
      </c>
      <c r="G527" s="3" t="s">
        <v>10</v>
      </c>
      <c r="H527" s="3" t="s">
        <v>212</v>
      </c>
      <c r="I527" s="3">
        <v>5</v>
      </c>
      <c r="J527" s="3" t="s">
        <v>30</v>
      </c>
      <c r="K527" s="18">
        <v>503</v>
      </c>
      <c r="L527" s="16">
        <v>700</v>
      </c>
      <c r="M527" s="6" t="str" cm="1">
        <f t="array" ref="M527">_xlfn.IFS(L527&lt;100,"Economy",L527&lt;200,"Standard",L527&lt;350,"Powerful",L527&lt;500,"High Performance",L527&lt;800,"Sports Performance",L527&gt;=800,"Super Performance")</f>
        <v>Sports Performance</v>
      </c>
    </row>
    <row r="528" spans="1:13" x14ac:dyDescent="0.25">
      <c r="A528" s="5" t="s">
        <v>330</v>
      </c>
      <c r="B528" s="3" t="s">
        <v>685</v>
      </c>
      <c r="C528" s="3" t="s">
        <v>686</v>
      </c>
      <c r="D528" s="4">
        <v>662880</v>
      </c>
      <c r="E528" s="3">
        <v>1198</v>
      </c>
      <c r="F528" s="3">
        <v>3</v>
      </c>
      <c r="G528" s="3" t="s">
        <v>10</v>
      </c>
      <c r="H528" s="3" t="s">
        <v>11</v>
      </c>
      <c r="I528" s="3">
        <v>5</v>
      </c>
      <c r="J528" s="3" t="s">
        <v>30</v>
      </c>
      <c r="K528" s="18">
        <v>77</v>
      </c>
      <c r="L528" s="16">
        <v>104</v>
      </c>
      <c r="M528" s="6" t="str" cm="1">
        <f t="array" ref="M528">_xlfn.IFS(L528&lt;100,"Economy",L528&lt;200,"Standard",L528&lt;350,"Powerful",L528&lt;500,"High Performance",L528&lt;800,"Sports Performance",L528&gt;=800,"Super Performance")</f>
        <v>Standard</v>
      </c>
    </row>
    <row r="529" spans="1:13" x14ac:dyDescent="0.25">
      <c r="A529" s="5" t="s">
        <v>330</v>
      </c>
      <c r="B529" s="3" t="s">
        <v>685</v>
      </c>
      <c r="C529" s="3" t="s">
        <v>337</v>
      </c>
      <c r="D529" s="4">
        <v>781686</v>
      </c>
      <c r="E529" s="3">
        <v>1198</v>
      </c>
      <c r="F529" s="3">
        <v>3</v>
      </c>
      <c r="G529" s="3" t="s">
        <v>10</v>
      </c>
      <c r="H529" s="3" t="s">
        <v>11</v>
      </c>
      <c r="I529" s="3">
        <v>5</v>
      </c>
      <c r="J529" s="3" t="s">
        <v>30</v>
      </c>
      <c r="K529" s="18">
        <v>77</v>
      </c>
      <c r="L529" s="16">
        <v>104</v>
      </c>
      <c r="M529" s="6" t="str" cm="1">
        <f t="array" ref="M529">_xlfn.IFS(L529&lt;100,"Economy",L529&lt;200,"Standard",L529&lt;350,"Powerful",L529&lt;500,"High Performance",L529&lt;800,"Sports Performance",L529&gt;=800,"Super Performance")</f>
        <v>Standard</v>
      </c>
    </row>
    <row r="530" spans="1:13" x14ac:dyDescent="0.25">
      <c r="A530" s="5" t="s">
        <v>22</v>
      </c>
      <c r="B530" s="3" t="s">
        <v>687</v>
      </c>
      <c r="C530" s="3" t="s">
        <v>688</v>
      </c>
      <c r="D530" s="4">
        <v>1345363</v>
      </c>
      <c r="E530" s="3">
        <v>1956</v>
      </c>
      <c r="F530" s="3">
        <v>3</v>
      </c>
      <c r="G530" s="3" t="s">
        <v>36</v>
      </c>
      <c r="H530" s="3" t="s">
        <v>66</v>
      </c>
      <c r="I530" s="3">
        <v>5</v>
      </c>
      <c r="J530" s="3" t="s">
        <v>12</v>
      </c>
      <c r="K530" s="18">
        <v>140</v>
      </c>
      <c r="L530" s="16">
        <v>350</v>
      </c>
      <c r="M530" s="6" t="str" cm="1">
        <f t="array" ref="M530">_xlfn.IFS(L530&lt;100,"Economy",L530&lt;200,"Standard",L530&lt;350,"Powerful",L530&lt;500,"High Performance",L530&lt;800,"Sports Performance",L530&gt;=800,"Super Performance")</f>
        <v>High Performance</v>
      </c>
    </row>
    <row r="531" spans="1:13" x14ac:dyDescent="0.25">
      <c r="A531" s="5" t="s">
        <v>22</v>
      </c>
      <c r="B531" s="3" t="s">
        <v>687</v>
      </c>
      <c r="C531" s="3" t="s">
        <v>689</v>
      </c>
      <c r="D531" s="4">
        <v>1471368</v>
      </c>
      <c r="E531" s="3">
        <v>1956</v>
      </c>
      <c r="F531" s="3">
        <v>3</v>
      </c>
      <c r="G531" s="3" t="s">
        <v>36</v>
      </c>
      <c r="H531" s="3" t="s">
        <v>66</v>
      </c>
      <c r="I531" s="3">
        <v>5</v>
      </c>
      <c r="J531" s="3" t="s">
        <v>12</v>
      </c>
      <c r="K531" s="18">
        <v>140</v>
      </c>
      <c r="L531" s="16">
        <v>350</v>
      </c>
      <c r="M531" s="6" t="str" cm="1">
        <f t="array" ref="M531">_xlfn.IFS(L531&lt;100,"Economy",L531&lt;200,"Standard",L531&lt;350,"Powerful",L531&lt;500,"High Performance",L531&lt;800,"Sports Performance",L531&gt;=800,"Super Performance")</f>
        <v>High Performance</v>
      </c>
    </row>
    <row r="532" spans="1:13" x14ac:dyDescent="0.25">
      <c r="A532" s="5" t="s">
        <v>22</v>
      </c>
      <c r="B532" s="3" t="s">
        <v>687</v>
      </c>
      <c r="C532" s="3" t="s">
        <v>690</v>
      </c>
      <c r="D532" s="4">
        <v>1591368</v>
      </c>
      <c r="E532" s="3">
        <v>1956</v>
      </c>
      <c r="F532" s="3">
        <v>3</v>
      </c>
      <c r="G532" s="3" t="s">
        <v>36</v>
      </c>
      <c r="H532" s="3" t="s">
        <v>11</v>
      </c>
      <c r="I532" s="3">
        <v>5</v>
      </c>
      <c r="J532" s="3" t="s">
        <v>12</v>
      </c>
      <c r="K532" s="18">
        <v>140</v>
      </c>
      <c r="L532" s="16">
        <v>350</v>
      </c>
      <c r="M532" s="6" t="str" cm="1">
        <f t="array" ref="M532">_xlfn.IFS(L532&lt;100,"Economy",L532&lt;200,"Standard",L532&lt;350,"Powerful",L532&lt;500,"High Performance",L532&lt;800,"Sports Performance",L532&gt;=800,"Super Performance")</f>
        <v>High Performance</v>
      </c>
    </row>
    <row r="533" spans="1:13" x14ac:dyDescent="0.25">
      <c r="A533" s="5" t="s">
        <v>22</v>
      </c>
      <c r="B533" s="3" t="s">
        <v>687</v>
      </c>
      <c r="C533" s="3" t="s">
        <v>691</v>
      </c>
      <c r="D533" s="4">
        <v>1721368</v>
      </c>
      <c r="E533" s="3">
        <v>1956</v>
      </c>
      <c r="F533" s="3">
        <v>3</v>
      </c>
      <c r="G533" s="3" t="s">
        <v>36</v>
      </c>
      <c r="H533" s="3" t="s">
        <v>11</v>
      </c>
      <c r="I533" s="3">
        <v>5</v>
      </c>
      <c r="J533" s="3" t="s">
        <v>12</v>
      </c>
      <c r="K533" s="18">
        <v>140</v>
      </c>
      <c r="L533" s="16">
        <v>350</v>
      </c>
      <c r="M533" s="6" t="str" cm="1">
        <f t="array" ref="M533">_xlfn.IFS(L533&lt;100,"Economy",L533&lt;200,"Standard",L533&lt;350,"Powerful",L533&lt;500,"High Performance",L533&lt;800,"Sports Performance",L533&gt;=800,"Super Performance")</f>
        <v>High Performance</v>
      </c>
    </row>
    <row r="534" spans="1:13" x14ac:dyDescent="0.25">
      <c r="A534" s="5" t="s">
        <v>22</v>
      </c>
      <c r="B534" s="3" t="s">
        <v>687</v>
      </c>
      <c r="C534" s="3" t="s">
        <v>692</v>
      </c>
      <c r="D534" s="4">
        <v>1732231</v>
      </c>
      <c r="E534" s="3">
        <v>1956</v>
      </c>
      <c r="F534" s="3">
        <v>3</v>
      </c>
      <c r="G534" s="3" t="s">
        <v>36</v>
      </c>
      <c r="H534" s="3" t="s">
        <v>11</v>
      </c>
      <c r="I534" s="3">
        <v>5</v>
      </c>
      <c r="J534" s="3" t="s">
        <v>12</v>
      </c>
      <c r="K534" s="18">
        <v>140</v>
      </c>
      <c r="L534" s="16">
        <v>350</v>
      </c>
      <c r="M534" s="6" t="str" cm="1">
        <f t="array" ref="M534">_xlfn.IFS(L534&lt;100,"Economy",L534&lt;200,"Standard",L534&lt;350,"Powerful",L534&lt;500,"High Performance",L534&lt;800,"Sports Performance",L534&gt;=800,"Super Performance")</f>
        <v>High Performance</v>
      </c>
    </row>
    <row r="535" spans="1:13" x14ac:dyDescent="0.25">
      <c r="A535" s="5" t="s">
        <v>22</v>
      </c>
      <c r="B535" s="3" t="s">
        <v>687</v>
      </c>
      <c r="C535" s="3" t="s">
        <v>693</v>
      </c>
      <c r="D535" s="4">
        <v>1730755</v>
      </c>
      <c r="E535" s="3">
        <v>1956</v>
      </c>
      <c r="F535" s="3">
        <v>3</v>
      </c>
      <c r="G535" s="3" t="s">
        <v>36</v>
      </c>
      <c r="H535" s="3" t="s">
        <v>11</v>
      </c>
      <c r="I535" s="3">
        <v>5</v>
      </c>
      <c r="J535" s="3" t="s">
        <v>12</v>
      </c>
      <c r="K535" s="18">
        <v>140</v>
      </c>
      <c r="L535" s="16">
        <v>350</v>
      </c>
      <c r="M535" s="6" t="str" cm="1">
        <f t="array" ref="M535">_xlfn.IFS(L535&lt;100,"Economy",L535&lt;200,"Standard",L535&lt;350,"Powerful",L535&lt;500,"High Performance",L535&lt;800,"Sports Performance",L535&gt;=800,"Super Performance")</f>
        <v>High Performance</v>
      </c>
    </row>
    <row r="536" spans="1:13" x14ac:dyDescent="0.25">
      <c r="A536" s="5" t="s">
        <v>297</v>
      </c>
      <c r="B536" s="3" t="s">
        <v>694</v>
      </c>
      <c r="C536" s="3" t="s">
        <v>323</v>
      </c>
      <c r="D536" s="4">
        <v>8503000</v>
      </c>
      <c r="E536" s="3">
        <v>2995</v>
      </c>
      <c r="F536" s="3">
        <v>6</v>
      </c>
      <c r="G536" s="3" t="s">
        <v>10</v>
      </c>
      <c r="H536" s="3" t="s">
        <v>66</v>
      </c>
      <c r="I536" s="3">
        <v>5</v>
      </c>
      <c r="J536" s="3" t="s">
        <v>30</v>
      </c>
      <c r="K536" s="18">
        <v>349</v>
      </c>
      <c r="L536" s="16">
        <v>480</v>
      </c>
      <c r="M536" s="6" t="str" cm="1">
        <f t="array" ref="M536">_xlfn.IFS(L536&lt;100,"Economy",L536&lt;200,"Standard",L536&lt;350,"Powerful",L536&lt;500,"High Performance",L536&lt;800,"Sports Performance",L536&gt;=800,"Super Performance")</f>
        <v>High Performance</v>
      </c>
    </row>
    <row r="537" spans="1:13" x14ac:dyDescent="0.25">
      <c r="A537" s="5" t="s">
        <v>297</v>
      </c>
      <c r="B537" s="3" t="s">
        <v>694</v>
      </c>
      <c r="C537" s="3" t="s">
        <v>299</v>
      </c>
      <c r="D537" s="4">
        <v>6998000</v>
      </c>
      <c r="E537" s="3">
        <v>1984</v>
      </c>
      <c r="F537" s="3">
        <v>6</v>
      </c>
      <c r="G537" s="3" t="s">
        <v>10</v>
      </c>
      <c r="H537" s="3" t="s">
        <v>66</v>
      </c>
      <c r="I537" s="3">
        <v>5</v>
      </c>
      <c r="J537" s="3" t="s">
        <v>30</v>
      </c>
      <c r="K537" s="18">
        <v>248</v>
      </c>
      <c r="L537" s="16">
        <v>370</v>
      </c>
      <c r="M537" s="6" t="str" cm="1">
        <f t="array" ref="M537">_xlfn.IFS(L537&lt;100,"Economy",L537&lt;200,"Standard",L537&lt;350,"Powerful",L537&lt;500,"High Performance",L537&lt;800,"Sports Performance",L537&gt;=800,"Super Performance")</f>
        <v>High Performance</v>
      </c>
    </row>
    <row r="538" spans="1:13" x14ac:dyDescent="0.25">
      <c r="A538" s="5" t="s">
        <v>22</v>
      </c>
      <c r="B538" s="3" t="s">
        <v>695</v>
      </c>
      <c r="C538" s="3" t="s">
        <v>696</v>
      </c>
      <c r="D538" s="4">
        <v>594993</v>
      </c>
      <c r="E538" s="3">
        <v>1199</v>
      </c>
      <c r="F538" s="3">
        <v>3</v>
      </c>
      <c r="G538" s="3" t="s">
        <v>10</v>
      </c>
      <c r="H538" s="3" t="s">
        <v>304</v>
      </c>
      <c r="I538" s="3">
        <v>5</v>
      </c>
      <c r="J538" s="3" t="s">
        <v>12</v>
      </c>
      <c r="K538" s="18">
        <v>85</v>
      </c>
      <c r="L538" s="16">
        <v>114</v>
      </c>
      <c r="M538" s="6" t="str" cm="1">
        <f t="array" ref="M538">_xlfn.IFS(L538&lt;100,"Economy",L538&lt;200,"Standard",L538&lt;350,"Powerful",L538&lt;500,"High Performance",L538&lt;800,"Sports Performance",L538&gt;=800,"Super Performance")</f>
        <v>Standard</v>
      </c>
    </row>
    <row r="539" spans="1:13" x14ac:dyDescent="0.25">
      <c r="A539" s="5" t="s">
        <v>22</v>
      </c>
      <c r="B539" s="3" t="s">
        <v>695</v>
      </c>
      <c r="C539" s="3" t="s">
        <v>697</v>
      </c>
      <c r="D539" s="4">
        <v>689993</v>
      </c>
      <c r="E539" s="3">
        <v>1047</v>
      </c>
      <c r="F539" s="3">
        <v>3</v>
      </c>
      <c r="G539" s="3" t="s">
        <v>36</v>
      </c>
      <c r="H539" s="3" t="s">
        <v>304</v>
      </c>
      <c r="I539" s="3">
        <v>5</v>
      </c>
      <c r="J539" s="3" t="s">
        <v>12</v>
      </c>
      <c r="K539" s="18">
        <v>70</v>
      </c>
      <c r="L539" s="16">
        <v>140</v>
      </c>
      <c r="M539" s="6" t="str" cm="1">
        <f t="array" ref="M539">_xlfn.IFS(L539&lt;100,"Economy",L539&lt;200,"Standard",L539&lt;350,"Powerful",L539&lt;500,"High Performance",L539&lt;800,"Sports Performance",L539&gt;=800,"Super Performance")</f>
        <v>Standard</v>
      </c>
    </row>
    <row r="540" spans="1:13" x14ac:dyDescent="0.25">
      <c r="A540" s="5" t="s">
        <v>22</v>
      </c>
      <c r="B540" s="3" t="s">
        <v>695</v>
      </c>
      <c r="C540" s="3" t="s">
        <v>698</v>
      </c>
      <c r="D540" s="4">
        <v>639993</v>
      </c>
      <c r="E540" s="3">
        <v>1199</v>
      </c>
      <c r="F540" s="3">
        <v>3</v>
      </c>
      <c r="G540" s="3" t="s">
        <v>10</v>
      </c>
      <c r="H540" s="3" t="s">
        <v>304</v>
      </c>
      <c r="I540" s="3">
        <v>5</v>
      </c>
      <c r="J540" s="3" t="s">
        <v>17</v>
      </c>
      <c r="K540" s="18">
        <v>85</v>
      </c>
      <c r="L540" s="16">
        <v>114</v>
      </c>
      <c r="M540" s="6" t="str" cm="1">
        <f t="array" ref="M540">_xlfn.IFS(L540&lt;100,"Economy",L540&lt;200,"Standard",L540&lt;350,"Powerful",L540&lt;500,"High Performance",L540&lt;800,"Sports Performance",L540&gt;=800,"Super Performance")</f>
        <v>Standard</v>
      </c>
    </row>
    <row r="541" spans="1:13" x14ac:dyDescent="0.25">
      <c r="A541" s="5" t="s">
        <v>93</v>
      </c>
      <c r="B541" s="3" t="s">
        <v>699</v>
      </c>
      <c r="C541" s="3" t="s">
        <v>700</v>
      </c>
      <c r="D541" s="4">
        <v>466057</v>
      </c>
      <c r="E541" s="3">
        <v>1196</v>
      </c>
      <c r="F541" s="3">
        <v>4</v>
      </c>
      <c r="G541" s="3" t="s">
        <v>15</v>
      </c>
      <c r="H541" s="3" t="s">
        <v>226</v>
      </c>
      <c r="I541" s="3">
        <v>5</v>
      </c>
      <c r="J541" s="3" t="s">
        <v>12</v>
      </c>
      <c r="K541" s="18">
        <v>62</v>
      </c>
      <c r="L541" s="16">
        <v>85</v>
      </c>
      <c r="M541" s="6" t="str" cm="1">
        <f t="array" ref="M541">_xlfn.IFS(L541&lt;100,"Economy",L541&lt;200,"Standard",L541&lt;350,"Powerful",L541&lt;500,"High Performance",L541&lt;800,"Sports Performance",L541&gt;=800,"Super Performance")</f>
        <v>Economy</v>
      </c>
    </row>
    <row r="542" spans="1:13" x14ac:dyDescent="0.25">
      <c r="A542" s="5" t="s">
        <v>93</v>
      </c>
      <c r="B542" s="3" t="s">
        <v>699</v>
      </c>
      <c r="C542" s="3" t="s">
        <v>701</v>
      </c>
      <c r="D542" s="4">
        <v>425255</v>
      </c>
      <c r="E542" s="3">
        <v>1196</v>
      </c>
      <c r="F542" s="3">
        <v>4</v>
      </c>
      <c r="G542" s="3" t="s">
        <v>15</v>
      </c>
      <c r="H542" s="3" t="s">
        <v>226</v>
      </c>
      <c r="I542" s="3">
        <v>5</v>
      </c>
      <c r="J542" s="3" t="s">
        <v>12</v>
      </c>
      <c r="K542" s="18">
        <v>62</v>
      </c>
      <c r="L542" s="16">
        <v>85</v>
      </c>
      <c r="M542" s="6" t="str" cm="1">
        <f t="array" ref="M542">_xlfn.IFS(L542&lt;100,"Economy",L542&lt;200,"Standard",L542&lt;350,"Powerful",L542&lt;500,"High Performance",L542&lt;800,"Sports Performance",L542&gt;=800,"Super Performance")</f>
        <v>Economy</v>
      </c>
    </row>
    <row r="543" spans="1:13" x14ac:dyDescent="0.25">
      <c r="A543" s="5" t="s">
        <v>40</v>
      </c>
      <c r="B543" s="3" t="s">
        <v>615</v>
      </c>
      <c r="C543" s="3" t="s">
        <v>702</v>
      </c>
      <c r="D543" s="4">
        <v>676400</v>
      </c>
      <c r="E543" s="3">
        <v>1498</v>
      </c>
      <c r="F543" s="3">
        <v>4</v>
      </c>
      <c r="G543" s="3" t="s">
        <v>36</v>
      </c>
      <c r="H543" s="3" t="s">
        <v>304</v>
      </c>
      <c r="I543" s="3">
        <v>5</v>
      </c>
      <c r="J543" s="3" t="s">
        <v>12</v>
      </c>
      <c r="K543" s="18">
        <v>100</v>
      </c>
      <c r="L543" s="16">
        <v>215</v>
      </c>
      <c r="M543" s="6" t="str" cm="1">
        <f t="array" ref="M543">_xlfn.IFS(L543&lt;100,"Economy",L543&lt;200,"Standard",L543&lt;350,"Powerful",L543&lt;500,"High Performance",L543&lt;800,"Sports Performance",L543&gt;=800,"Super Performance")</f>
        <v>Powerful</v>
      </c>
    </row>
    <row r="544" spans="1:13" x14ac:dyDescent="0.25">
      <c r="A544" s="5" t="s">
        <v>40</v>
      </c>
      <c r="B544" s="3" t="s">
        <v>615</v>
      </c>
      <c r="C544" s="3" t="s">
        <v>703</v>
      </c>
      <c r="D544" s="4">
        <v>790900</v>
      </c>
      <c r="E544" s="3">
        <v>1498</v>
      </c>
      <c r="F544" s="3">
        <v>4</v>
      </c>
      <c r="G544" s="3" t="s">
        <v>36</v>
      </c>
      <c r="H544" s="3" t="s">
        <v>11</v>
      </c>
      <c r="I544" s="3">
        <v>5</v>
      </c>
      <c r="J544" s="3" t="s">
        <v>12</v>
      </c>
      <c r="K544" s="18">
        <v>100</v>
      </c>
      <c r="L544" s="16">
        <v>215</v>
      </c>
      <c r="M544" s="6" t="str" cm="1">
        <f t="array" ref="M544">_xlfn.IFS(L544&lt;100,"Economy",L544&lt;200,"Standard",L544&lt;350,"Powerful",L544&lt;500,"High Performance",L544&lt;800,"Sports Performance",L544&gt;=800,"Super Performance")</f>
        <v>Powerful</v>
      </c>
    </row>
    <row r="545" spans="1:13" x14ac:dyDescent="0.25">
      <c r="A545" s="5" t="s">
        <v>40</v>
      </c>
      <c r="B545" s="3" t="s">
        <v>615</v>
      </c>
      <c r="C545" s="3" t="s">
        <v>704</v>
      </c>
      <c r="D545" s="4">
        <v>836400</v>
      </c>
      <c r="E545" s="3">
        <v>1498</v>
      </c>
      <c r="F545" s="3">
        <v>4</v>
      </c>
      <c r="G545" s="3" t="s">
        <v>36</v>
      </c>
      <c r="H545" s="3" t="s">
        <v>11</v>
      </c>
      <c r="I545" s="3">
        <v>5</v>
      </c>
      <c r="J545" s="3" t="s">
        <v>12</v>
      </c>
      <c r="K545" s="18">
        <v>100</v>
      </c>
      <c r="L545" s="16">
        <v>215</v>
      </c>
      <c r="M545" s="6" t="str" cm="1">
        <f t="array" ref="M545">_xlfn.IFS(L545&lt;100,"Economy",L545&lt;200,"Standard",L545&lt;350,"Powerful",L545&lt;500,"High Performance",L545&lt;800,"Sports Performance",L545&gt;=800,"Super Performance")</f>
        <v>Powerful</v>
      </c>
    </row>
    <row r="546" spans="1:13" x14ac:dyDescent="0.25">
      <c r="A546" s="5" t="s">
        <v>131</v>
      </c>
      <c r="B546" s="3" t="s">
        <v>469</v>
      </c>
      <c r="C546" s="3" t="s">
        <v>705</v>
      </c>
      <c r="D546" s="4">
        <v>928000</v>
      </c>
      <c r="E546" s="3">
        <v>1199</v>
      </c>
      <c r="F546" s="3">
        <v>4</v>
      </c>
      <c r="G546" s="3" t="s">
        <v>10</v>
      </c>
      <c r="H546" s="3" t="s">
        <v>11</v>
      </c>
      <c r="I546" s="3">
        <v>5</v>
      </c>
      <c r="J546" s="3" t="s">
        <v>30</v>
      </c>
      <c r="K546" s="18">
        <v>89</v>
      </c>
      <c r="L546" s="16">
        <v>110</v>
      </c>
      <c r="M546" s="6" t="str" cm="1">
        <f t="array" ref="M546">_xlfn.IFS(L546&lt;100,"Economy",L546&lt;200,"Standard",L546&lt;350,"Powerful",L546&lt;500,"High Performance",L546&lt;800,"Sports Performance",L546&gt;=800,"Super Performance")</f>
        <v>Standard</v>
      </c>
    </row>
    <row r="547" spans="1:13" x14ac:dyDescent="0.25">
      <c r="A547" s="5" t="s">
        <v>160</v>
      </c>
      <c r="B547" s="3" t="s">
        <v>549</v>
      </c>
      <c r="C547" s="3" t="s">
        <v>706</v>
      </c>
      <c r="D547" s="4">
        <v>2814500</v>
      </c>
      <c r="E547" s="3">
        <v>1968</v>
      </c>
      <c r="F547" s="3">
        <v>4</v>
      </c>
      <c r="G547" s="3" t="s">
        <v>36</v>
      </c>
      <c r="H547" s="3" t="s">
        <v>66</v>
      </c>
      <c r="I547" s="3">
        <v>5</v>
      </c>
      <c r="J547" s="3" t="s">
        <v>30</v>
      </c>
      <c r="K547" s="18">
        <v>141</v>
      </c>
      <c r="L547" s="16">
        <v>340</v>
      </c>
      <c r="M547" s="6" t="str" cm="1">
        <f t="array" ref="M547">_xlfn.IFS(L547&lt;100,"Economy",L547&lt;200,"Standard",L547&lt;350,"Powerful",L547&lt;500,"High Performance",L547&lt;800,"Sports Performance",L547&gt;=800,"Super Performance")</f>
        <v>Powerful</v>
      </c>
    </row>
    <row r="548" spans="1:13" x14ac:dyDescent="0.25">
      <c r="A548" s="5" t="s">
        <v>131</v>
      </c>
      <c r="B548" s="3" t="s">
        <v>551</v>
      </c>
      <c r="C548" s="3" t="s">
        <v>707</v>
      </c>
      <c r="D548" s="4">
        <v>2827001</v>
      </c>
      <c r="E548" s="3">
        <v>1997</v>
      </c>
      <c r="F548" s="3">
        <v>4</v>
      </c>
      <c r="G548" s="3" t="s">
        <v>10</v>
      </c>
      <c r="H548" s="3" t="s">
        <v>66</v>
      </c>
      <c r="I548" s="3">
        <v>5</v>
      </c>
      <c r="J548" s="3" t="s">
        <v>30</v>
      </c>
      <c r="K548" s="18">
        <v>154</v>
      </c>
      <c r="L548" s="16">
        <v>189</v>
      </c>
      <c r="M548" s="6" t="str" cm="1">
        <f t="array" ref="M548">_xlfn.IFS(L548&lt;100,"Economy",L548&lt;200,"Standard",L548&lt;350,"Powerful",L548&lt;500,"High Performance",L548&lt;800,"Sports Performance",L548&gt;=800,"Super Performance")</f>
        <v>Standard</v>
      </c>
    </row>
    <row r="549" spans="1:13" x14ac:dyDescent="0.25">
      <c r="A549" s="5" t="s">
        <v>280</v>
      </c>
      <c r="B549" s="3" t="s">
        <v>346</v>
      </c>
      <c r="C549" s="3" t="s">
        <v>498</v>
      </c>
      <c r="D549" s="4">
        <v>4498000</v>
      </c>
      <c r="E549" s="3">
        <v>1997</v>
      </c>
      <c r="F549" s="3">
        <v>4</v>
      </c>
      <c r="G549" s="3" t="s">
        <v>10</v>
      </c>
      <c r="H549" s="3" t="s">
        <v>27</v>
      </c>
      <c r="I549" s="3">
        <v>5</v>
      </c>
      <c r="J549" s="3" t="s">
        <v>30</v>
      </c>
      <c r="K549" s="18">
        <v>250</v>
      </c>
      <c r="L549" s="16">
        <v>365</v>
      </c>
      <c r="M549" s="6" t="str" cm="1">
        <f t="array" ref="M549">_xlfn.IFS(L549&lt;100,"Economy",L549&lt;200,"Standard",L549&lt;350,"Powerful",L549&lt;500,"High Performance",L549&lt;800,"Sports Performance",L549&gt;=800,"Super Performance")</f>
        <v>High Performance</v>
      </c>
    </row>
    <row r="550" spans="1:13" x14ac:dyDescent="0.25">
      <c r="A550" s="5" t="s">
        <v>280</v>
      </c>
      <c r="B550" s="3" t="s">
        <v>346</v>
      </c>
      <c r="C550" s="3" t="s">
        <v>708</v>
      </c>
      <c r="D550" s="4">
        <v>4633000</v>
      </c>
      <c r="E550" s="3">
        <v>1997</v>
      </c>
      <c r="F550" s="3">
        <v>4</v>
      </c>
      <c r="G550" s="3" t="s">
        <v>10</v>
      </c>
      <c r="H550" s="3" t="s">
        <v>27</v>
      </c>
      <c r="I550" s="3">
        <v>5</v>
      </c>
      <c r="J550" s="3" t="s">
        <v>30</v>
      </c>
      <c r="K550" s="18">
        <v>250</v>
      </c>
      <c r="L550" s="16">
        <v>365</v>
      </c>
      <c r="M550" s="6" t="str" cm="1">
        <f t="array" ref="M550">_xlfn.IFS(L550&lt;100,"Economy",L550&lt;200,"Standard",L550&lt;350,"Powerful",L550&lt;500,"High Performance",L550&lt;800,"Sports Performance",L550&gt;=800,"Super Performance")</f>
        <v>High Performance</v>
      </c>
    </row>
    <row r="551" spans="1:13" x14ac:dyDescent="0.25">
      <c r="A551" s="5" t="s">
        <v>7</v>
      </c>
      <c r="B551" s="3" t="s">
        <v>709</v>
      </c>
      <c r="C551" s="3" t="s">
        <v>710</v>
      </c>
      <c r="D551" s="4">
        <v>545946</v>
      </c>
      <c r="E551" s="3">
        <v>1197</v>
      </c>
      <c r="F551" s="3">
        <v>4</v>
      </c>
      <c r="G551" s="3" t="s">
        <v>15</v>
      </c>
      <c r="H551" s="3" t="s">
        <v>11</v>
      </c>
      <c r="I551" s="3">
        <v>5</v>
      </c>
      <c r="J551" s="3" t="s">
        <v>12</v>
      </c>
      <c r="K551" s="18">
        <v>83</v>
      </c>
      <c r="L551" s="16">
        <v>114</v>
      </c>
      <c r="M551" s="6" t="str" cm="1">
        <f t="array" ref="M551">_xlfn.IFS(L551&lt;100,"Economy",L551&lt;200,"Standard",L551&lt;350,"Powerful",L551&lt;500,"High Performance",L551&lt;800,"Sports Performance",L551&gt;=800,"Super Performance")</f>
        <v>Standard</v>
      </c>
    </row>
    <row r="552" spans="1:13" x14ac:dyDescent="0.25">
      <c r="A552" s="5" t="s">
        <v>7</v>
      </c>
      <c r="B552" s="3" t="s">
        <v>709</v>
      </c>
      <c r="C552" s="3" t="s">
        <v>711</v>
      </c>
      <c r="D552" s="4">
        <v>528804</v>
      </c>
      <c r="E552" s="3">
        <v>1197</v>
      </c>
      <c r="F552" s="3">
        <v>4</v>
      </c>
      <c r="G552" s="3" t="s">
        <v>15</v>
      </c>
      <c r="H552" s="3" t="s">
        <v>11</v>
      </c>
      <c r="I552" s="3">
        <v>5</v>
      </c>
      <c r="J552" s="3" t="s">
        <v>12</v>
      </c>
      <c r="K552" s="18">
        <v>83</v>
      </c>
      <c r="L552" s="16">
        <v>114</v>
      </c>
      <c r="M552" s="6" t="str" cm="1">
        <f t="array" ref="M552">_xlfn.IFS(L552&lt;100,"Economy",L552&lt;200,"Standard",L552&lt;350,"Powerful",L552&lt;500,"High Performance",L552&lt;800,"Sports Performance",L552&gt;=800,"Super Performance")</f>
        <v>Standard</v>
      </c>
    </row>
    <row r="553" spans="1:13" x14ac:dyDescent="0.25">
      <c r="A553" s="5" t="s">
        <v>93</v>
      </c>
      <c r="B553" s="3" t="s">
        <v>712</v>
      </c>
      <c r="C553" s="3" t="s">
        <v>99</v>
      </c>
      <c r="D553" s="4">
        <v>619000</v>
      </c>
      <c r="E553" s="3">
        <v>1197</v>
      </c>
      <c r="F553" s="3">
        <v>4</v>
      </c>
      <c r="G553" s="3" t="s">
        <v>10</v>
      </c>
      <c r="H553" s="3" t="s">
        <v>11</v>
      </c>
      <c r="I553" s="3">
        <v>5</v>
      </c>
      <c r="J553" s="3" t="s">
        <v>12</v>
      </c>
      <c r="K553" s="18">
        <v>83</v>
      </c>
      <c r="L553" s="16">
        <v>113</v>
      </c>
      <c r="M553" s="6" t="str" cm="1">
        <f t="array" ref="M553">_xlfn.IFS(L553&lt;100,"Economy",L553&lt;200,"Standard",L553&lt;350,"Powerful",L553&lt;500,"High Performance",L553&lt;800,"Sports Performance",L553&gt;=800,"Super Performance")</f>
        <v>Standard</v>
      </c>
    </row>
    <row r="554" spans="1:13" x14ac:dyDescent="0.25">
      <c r="A554" s="5" t="s">
        <v>93</v>
      </c>
      <c r="B554" s="3" t="s">
        <v>712</v>
      </c>
      <c r="C554" s="3" t="s">
        <v>713</v>
      </c>
      <c r="D554" s="4">
        <v>666000</v>
      </c>
      <c r="E554" s="3">
        <v>1197</v>
      </c>
      <c r="F554" s="3">
        <v>4</v>
      </c>
      <c r="G554" s="3" t="s">
        <v>10</v>
      </c>
      <c r="H554" s="3" t="s">
        <v>11</v>
      </c>
      <c r="I554" s="3">
        <v>5</v>
      </c>
      <c r="J554" s="3" t="s">
        <v>30</v>
      </c>
      <c r="K554" s="18">
        <v>83</v>
      </c>
      <c r="L554" s="16">
        <v>113</v>
      </c>
      <c r="M554" s="6" t="str" cm="1">
        <f t="array" ref="M554">_xlfn.IFS(L554&lt;100,"Economy",L554&lt;200,"Standard",L554&lt;350,"Powerful",L554&lt;500,"High Performance",L554&lt;800,"Sports Performance",L554&gt;=800,"Super Performance")</f>
        <v>Standard</v>
      </c>
    </row>
    <row r="555" spans="1:13" x14ac:dyDescent="0.25">
      <c r="A555" s="5" t="s">
        <v>93</v>
      </c>
      <c r="B555" s="3" t="s">
        <v>712</v>
      </c>
      <c r="C555" s="3" t="s">
        <v>264</v>
      </c>
      <c r="D555" s="4">
        <v>678000</v>
      </c>
      <c r="E555" s="3">
        <v>1197</v>
      </c>
      <c r="F555" s="3">
        <v>4</v>
      </c>
      <c r="G555" s="3" t="s">
        <v>10</v>
      </c>
      <c r="H555" s="3" t="s">
        <v>11</v>
      </c>
      <c r="I555" s="3">
        <v>5</v>
      </c>
      <c r="J555" s="3" t="s">
        <v>12</v>
      </c>
      <c r="K555" s="18">
        <v>83</v>
      </c>
      <c r="L555" s="16">
        <v>113</v>
      </c>
      <c r="M555" s="6" t="str" cm="1">
        <f t="array" ref="M555">_xlfn.IFS(L555&lt;100,"Economy",L555&lt;200,"Standard",L555&lt;350,"Powerful",L555&lt;500,"High Performance",L555&lt;800,"Sports Performance",L555&gt;=800,"Super Performance")</f>
        <v>Standard</v>
      </c>
    </row>
    <row r="556" spans="1:13" x14ac:dyDescent="0.25">
      <c r="A556" s="5" t="s">
        <v>93</v>
      </c>
      <c r="B556" s="3" t="s">
        <v>712</v>
      </c>
      <c r="C556" s="3" t="s">
        <v>714</v>
      </c>
      <c r="D556" s="4">
        <v>725000</v>
      </c>
      <c r="E556" s="3">
        <v>1197</v>
      </c>
      <c r="F556" s="3">
        <v>4</v>
      </c>
      <c r="G556" s="3" t="s">
        <v>10</v>
      </c>
      <c r="H556" s="3" t="s">
        <v>11</v>
      </c>
      <c r="I556" s="3">
        <v>5</v>
      </c>
      <c r="J556" s="3" t="s">
        <v>30</v>
      </c>
      <c r="K556" s="18">
        <v>83</v>
      </c>
      <c r="L556" s="16">
        <v>113</v>
      </c>
      <c r="M556" s="6" t="str" cm="1">
        <f t="array" ref="M556">_xlfn.IFS(L556&lt;100,"Economy",L556&lt;200,"Standard",L556&lt;350,"Powerful",L556&lt;500,"High Performance",L556&lt;800,"Sports Performance",L556&gt;=800,"Super Performance")</f>
        <v>Standard</v>
      </c>
    </row>
    <row r="557" spans="1:13" x14ac:dyDescent="0.25">
      <c r="A557" s="5" t="s">
        <v>93</v>
      </c>
      <c r="B557" s="3" t="s">
        <v>712</v>
      </c>
      <c r="C557" s="3" t="s">
        <v>266</v>
      </c>
      <c r="D557" s="4">
        <v>758000</v>
      </c>
      <c r="E557" s="3">
        <v>1197</v>
      </c>
      <c r="F557" s="3">
        <v>4</v>
      </c>
      <c r="G557" s="3" t="s">
        <v>10</v>
      </c>
      <c r="H557" s="3" t="s">
        <v>11</v>
      </c>
      <c r="I557" s="3">
        <v>5</v>
      </c>
      <c r="J557" s="3" t="s">
        <v>12</v>
      </c>
      <c r="K557" s="18">
        <v>83</v>
      </c>
      <c r="L557" s="16">
        <v>113</v>
      </c>
      <c r="M557" s="6" t="str" cm="1">
        <f t="array" ref="M557">_xlfn.IFS(L557&lt;100,"Economy",L557&lt;200,"Standard",L557&lt;350,"Powerful",L557&lt;500,"High Performance",L557&lt;800,"Sports Performance",L557&gt;=800,"Super Performance")</f>
        <v>Standard</v>
      </c>
    </row>
    <row r="558" spans="1:13" x14ac:dyDescent="0.25">
      <c r="A558" s="5" t="s">
        <v>93</v>
      </c>
      <c r="B558" s="3" t="s">
        <v>712</v>
      </c>
      <c r="C558" s="3" t="s">
        <v>715</v>
      </c>
      <c r="D558" s="4">
        <v>599000</v>
      </c>
      <c r="E558" s="3">
        <v>1248</v>
      </c>
      <c r="F558" s="3">
        <v>4</v>
      </c>
      <c r="G558" s="3" t="s">
        <v>36</v>
      </c>
      <c r="H558" s="3" t="s">
        <v>11</v>
      </c>
      <c r="I558" s="3">
        <v>5</v>
      </c>
      <c r="J558" s="3" t="s">
        <v>12</v>
      </c>
      <c r="K558" s="18">
        <v>75</v>
      </c>
      <c r="L558" s="16">
        <v>190</v>
      </c>
      <c r="M558" s="6" t="str" cm="1">
        <f t="array" ref="M558">_xlfn.IFS(L558&lt;100,"Economy",L558&lt;200,"Standard",L558&lt;350,"Powerful",L558&lt;500,"High Performance",L558&lt;800,"Sports Performance",L558&gt;=800,"Super Performance")</f>
        <v>Standard</v>
      </c>
    </row>
    <row r="559" spans="1:13" x14ac:dyDescent="0.25">
      <c r="A559" s="5" t="s">
        <v>93</v>
      </c>
      <c r="B559" s="3" t="s">
        <v>712</v>
      </c>
      <c r="C559" s="3" t="s">
        <v>716</v>
      </c>
      <c r="D559" s="4">
        <v>698000</v>
      </c>
      <c r="E559" s="3">
        <v>1248</v>
      </c>
      <c r="F559" s="3">
        <v>4</v>
      </c>
      <c r="G559" s="3" t="s">
        <v>36</v>
      </c>
      <c r="H559" s="3" t="s">
        <v>11</v>
      </c>
      <c r="I559" s="3">
        <v>5</v>
      </c>
      <c r="J559" s="3" t="s">
        <v>12</v>
      </c>
      <c r="K559" s="18">
        <v>75</v>
      </c>
      <c r="L559" s="16">
        <v>190</v>
      </c>
      <c r="M559" s="6" t="str" cm="1">
        <f t="array" ref="M559">_xlfn.IFS(L559&lt;100,"Economy",L559&lt;200,"Standard",L559&lt;350,"Powerful",L559&lt;500,"High Performance",L559&lt;800,"Sports Performance",L559&gt;=800,"Super Performance")</f>
        <v>Standard</v>
      </c>
    </row>
    <row r="560" spans="1:13" x14ac:dyDescent="0.25">
      <c r="A560" s="5" t="s">
        <v>93</v>
      </c>
      <c r="B560" s="3" t="s">
        <v>712</v>
      </c>
      <c r="C560" s="3" t="s">
        <v>717</v>
      </c>
      <c r="D560" s="4">
        <v>745000</v>
      </c>
      <c r="E560" s="3">
        <v>1248</v>
      </c>
      <c r="F560" s="3">
        <v>4</v>
      </c>
      <c r="G560" s="3" t="s">
        <v>36</v>
      </c>
      <c r="H560" s="3" t="s">
        <v>11</v>
      </c>
      <c r="I560" s="3">
        <v>5</v>
      </c>
      <c r="J560" s="3" t="s">
        <v>30</v>
      </c>
      <c r="K560" s="18">
        <v>75</v>
      </c>
      <c r="L560" s="16">
        <v>190</v>
      </c>
      <c r="M560" s="6" t="str" cm="1">
        <f t="array" ref="M560">_xlfn.IFS(L560&lt;100,"Economy",L560&lt;200,"Standard",L560&lt;350,"Powerful",L560&lt;500,"High Performance",L560&lt;800,"Sports Performance",L560&gt;=800,"Super Performance")</f>
        <v>Standard</v>
      </c>
    </row>
    <row r="561" spans="1:13" x14ac:dyDescent="0.25">
      <c r="A561" s="5" t="s">
        <v>93</v>
      </c>
      <c r="B561" s="3" t="s">
        <v>712</v>
      </c>
      <c r="C561" s="3" t="s">
        <v>718</v>
      </c>
      <c r="D561" s="4">
        <v>757000</v>
      </c>
      <c r="E561" s="3">
        <v>1248</v>
      </c>
      <c r="F561" s="3">
        <v>4</v>
      </c>
      <c r="G561" s="3" t="s">
        <v>36</v>
      </c>
      <c r="H561" s="3" t="s">
        <v>11</v>
      </c>
      <c r="I561" s="3">
        <v>5</v>
      </c>
      <c r="J561" s="3" t="s">
        <v>12</v>
      </c>
      <c r="K561" s="18">
        <v>75</v>
      </c>
      <c r="L561" s="16">
        <v>190</v>
      </c>
      <c r="M561" s="6" t="str" cm="1">
        <f t="array" ref="M561">_xlfn.IFS(L561&lt;100,"Economy",L561&lt;200,"Standard",L561&lt;350,"Powerful",L561&lt;500,"High Performance",L561&lt;800,"Sports Performance",L561&gt;=800,"Super Performance")</f>
        <v>Standard</v>
      </c>
    </row>
    <row r="562" spans="1:13" x14ac:dyDescent="0.25">
      <c r="A562" s="5" t="s">
        <v>93</v>
      </c>
      <c r="B562" s="3" t="s">
        <v>712</v>
      </c>
      <c r="C562" s="3" t="s">
        <v>719</v>
      </c>
      <c r="D562" s="4">
        <v>804000</v>
      </c>
      <c r="E562" s="3">
        <v>1248</v>
      </c>
      <c r="F562" s="3">
        <v>4</v>
      </c>
      <c r="G562" s="3" t="s">
        <v>36</v>
      </c>
      <c r="H562" s="3" t="s">
        <v>11</v>
      </c>
      <c r="I562" s="3">
        <v>5</v>
      </c>
      <c r="J562" s="3" t="s">
        <v>30</v>
      </c>
      <c r="K562" s="18">
        <v>75</v>
      </c>
      <c r="L562" s="16">
        <v>190</v>
      </c>
      <c r="M562" s="6" t="str" cm="1">
        <f t="array" ref="M562">_xlfn.IFS(L562&lt;100,"Economy",L562&lt;200,"Standard",L562&lt;350,"Powerful",L562&lt;500,"High Performance",L562&lt;800,"Sports Performance",L562&gt;=800,"Super Performance")</f>
        <v>Standard</v>
      </c>
    </row>
    <row r="563" spans="1:13" x14ac:dyDescent="0.25">
      <c r="A563" s="5" t="s">
        <v>93</v>
      </c>
      <c r="B563" s="3" t="s">
        <v>712</v>
      </c>
      <c r="C563" s="3" t="s">
        <v>720</v>
      </c>
      <c r="D563" s="4">
        <v>838000</v>
      </c>
      <c r="E563" s="3">
        <v>1248</v>
      </c>
      <c r="F563" s="3">
        <v>4</v>
      </c>
      <c r="G563" s="3" t="s">
        <v>36</v>
      </c>
      <c r="H563" s="3" t="s">
        <v>11</v>
      </c>
      <c r="I563" s="3">
        <v>5</v>
      </c>
      <c r="J563" s="3" t="s">
        <v>12</v>
      </c>
      <c r="K563" s="18">
        <v>75</v>
      </c>
      <c r="L563" s="16">
        <v>190</v>
      </c>
      <c r="M563" s="6" t="str" cm="1">
        <f t="array" ref="M563">_xlfn.IFS(L563&lt;100,"Economy",L563&lt;200,"Standard",L563&lt;350,"Powerful",L563&lt;500,"High Performance",L563&lt;800,"Sports Performance",L563&gt;=800,"Super Performance")</f>
        <v>Standard</v>
      </c>
    </row>
    <row r="564" spans="1:13" x14ac:dyDescent="0.25">
      <c r="A564" s="5" t="s">
        <v>93</v>
      </c>
      <c r="B564" s="3" t="s">
        <v>712</v>
      </c>
      <c r="C564" s="3" t="s">
        <v>721</v>
      </c>
      <c r="D564" s="4">
        <v>802000</v>
      </c>
      <c r="E564" s="3">
        <v>1197</v>
      </c>
      <c r="F564" s="3">
        <v>4</v>
      </c>
      <c r="G564" s="3" t="s">
        <v>10</v>
      </c>
      <c r="H564" s="3" t="s">
        <v>11</v>
      </c>
      <c r="I564" s="3">
        <v>5</v>
      </c>
      <c r="J564" s="3" t="s">
        <v>30</v>
      </c>
      <c r="K564" s="18">
        <v>83</v>
      </c>
      <c r="L564" s="16">
        <v>113</v>
      </c>
      <c r="M564" s="6" t="str" cm="1">
        <f t="array" ref="M564">_xlfn.IFS(L564&lt;100,"Economy",L564&lt;200,"Standard",L564&lt;350,"Powerful",L564&lt;500,"High Performance",L564&lt;800,"Sports Performance",L564&gt;=800,"Super Performance")</f>
        <v>Standard</v>
      </c>
    </row>
    <row r="565" spans="1:13" x14ac:dyDescent="0.25">
      <c r="A565" s="5" t="s">
        <v>93</v>
      </c>
      <c r="B565" s="3" t="s">
        <v>712</v>
      </c>
      <c r="C565" s="3" t="s">
        <v>722</v>
      </c>
      <c r="D565" s="4">
        <v>884000</v>
      </c>
      <c r="E565" s="3">
        <v>1248</v>
      </c>
      <c r="F565" s="3">
        <v>4</v>
      </c>
      <c r="G565" s="3" t="s">
        <v>36</v>
      </c>
      <c r="H565" s="3" t="s">
        <v>11</v>
      </c>
      <c r="I565" s="3">
        <v>5</v>
      </c>
      <c r="J565" s="3" t="s">
        <v>30</v>
      </c>
      <c r="K565" s="18">
        <v>75</v>
      </c>
      <c r="L565" s="16">
        <v>190</v>
      </c>
      <c r="M565" s="6" t="str" cm="1">
        <f t="array" ref="M565">_xlfn.IFS(L565&lt;100,"Economy",L565&lt;200,"Standard",L565&lt;350,"Powerful",L565&lt;500,"High Performance",L565&lt;800,"Sports Performance",L565&gt;=800,"Super Performance")</f>
        <v>Standard</v>
      </c>
    </row>
    <row r="566" spans="1:13" x14ac:dyDescent="0.25">
      <c r="A566" s="5" t="s">
        <v>22</v>
      </c>
      <c r="B566" s="3" t="s">
        <v>631</v>
      </c>
      <c r="C566" s="3" t="s">
        <v>336</v>
      </c>
      <c r="D566" s="4">
        <v>699000</v>
      </c>
      <c r="E566" s="3">
        <v>1497</v>
      </c>
      <c r="F566" s="3">
        <v>4</v>
      </c>
      <c r="G566" s="3" t="s">
        <v>36</v>
      </c>
      <c r="H566" s="3" t="s">
        <v>11</v>
      </c>
      <c r="I566" s="3">
        <v>5</v>
      </c>
      <c r="J566" s="3" t="s">
        <v>12</v>
      </c>
      <c r="K566" s="18">
        <v>90</v>
      </c>
      <c r="L566" s="16">
        <v>200</v>
      </c>
      <c r="M566" s="6" t="str" cm="1">
        <f t="array" ref="M566">_xlfn.IFS(L566&lt;100,"Economy",L566&lt;200,"Standard",L566&lt;350,"Powerful",L566&lt;500,"High Performance",L566&lt;800,"Sports Performance",L566&gt;=800,"Super Performance")</f>
        <v>Powerful</v>
      </c>
    </row>
    <row r="567" spans="1:13" x14ac:dyDescent="0.25">
      <c r="A567" s="5" t="s">
        <v>22</v>
      </c>
      <c r="B567" s="3" t="s">
        <v>632</v>
      </c>
      <c r="C567" s="3" t="s">
        <v>336</v>
      </c>
      <c r="D567" s="4">
        <v>845000</v>
      </c>
      <c r="E567" s="3">
        <v>1497</v>
      </c>
      <c r="F567" s="3">
        <v>4</v>
      </c>
      <c r="G567" s="3" t="s">
        <v>36</v>
      </c>
      <c r="H567" s="3" t="s">
        <v>66</v>
      </c>
      <c r="I567" s="3">
        <v>5</v>
      </c>
      <c r="J567" s="3" t="s">
        <v>12</v>
      </c>
      <c r="K567" s="18">
        <v>110</v>
      </c>
      <c r="L567" s="16">
        <v>260</v>
      </c>
      <c r="M567" s="6" t="str" cm="1">
        <f t="array" ref="M567">_xlfn.IFS(L567&lt;100,"Economy",L567&lt;200,"Standard",L567&lt;350,"Powerful",L567&lt;500,"High Performance",L567&lt;800,"Sports Performance",L567&gt;=800,"Super Performance")</f>
        <v>Powerful</v>
      </c>
    </row>
    <row r="568" spans="1:13" x14ac:dyDescent="0.25">
      <c r="A568" s="5" t="s">
        <v>22</v>
      </c>
      <c r="B568" s="3" t="s">
        <v>632</v>
      </c>
      <c r="C568" s="3" t="s">
        <v>456</v>
      </c>
      <c r="D568" s="4">
        <v>920000</v>
      </c>
      <c r="E568" s="3">
        <v>1497</v>
      </c>
      <c r="F568" s="3">
        <v>4</v>
      </c>
      <c r="G568" s="3" t="s">
        <v>36</v>
      </c>
      <c r="H568" s="3" t="s">
        <v>66</v>
      </c>
      <c r="I568" s="3">
        <v>5</v>
      </c>
      <c r="J568" s="3" t="s">
        <v>12</v>
      </c>
      <c r="K568" s="18">
        <v>110</v>
      </c>
      <c r="L568" s="16">
        <v>260</v>
      </c>
      <c r="M568" s="6" t="str" cm="1">
        <f t="array" ref="M568">_xlfn.IFS(L568&lt;100,"Economy",L568&lt;200,"Standard",L568&lt;350,"Powerful",L568&lt;500,"High Performance",L568&lt;800,"Sports Performance",L568&gt;=800,"Super Performance")</f>
        <v>Powerful</v>
      </c>
    </row>
    <row r="569" spans="1:13" x14ac:dyDescent="0.25">
      <c r="A569" s="5" t="s">
        <v>22</v>
      </c>
      <c r="B569" s="3" t="s">
        <v>632</v>
      </c>
      <c r="C569" s="3" t="s">
        <v>723</v>
      </c>
      <c r="D569" s="4">
        <v>1020000</v>
      </c>
      <c r="E569" s="3">
        <v>1497</v>
      </c>
      <c r="F569" s="3">
        <v>4</v>
      </c>
      <c r="G569" s="3" t="s">
        <v>36</v>
      </c>
      <c r="H569" s="3" t="s">
        <v>66</v>
      </c>
      <c r="I569" s="3">
        <v>5</v>
      </c>
      <c r="J569" s="3" t="s">
        <v>12</v>
      </c>
      <c r="K569" s="18">
        <v>110</v>
      </c>
      <c r="L569" s="16">
        <v>260</v>
      </c>
      <c r="M569" s="6" t="str" cm="1">
        <f t="array" ref="M569">_xlfn.IFS(L569&lt;100,"Economy",L569&lt;200,"Standard",L569&lt;350,"Powerful",L569&lt;500,"High Performance",L569&lt;800,"Sports Performance",L569&gt;=800,"Super Performance")</f>
        <v>Powerful</v>
      </c>
    </row>
    <row r="570" spans="1:13" x14ac:dyDescent="0.25">
      <c r="A570" s="5" t="s">
        <v>22</v>
      </c>
      <c r="B570" s="3" t="s">
        <v>632</v>
      </c>
      <c r="C570" s="3" t="s">
        <v>724</v>
      </c>
      <c r="D570" s="4">
        <v>1100000</v>
      </c>
      <c r="E570" s="3">
        <v>1497</v>
      </c>
      <c r="F570" s="3">
        <v>4</v>
      </c>
      <c r="G570" s="3" t="s">
        <v>36</v>
      </c>
      <c r="H570" s="3" t="s">
        <v>66</v>
      </c>
      <c r="I570" s="3">
        <v>5</v>
      </c>
      <c r="J570" s="3" t="s">
        <v>12</v>
      </c>
      <c r="K570" s="18">
        <v>110</v>
      </c>
      <c r="L570" s="16">
        <v>260</v>
      </c>
      <c r="M570" s="6" t="str" cm="1">
        <f t="array" ref="M570">_xlfn.IFS(L570&lt;100,"Economy",L570&lt;200,"Standard",L570&lt;350,"Powerful",L570&lt;500,"High Performance",L570&lt;800,"Sports Performance",L570&gt;=800,"Super Performance")</f>
        <v>Powerful</v>
      </c>
    </row>
    <row r="571" spans="1:13" x14ac:dyDescent="0.25">
      <c r="A571" s="5" t="s">
        <v>22</v>
      </c>
      <c r="B571" s="3" t="s">
        <v>632</v>
      </c>
      <c r="C571" s="3" t="s">
        <v>725</v>
      </c>
      <c r="D571" s="4">
        <v>1120000</v>
      </c>
      <c r="E571" s="3">
        <v>1497</v>
      </c>
      <c r="F571" s="3">
        <v>4</v>
      </c>
      <c r="G571" s="3" t="s">
        <v>36</v>
      </c>
      <c r="H571" s="3" t="s">
        <v>66</v>
      </c>
      <c r="I571" s="3">
        <v>5</v>
      </c>
      <c r="J571" s="3" t="s">
        <v>12</v>
      </c>
      <c r="K571" s="18">
        <v>110</v>
      </c>
      <c r="L571" s="16">
        <v>260</v>
      </c>
      <c r="M571" s="6" t="str" cm="1">
        <f t="array" ref="M571">_xlfn.IFS(L571&lt;100,"Economy",L571&lt;200,"Standard",L571&lt;350,"Powerful",L571&lt;500,"High Performance",L571&lt;800,"Sports Performance",L571&gt;=800,"Super Performance")</f>
        <v>Powerful</v>
      </c>
    </row>
    <row r="572" spans="1:13" x14ac:dyDescent="0.25">
      <c r="A572" s="5" t="s">
        <v>22</v>
      </c>
      <c r="B572" s="3" t="s">
        <v>632</v>
      </c>
      <c r="C572" s="3" t="s">
        <v>726</v>
      </c>
      <c r="D572" s="4">
        <v>1190000</v>
      </c>
      <c r="E572" s="3">
        <v>1497</v>
      </c>
      <c r="F572" s="3">
        <v>4</v>
      </c>
      <c r="G572" s="3" t="s">
        <v>36</v>
      </c>
      <c r="H572" s="3" t="s">
        <v>66</v>
      </c>
      <c r="I572" s="3">
        <v>5</v>
      </c>
      <c r="J572" s="3" t="s">
        <v>12</v>
      </c>
      <c r="K572" s="18">
        <v>110</v>
      </c>
      <c r="L572" s="16">
        <v>260</v>
      </c>
      <c r="M572" s="6" t="str" cm="1">
        <f t="array" ref="M572">_xlfn.IFS(L572&lt;100,"Economy",L572&lt;200,"Standard",L572&lt;350,"Powerful",L572&lt;500,"High Performance",L572&lt;800,"Sports Performance",L572&gt;=800,"Super Performance")</f>
        <v>Powerful</v>
      </c>
    </row>
    <row r="573" spans="1:13" x14ac:dyDescent="0.25">
      <c r="A573" s="5" t="s">
        <v>22</v>
      </c>
      <c r="B573" s="3" t="s">
        <v>632</v>
      </c>
      <c r="C573" s="3" t="s">
        <v>727</v>
      </c>
      <c r="D573" s="4">
        <v>1210000</v>
      </c>
      <c r="E573" s="3">
        <v>1497</v>
      </c>
      <c r="F573" s="3">
        <v>4</v>
      </c>
      <c r="G573" s="3" t="s">
        <v>36</v>
      </c>
      <c r="H573" s="3" t="s">
        <v>66</v>
      </c>
      <c r="I573" s="3">
        <v>5</v>
      </c>
      <c r="J573" s="3" t="s">
        <v>12</v>
      </c>
      <c r="K573" s="18">
        <v>110</v>
      </c>
      <c r="L573" s="16">
        <v>260</v>
      </c>
      <c r="M573" s="6" t="str" cm="1">
        <f t="array" ref="M573">_xlfn.IFS(L573&lt;100,"Economy",L573&lt;200,"Standard",L573&lt;350,"Powerful",L573&lt;500,"High Performance",L573&lt;800,"Sports Performance",L573&gt;=800,"Super Performance")</f>
        <v>Powerful</v>
      </c>
    </row>
    <row r="574" spans="1:13" x14ac:dyDescent="0.25">
      <c r="A574" s="5" t="s">
        <v>22</v>
      </c>
      <c r="B574" s="3" t="s">
        <v>632</v>
      </c>
      <c r="C574" s="3" t="s">
        <v>728</v>
      </c>
      <c r="D574" s="4">
        <v>980000</v>
      </c>
      <c r="E574" s="3">
        <v>1497</v>
      </c>
      <c r="F574" s="3">
        <v>4</v>
      </c>
      <c r="G574" s="3" t="s">
        <v>36</v>
      </c>
      <c r="H574" s="3" t="s">
        <v>66</v>
      </c>
      <c r="I574" s="3">
        <v>5</v>
      </c>
      <c r="J574" s="3" t="s">
        <v>30</v>
      </c>
      <c r="K574" s="18">
        <v>110</v>
      </c>
      <c r="L574" s="16">
        <v>260</v>
      </c>
      <c r="M574" s="6" t="str" cm="1">
        <f t="array" ref="M574">_xlfn.IFS(L574&lt;100,"Economy",L574&lt;200,"Standard",L574&lt;350,"Powerful",L574&lt;500,"High Performance",L574&lt;800,"Sports Performance",L574&gt;=800,"Super Performance")</f>
        <v>Powerful</v>
      </c>
    </row>
    <row r="575" spans="1:13" x14ac:dyDescent="0.25">
      <c r="A575" s="5" t="s">
        <v>22</v>
      </c>
      <c r="B575" s="3" t="s">
        <v>632</v>
      </c>
      <c r="C575" s="3" t="s">
        <v>729</v>
      </c>
      <c r="D575" s="4">
        <v>1160000</v>
      </c>
      <c r="E575" s="3">
        <v>1497</v>
      </c>
      <c r="F575" s="3">
        <v>4</v>
      </c>
      <c r="G575" s="3" t="s">
        <v>36</v>
      </c>
      <c r="H575" s="3" t="s">
        <v>66</v>
      </c>
      <c r="I575" s="3">
        <v>5</v>
      </c>
      <c r="J575" s="3" t="s">
        <v>30</v>
      </c>
      <c r="K575" s="18">
        <v>110</v>
      </c>
      <c r="L575" s="16">
        <v>260</v>
      </c>
      <c r="M575" s="6" t="str" cm="1">
        <f t="array" ref="M575">_xlfn.IFS(L575&lt;100,"Economy",L575&lt;200,"Standard",L575&lt;350,"Powerful",L575&lt;500,"High Performance",L575&lt;800,"Sports Performance",L575&gt;=800,"Super Performance")</f>
        <v>Powerful</v>
      </c>
    </row>
    <row r="576" spans="1:13" x14ac:dyDescent="0.25">
      <c r="A576" s="5" t="s">
        <v>22</v>
      </c>
      <c r="B576" s="3" t="s">
        <v>632</v>
      </c>
      <c r="C576" s="3" t="s">
        <v>730</v>
      </c>
      <c r="D576" s="4">
        <v>1180000</v>
      </c>
      <c r="E576" s="3">
        <v>1497</v>
      </c>
      <c r="F576" s="3">
        <v>4</v>
      </c>
      <c r="G576" s="3" t="s">
        <v>36</v>
      </c>
      <c r="H576" s="3" t="s">
        <v>66</v>
      </c>
      <c r="I576" s="3">
        <v>5</v>
      </c>
      <c r="J576" s="3" t="s">
        <v>30</v>
      </c>
      <c r="K576" s="18">
        <v>110</v>
      </c>
      <c r="L576" s="16">
        <v>260</v>
      </c>
      <c r="M576" s="6" t="str" cm="1">
        <f t="array" ref="M576">_xlfn.IFS(L576&lt;100,"Economy",L576&lt;200,"Standard",L576&lt;350,"Powerful",L576&lt;500,"High Performance",L576&lt;800,"Sports Performance",L576&gt;=800,"Super Performance")</f>
        <v>Powerful</v>
      </c>
    </row>
    <row r="577" spans="1:13" x14ac:dyDescent="0.25">
      <c r="A577" s="5" t="s">
        <v>22</v>
      </c>
      <c r="B577" s="3" t="s">
        <v>632</v>
      </c>
      <c r="C577" s="3" t="s">
        <v>731</v>
      </c>
      <c r="D577" s="4">
        <v>1250000</v>
      </c>
      <c r="E577" s="3">
        <v>1497</v>
      </c>
      <c r="F577" s="3">
        <v>4</v>
      </c>
      <c r="G577" s="3" t="s">
        <v>36</v>
      </c>
      <c r="H577" s="3" t="s">
        <v>66</v>
      </c>
      <c r="I577" s="3">
        <v>5</v>
      </c>
      <c r="J577" s="3" t="s">
        <v>30</v>
      </c>
      <c r="K577" s="18">
        <v>110</v>
      </c>
      <c r="L577" s="16">
        <v>260</v>
      </c>
      <c r="M577" s="6" t="str" cm="1">
        <f t="array" ref="M577">_xlfn.IFS(L577&lt;100,"Economy",L577&lt;200,"Standard",L577&lt;350,"Powerful",L577&lt;500,"High Performance",L577&lt;800,"Sports Performance",L577&gt;=800,"Super Performance")</f>
        <v>Powerful</v>
      </c>
    </row>
    <row r="578" spans="1:13" x14ac:dyDescent="0.25">
      <c r="A578" s="5" t="s">
        <v>22</v>
      </c>
      <c r="B578" s="3" t="s">
        <v>632</v>
      </c>
      <c r="C578" s="3" t="s">
        <v>732</v>
      </c>
      <c r="D578" s="4">
        <v>1270000</v>
      </c>
      <c r="E578" s="3">
        <v>1497</v>
      </c>
      <c r="F578" s="3">
        <v>4</v>
      </c>
      <c r="G578" s="3" t="s">
        <v>36</v>
      </c>
      <c r="H578" s="3" t="s">
        <v>66</v>
      </c>
      <c r="I578" s="3">
        <v>5</v>
      </c>
      <c r="J578" s="3" t="s">
        <v>30</v>
      </c>
      <c r="K578" s="18">
        <v>110</v>
      </c>
      <c r="L578" s="16">
        <v>260</v>
      </c>
      <c r="M578" s="6" t="str" cm="1">
        <f t="array" ref="M578">_xlfn.IFS(L578&lt;100,"Economy",L578&lt;200,"Standard",L578&lt;350,"Powerful",L578&lt;500,"High Performance",L578&lt;800,"Sports Performance",L578&gt;=800,"Super Performance")</f>
        <v>Powerful</v>
      </c>
    </row>
    <row r="579" spans="1:13" x14ac:dyDescent="0.25">
      <c r="A579" s="5" t="s">
        <v>40</v>
      </c>
      <c r="B579" s="3" t="s">
        <v>642</v>
      </c>
      <c r="C579" s="3" t="s">
        <v>702</v>
      </c>
      <c r="D579" s="4">
        <v>841000</v>
      </c>
      <c r="E579" s="3">
        <v>1498</v>
      </c>
      <c r="F579" s="3">
        <v>4</v>
      </c>
      <c r="G579" s="3" t="s">
        <v>36</v>
      </c>
      <c r="H579" s="3" t="s">
        <v>66</v>
      </c>
      <c r="I579" s="3">
        <v>5</v>
      </c>
      <c r="J579" s="3" t="s">
        <v>12</v>
      </c>
      <c r="K579" s="18">
        <v>100</v>
      </c>
      <c r="L579" s="16">
        <v>205</v>
      </c>
      <c r="M579" s="6" t="str" cm="1">
        <f t="array" ref="M579">_xlfn.IFS(L579&lt;100,"Economy",L579&lt;200,"Standard",L579&lt;350,"Powerful",L579&lt;500,"High Performance",L579&lt;800,"Sports Performance",L579&gt;=800,"Super Performance")</f>
        <v>Powerful</v>
      </c>
    </row>
    <row r="580" spans="1:13" x14ac:dyDescent="0.25">
      <c r="A580" s="5" t="s">
        <v>40</v>
      </c>
      <c r="B580" s="3" t="s">
        <v>642</v>
      </c>
      <c r="C580" s="3" t="s">
        <v>733</v>
      </c>
      <c r="D580" s="4">
        <v>921000</v>
      </c>
      <c r="E580" s="3">
        <v>1498</v>
      </c>
      <c r="F580" s="3">
        <v>4</v>
      </c>
      <c r="G580" s="3" t="s">
        <v>36</v>
      </c>
      <c r="H580" s="3" t="s">
        <v>66</v>
      </c>
      <c r="I580" s="3">
        <v>5</v>
      </c>
      <c r="J580" s="3" t="s">
        <v>12</v>
      </c>
      <c r="K580" s="18">
        <v>100</v>
      </c>
      <c r="L580" s="16">
        <v>205</v>
      </c>
      <c r="M580" s="6" t="str" cm="1">
        <f t="array" ref="M580">_xlfn.IFS(L580&lt;100,"Economy",L580&lt;200,"Standard",L580&lt;350,"Powerful",L580&lt;500,"High Performance",L580&lt;800,"Sports Performance",L580&gt;=800,"Super Performance")</f>
        <v>Powerful</v>
      </c>
    </row>
    <row r="581" spans="1:13" x14ac:dyDescent="0.25">
      <c r="A581" s="5" t="s">
        <v>40</v>
      </c>
      <c r="B581" s="3" t="s">
        <v>642</v>
      </c>
      <c r="C581" s="3" t="s">
        <v>703</v>
      </c>
      <c r="D581" s="4">
        <v>999900</v>
      </c>
      <c r="E581" s="3">
        <v>1498</v>
      </c>
      <c r="F581" s="3">
        <v>4</v>
      </c>
      <c r="G581" s="3" t="s">
        <v>36</v>
      </c>
      <c r="H581" s="3" t="s">
        <v>66</v>
      </c>
      <c r="I581" s="3">
        <v>5</v>
      </c>
      <c r="J581" s="3" t="s">
        <v>12</v>
      </c>
      <c r="K581" s="18">
        <v>100</v>
      </c>
      <c r="L581" s="16">
        <v>205</v>
      </c>
      <c r="M581" s="6" t="str" cm="1">
        <f t="array" ref="M581">_xlfn.IFS(L581&lt;100,"Economy",L581&lt;200,"Standard",L581&lt;350,"Powerful",L581&lt;500,"High Performance",L581&lt;800,"Sports Performance",L581&gt;=800,"Super Performance")</f>
        <v>Powerful</v>
      </c>
    </row>
    <row r="582" spans="1:13" x14ac:dyDescent="0.25">
      <c r="A582" s="5" t="s">
        <v>40</v>
      </c>
      <c r="B582" s="3" t="s">
        <v>642</v>
      </c>
      <c r="C582" s="3" t="s">
        <v>704</v>
      </c>
      <c r="D582" s="4">
        <v>1090000</v>
      </c>
      <c r="E582" s="3">
        <v>1498</v>
      </c>
      <c r="F582" s="3">
        <v>4</v>
      </c>
      <c r="G582" s="3" t="s">
        <v>36</v>
      </c>
      <c r="H582" s="3" t="s">
        <v>66</v>
      </c>
      <c r="I582" s="3">
        <v>5</v>
      </c>
      <c r="J582" s="3" t="s">
        <v>12</v>
      </c>
      <c r="K582" s="18">
        <v>100</v>
      </c>
      <c r="L582" s="16">
        <v>205</v>
      </c>
      <c r="M582" s="6" t="str" cm="1">
        <f t="array" ref="M582">_xlfn.IFS(L582&lt;100,"Economy",L582&lt;200,"Standard",L582&lt;350,"Powerful",L582&lt;500,"High Performance",L582&lt;800,"Sports Performance",L582&gt;=800,"Super Performance")</f>
        <v>Powerful</v>
      </c>
    </row>
    <row r="583" spans="1:13" x14ac:dyDescent="0.25">
      <c r="A583" s="5" t="s">
        <v>40</v>
      </c>
      <c r="B583" s="3" t="s">
        <v>642</v>
      </c>
      <c r="C583" s="3" t="s">
        <v>734</v>
      </c>
      <c r="D583" s="4">
        <v>999900</v>
      </c>
      <c r="E583" s="3">
        <v>1497</v>
      </c>
      <c r="F583" s="3">
        <v>4</v>
      </c>
      <c r="G583" s="3" t="s">
        <v>10</v>
      </c>
      <c r="H583" s="3" t="s">
        <v>66</v>
      </c>
      <c r="I583" s="3">
        <v>5</v>
      </c>
      <c r="J583" s="3" t="s">
        <v>12</v>
      </c>
      <c r="K583" s="18">
        <v>123</v>
      </c>
      <c r="L583" s="16">
        <v>150</v>
      </c>
      <c r="M583" s="6" t="str" cm="1">
        <f t="array" ref="M583">_xlfn.IFS(L583&lt;100,"Economy",L583&lt;200,"Standard",L583&lt;350,"Powerful",L583&lt;500,"High Performance",L583&lt;800,"Sports Performance",L583&gt;=800,"Super Performance")</f>
        <v>Standard</v>
      </c>
    </row>
    <row r="584" spans="1:13" x14ac:dyDescent="0.25">
      <c r="A584" s="5" t="s">
        <v>40</v>
      </c>
      <c r="B584" s="3" t="s">
        <v>642</v>
      </c>
      <c r="C584" s="3" t="s">
        <v>735</v>
      </c>
      <c r="D584" s="4">
        <v>999900</v>
      </c>
      <c r="E584" s="3">
        <v>1497</v>
      </c>
      <c r="F584" s="3">
        <v>4</v>
      </c>
      <c r="G584" s="3" t="s">
        <v>10</v>
      </c>
      <c r="H584" s="3" t="s">
        <v>66</v>
      </c>
      <c r="I584" s="3">
        <v>5</v>
      </c>
      <c r="J584" s="3" t="s">
        <v>12</v>
      </c>
      <c r="K584" s="18">
        <v>123</v>
      </c>
      <c r="L584" s="16">
        <v>150</v>
      </c>
      <c r="M584" s="6" t="str" cm="1">
        <f t="array" ref="M584">_xlfn.IFS(L584&lt;100,"Economy",L584&lt;200,"Standard",L584&lt;350,"Powerful",L584&lt;500,"High Performance",L584&lt;800,"Sports Performance",L584&gt;=800,"Super Performance")</f>
        <v>Standard</v>
      </c>
    </row>
    <row r="585" spans="1:13" x14ac:dyDescent="0.25">
      <c r="A585" s="5" t="s">
        <v>40</v>
      </c>
      <c r="B585" s="3" t="s">
        <v>642</v>
      </c>
      <c r="C585" s="3" t="s">
        <v>736</v>
      </c>
      <c r="D585" s="4">
        <v>1090000</v>
      </c>
      <c r="E585" s="3">
        <v>1498</v>
      </c>
      <c r="F585" s="3">
        <v>4</v>
      </c>
      <c r="G585" s="3" t="s">
        <v>36</v>
      </c>
      <c r="H585" s="3" t="s">
        <v>66</v>
      </c>
      <c r="I585" s="3">
        <v>5</v>
      </c>
      <c r="J585" s="3" t="s">
        <v>12</v>
      </c>
      <c r="K585" s="18">
        <v>100</v>
      </c>
      <c r="L585" s="16">
        <v>205</v>
      </c>
      <c r="M585" s="6" t="str" cm="1">
        <f t="array" ref="M585">_xlfn.IFS(L585&lt;100,"Economy",L585&lt;200,"Standard",L585&lt;350,"Powerful",L585&lt;500,"High Performance",L585&lt;800,"Sports Performance",L585&gt;=800,"Super Performance")</f>
        <v>Powerful</v>
      </c>
    </row>
    <row r="586" spans="1:13" x14ac:dyDescent="0.25">
      <c r="A586" s="5" t="s">
        <v>7</v>
      </c>
      <c r="B586" s="3" t="s">
        <v>737</v>
      </c>
      <c r="C586" s="3" t="s">
        <v>523</v>
      </c>
      <c r="D586" s="4">
        <v>999900</v>
      </c>
      <c r="E586" s="3">
        <v>1591</v>
      </c>
      <c r="F586" s="3">
        <v>4</v>
      </c>
      <c r="G586" s="3" t="s">
        <v>10</v>
      </c>
      <c r="H586" s="3" t="s">
        <v>27</v>
      </c>
      <c r="I586" s="3">
        <v>5</v>
      </c>
      <c r="J586" s="3" t="s">
        <v>12</v>
      </c>
      <c r="K586" s="18">
        <v>123</v>
      </c>
      <c r="L586" s="16">
        <v>151</v>
      </c>
      <c r="M586" s="6" t="str" cm="1">
        <f t="array" ref="M586">_xlfn.IFS(L586&lt;100,"Economy",L586&lt;200,"Standard",L586&lt;350,"Powerful",L586&lt;500,"High Performance",L586&lt;800,"Sports Performance",L586&gt;=800,"Super Performance")</f>
        <v>Standard</v>
      </c>
    </row>
    <row r="587" spans="1:13" x14ac:dyDescent="0.25">
      <c r="A587" s="5" t="s">
        <v>7</v>
      </c>
      <c r="B587" s="3" t="s">
        <v>737</v>
      </c>
      <c r="C587" s="3" t="s">
        <v>524</v>
      </c>
      <c r="D587" s="4">
        <v>1172999</v>
      </c>
      <c r="E587" s="3">
        <v>1591</v>
      </c>
      <c r="F587" s="3">
        <v>4</v>
      </c>
      <c r="G587" s="3" t="s">
        <v>10</v>
      </c>
      <c r="H587" s="3" t="s">
        <v>27</v>
      </c>
      <c r="I587" s="3">
        <v>5</v>
      </c>
      <c r="J587" s="3" t="s">
        <v>12</v>
      </c>
      <c r="K587" s="18">
        <v>123</v>
      </c>
      <c r="L587" s="16">
        <v>151</v>
      </c>
      <c r="M587" s="6" t="str" cm="1">
        <f t="array" ref="M587">_xlfn.IFS(L587&lt;100,"Economy",L587&lt;200,"Standard",L587&lt;350,"Powerful",L587&lt;500,"High Performance",L587&lt;800,"Sports Performance",L587&gt;=800,"Super Performance")</f>
        <v>Standard</v>
      </c>
    </row>
    <row r="588" spans="1:13" x14ac:dyDescent="0.25">
      <c r="A588" s="5" t="s">
        <v>7</v>
      </c>
      <c r="B588" s="3" t="s">
        <v>737</v>
      </c>
      <c r="C588" s="3" t="s">
        <v>738</v>
      </c>
      <c r="D588" s="4">
        <v>1287999</v>
      </c>
      <c r="E588" s="3">
        <v>1591</v>
      </c>
      <c r="F588" s="3">
        <v>4</v>
      </c>
      <c r="G588" s="3" t="s">
        <v>10</v>
      </c>
      <c r="H588" s="3" t="s">
        <v>27</v>
      </c>
      <c r="I588" s="3">
        <v>5</v>
      </c>
      <c r="J588" s="3" t="s">
        <v>30</v>
      </c>
      <c r="K588" s="18">
        <v>123</v>
      </c>
      <c r="L588" s="16">
        <v>155</v>
      </c>
      <c r="M588" s="6" t="str" cm="1">
        <f t="array" ref="M588">_xlfn.IFS(L588&lt;100,"Economy",L588&lt;200,"Standard",L588&lt;350,"Powerful",L588&lt;500,"High Performance",L588&lt;800,"Sports Performance",L588&gt;=800,"Super Performance")</f>
        <v>Standard</v>
      </c>
    </row>
    <row r="589" spans="1:13" x14ac:dyDescent="0.25">
      <c r="A589" s="5" t="s">
        <v>7</v>
      </c>
      <c r="B589" s="3" t="s">
        <v>737</v>
      </c>
      <c r="C589" s="3" t="s">
        <v>739</v>
      </c>
      <c r="D589" s="4">
        <v>933182</v>
      </c>
      <c r="E589" s="3">
        <v>1396</v>
      </c>
      <c r="F589" s="3">
        <v>4</v>
      </c>
      <c r="G589" s="3" t="s">
        <v>10</v>
      </c>
      <c r="H589" s="3" t="s">
        <v>27</v>
      </c>
      <c r="I589" s="3">
        <v>5</v>
      </c>
      <c r="J589" s="3" t="s">
        <v>12</v>
      </c>
      <c r="K589" s="18">
        <v>100</v>
      </c>
      <c r="L589" s="16">
        <v>133</v>
      </c>
      <c r="M589" s="6" t="str" cm="1">
        <f t="array" ref="M589">_xlfn.IFS(L589&lt;100,"Economy",L589&lt;200,"Standard",L589&lt;350,"Powerful",L589&lt;500,"High Performance",L589&lt;800,"Sports Performance",L589&gt;=800,"Super Performance")</f>
        <v>Standard</v>
      </c>
    </row>
    <row r="590" spans="1:13" x14ac:dyDescent="0.25">
      <c r="A590" s="5" t="s">
        <v>7</v>
      </c>
      <c r="B590" s="3" t="s">
        <v>737</v>
      </c>
      <c r="C590" s="3" t="s">
        <v>740</v>
      </c>
      <c r="D590" s="4">
        <v>817867</v>
      </c>
      <c r="E590" s="3">
        <v>1396</v>
      </c>
      <c r="F590" s="3">
        <v>4</v>
      </c>
      <c r="G590" s="3" t="s">
        <v>10</v>
      </c>
      <c r="H590" s="3" t="s">
        <v>27</v>
      </c>
      <c r="I590" s="3">
        <v>5</v>
      </c>
      <c r="J590" s="3" t="s">
        <v>12</v>
      </c>
      <c r="K590" s="18">
        <v>100</v>
      </c>
      <c r="L590" s="16">
        <v>133</v>
      </c>
      <c r="M590" s="6" t="str" cm="1">
        <f t="array" ref="M590">_xlfn.IFS(L590&lt;100,"Economy",L590&lt;200,"Standard",L590&lt;350,"Powerful",L590&lt;500,"High Performance",L590&lt;800,"Sports Performance",L590&gt;=800,"Super Performance")</f>
        <v>Standard</v>
      </c>
    </row>
    <row r="591" spans="1:13" x14ac:dyDescent="0.25">
      <c r="A591" s="5" t="s">
        <v>7</v>
      </c>
      <c r="B591" s="3" t="s">
        <v>737</v>
      </c>
      <c r="C591" s="3" t="s">
        <v>741</v>
      </c>
      <c r="D591" s="4">
        <v>1178894</v>
      </c>
      <c r="E591" s="3">
        <v>1591</v>
      </c>
      <c r="F591" s="3">
        <v>4</v>
      </c>
      <c r="G591" s="3" t="s">
        <v>10</v>
      </c>
      <c r="H591" s="3" t="s">
        <v>27</v>
      </c>
      <c r="I591" s="3">
        <v>5</v>
      </c>
      <c r="J591" s="3" t="s">
        <v>12</v>
      </c>
      <c r="K591" s="18">
        <v>123</v>
      </c>
      <c r="L591" s="16">
        <v>151</v>
      </c>
      <c r="M591" s="6" t="str" cm="1">
        <f t="array" ref="M591">_xlfn.IFS(L591&lt;100,"Economy",L591&lt;200,"Standard",L591&lt;350,"Powerful",L591&lt;500,"High Performance",L591&lt;800,"Sports Performance",L591&gt;=800,"Super Performance")</f>
        <v>Standard</v>
      </c>
    </row>
    <row r="592" spans="1:13" x14ac:dyDescent="0.25">
      <c r="A592" s="5" t="s">
        <v>7</v>
      </c>
      <c r="B592" s="3" t="s">
        <v>737</v>
      </c>
      <c r="C592" s="3" t="s">
        <v>742</v>
      </c>
      <c r="D592" s="4">
        <v>1162875</v>
      </c>
      <c r="E592" s="3">
        <v>1591</v>
      </c>
      <c r="F592" s="3">
        <v>4</v>
      </c>
      <c r="G592" s="3" t="s">
        <v>10</v>
      </c>
      <c r="H592" s="3" t="s">
        <v>27</v>
      </c>
      <c r="I592" s="3">
        <v>5</v>
      </c>
      <c r="J592" s="3" t="s">
        <v>30</v>
      </c>
      <c r="K592" s="18">
        <v>123</v>
      </c>
      <c r="L592" s="16">
        <v>155</v>
      </c>
      <c r="M592" s="6" t="str" cm="1">
        <f t="array" ref="M592">_xlfn.IFS(L592&lt;100,"Economy",L592&lt;200,"Standard",L592&lt;350,"Powerful",L592&lt;500,"High Performance",L592&lt;800,"Sports Performance",L592&gt;=800,"Super Performance")</f>
        <v>Standard</v>
      </c>
    </row>
    <row r="593" spans="1:13" x14ac:dyDescent="0.25">
      <c r="A593" s="5" t="s">
        <v>7</v>
      </c>
      <c r="B593" s="3" t="s">
        <v>737</v>
      </c>
      <c r="C593" s="3" t="s">
        <v>743</v>
      </c>
      <c r="D593" s="4">
        <v>942867</v>
      </c>
      <c r="E593" s="3">
        <v>1396</v>
      </c>
      <c r="F593" s="3">
        <v>4</v>
      </c>
      <c r="G593" s="3" t="s">
        <v>36</v>
      </c>
      <c r="H593" s="3" t="s">
        <v>27</v>
      </c>
      <c r="I593" s="3">
        <v>5</v>
      </c>
      <c r="J593" s="3" t="s">
        <v>12</v>
      </c>
      <c r="K593" s="18">
        <v>100</v>
      </c>
      <c r="L593" s="16">
        <v>133</v>
      </c>
      <c r="M593" s="6" t="str" cm="1">
        <f t="array" ref="M593">_xlfn.IFS(L593&lt;100,"Economy",L593&lt;200,"Standard",L593&lt;350,"Powerful",L593&lt;500,"High Performance",L593&lt;800,"Sports Performance",L593&gt;=800,"Super Performance")</f>
        <v>Standard</v>
      </c>
    </row>
    <row r="594" spans="1:13" x14ac:dyDescent="0.25">
      <c r="A594" s="5" t="s">
        <v>7</v>
      </c>
      <c r="B594" s="3" t="s">
        <v>737</v>
      </c>
      <c r="C594" s="3" t="s">
        <v>535</v>
      </c>
      <c r="D594" s="4">
        <v>999900</v>
      </c>
      <c r="E594" s="3">
        <v>1396</v>
      </c>
      <c r="F594" s="3">
        <v>4</v>
      </c>
      <c r="G594" s="3" t="s">
        <v>36</v>
      </c>
      <c r="H594" s="3" t="s">
        <v>27</v>
      </c>
      <c r="I594" s="3">
        <v>5</v>
      </c>
      <c r="J594" s="3" t="s">
        <v>12</v>
      </c>
      <c r="K594" s="18">
        <v>100</v>
      </c>
      <c r="L594" s="16">
        <v>133</v>
      </c>
      <c r="M594" s="6" t="str" cm="1">
        <f t="array" ref="M594">_xlfn.IFS(L594&lt;100,"Economy",L594&lt;200,"Standard",L594&lt;350,"Powerful",L594&lt;500,"High Performance",L594&lt;800,"Sports Performance",L594&gt;=800,"Super Performance")</f>
        <v>Standard</v>
      </c>
    </row>
    <row r="595" spans="1:13" x14ac:dyDescent="0.25">
      <c r="A595" s="5" t="s">
        <v>160</v>
      </c>
      <c r="B595" s="3" t="s">
        <v>484</v>
      </c>
      <c r="C595" s="3" t="s">
        <v>744</v>
      </c>
      <c r="D595" s="4">
        <v>999900</v>
      </c>
      <c r="E595" s="3">
        <v>1598</v>
      </c>
      <c r="F595" s="3">
        <v>4</v>
      </c>
      <c r="G595" s="3" t="s">
        <v>10</v>
      </c>
      <c r="H595" s="3" t="s">
        <v>27</v>
      </c>
      <c r="I595" s="3">
        <v>5</v>
      </c>
      <c r="J595" s="3" t="s">
        <v>12</v>
      </c>
      <c r="K595" s="18">
        <v>105</v>
      </c>
      <c r="L595" s="16">
        <v>153</v>
      </c>
      <c r="M595" s="6" t="str" cm="1">
        <f t="array" ref="M595">_xlfn.IFS(L595&lt;100,"Economy",L595&lt;200,"Standard",L595&lt;350,"Powerful",L595&lt;500,"High Performance",L595&lt;800,"Sports Performance",L595&gt;=800,"Super Performance")</f>
        <v>Standard</v>
      </c>
    </row>
    <row r="596" spans="1:13" x14ac:dyDescent="0.25">
      <c r="A596" s="5" t="s">
        <v>160</v>
      </c>
      <c r="B596" s="3" t="s">
        <v>484</v>
      </c>
      <c r="C596" s="3" t="s">
        <v>745</v>
      </c>
      <c r="D596" s="4">
        <v>999900</v>
      </c>
      <c r="E596" s="3">
        <v>1598</v>
      </c>
      <c r="F596" s="3">
        <v>4</v>
      </c>
      <c r="G596" s="3" t="s">
        <v>10</v>
      </c>
      <c r="H596" s="3" t="s">
        <v>27</v>
      </c>
      <c r="I596" s="3">
        <v>5</v>
      </c>
      <c r="J596" s="3" t="s">
        <v>12</v>
      </c>
      <c r="K596" s="18">
        <v>105</v>
      </c>
      <c r="L596" s="16">
        <v>153</v>
      </c>
      <c r="M596" s="6" t="str" cm="1">
        <f t="array" ref="M596">_xlfn.IFS(L596&lt;100,"Economy",L596&lt;200,"Standard",L596&lt;350,"Powerful",L596&lt;500,"High Performance",L596&lt;800,"Sports Performance",L596&gt;=800,"Super Performance")</f>
        <v>Standard</v>
      </c>
    </row>
    <row r="597" spans="1:13" x14ac:dyDescent="0.25">
      <c r="A597" s="5" t="s">
        <v>160</v>
      </c>
      <c r="B597" s="3" t="s">
        <v>484</v>
      </c>
      <c r="C597" s="3" t="s">
        <v>746</v>
      </c>
      <c r="D597" s="4">
        <v>1197500</v>
      </c>
      <c r="E597" s="3">
        <v>1197</v>
      </c>
      <c r="F597" s="3">
        <v>4</v>
      </c>
      <c r="G597" s="3" t="s">
        <v>10</v>
      </c>
      <c r="H597" s="3" t="s">
        <v>27</v>
      </c>
      <c r="I597" s="3">
        <v>5</v>
      </c>
      <c r="J597" s="3" t="s">
        <v>30</v>
      </c>
      <c r="K597" s="18">
        <v>105</v>
      </c>
      <c r="L597" s="16">
        <v>175</v>
      </c>
      <c r="M597" s="6" t="str" cm="1">
        <f t="array" ref="M597">_xlfn.IFS(L597&lt;100,"Economy",L597&lt;200,"Standard",L597&lt;350,"Powerful",L597&lt;500,"High Performance",L597&lt;800,"Sports Performance",L597&gt;=800,"Super Performance")</f>
        <v>Standard</v>
      </c>
    </row>
    <row r="598" spans="1:13" x14ac:dyDescent="0.25">
      <c r="A598" s="5" t="s">
        <v>160</v>
      </c>
      <c r="B598" s="3" t="s">
        <v>484</v>
      </c>
      <c r="C598" s="3" t="s">
        <v>747</v>
      </c>
      <c r="D598" s="4">
        <v>1449500</v>
      </c>
      <c r="E598" s="3">
        <v>1197</v>
      </c>
      <c r="F598" s="3">
        <v>4</v>
      </c>
      <c r="G598" s="3" t="s">
        <v>10</v>
      </c>
      <c r="H598" s="3" t="s">
        <v>27</v>
      </c>
      <c r="I598" s="3">
        <v>5</v>
      </c>
      <c r="J598" s="3" t="s">
        <v>30</v>
      </c>
      <c r="K598" s="18">
        <v>105</v>
      </c>
      <c r="L598" s="16">
        <v>175</v>
      </c>
      <c r="M598" s="6" t="str" cm="1">
        <f t="array" ref="M598">_xlfn.IFS(L598&lt;100,"Economy",L598&lt;200,"Standard",L598&lt;350,"Powerful",L598&lt;500,"High Performance",L598&lt;800,"Sports Performance",L598&gt;=800,"Super Performance")</f>
        <v>Standard</v>
      </c>
    </row>
    <row r="599" spans="1:13" x14ac:dyDescent="0.25">
      <c r="A599" s="5" t="s">
        <v>160</v>
      </c>
      <c r="B599" s="3" t="s">
        <v>484</v>
      </c>
      <c r="C599" s="3" t="s">
        <v>748</v>
      </c>
      <c r="D599" s="4">
        <v>958500</v>
      </c>
      <c r="E599" s="3">
        <v>1498</v>
      </c>
      <c r="F599" s="3">
        <v>4</v>
      </c>
      <c r="G599" s="3" t="s">
        <v>36</v>
      </c>
      <c r="H599" s="3" t="s">
        <v>27</v>
      </c>
      <c r="I599" s="3">
        <v>5</v>
      </c>
      <c r="J599" s="3" t="s">
        <v>12</v>
      </c>
      <c r="K599" s="18">
        <v>105</v>
      </c>
      <c r="L599" s="16">
        <v>250</v>
      </c>
      <c r="M599" s="6" t="str" cm="1">
        <f t="array" ref="M599">_xlfn.IFS(L599&lt;100,"Economy",L599&lt;200,"Standard",L599&lt;350,"Powerful",L599&lt;500,"High Performance",L599&lt;800,"Sports Performance",L599&gt;=800,"Super Performance")</f>
        <v>Powerful</v>
      </c>
    </row>
    <row r="600" spans="1:13" x14ac:dyDescent="0.25">
      <c r="A600" s="5" t="s">
        <v>160</v>
      </c>
      <c r="B600" s="3" t="s">
        <v>484</v>
      </c>
      <c r="C600" s="3" t="s">
        <v>749</v>
      </c>
      <c r="D600" s="4">
        <v>999900</v>
      </c>
      <c r="E600" s="3">
        <v>1498</v>
      </c>
      <c r="F600" s="3">
        <v>4</v>
      </c>
      <c r="G600" s="3" t="s">
        <v>36</v>
      </c>
      <c r="H600" s="3" t="s">
        <v>27</v>
      </c>
      <c r="I600" s="3">
        <v>5</v>
      </c>
      <c r="J600" s="3" t="s">
        <v>12</v>
      </c>
      <c r="K600" s="18">
        <v>105</v>
      </c>
      <c r="L600" s="16">
        <v>250</v>
      </c>
      <c r="M600" s="6" t="str" cm="1">
        <f t="array" ref="M600">_xlfn.IFS(L600&lt;100,"Economy",L600&lt;200,"Standard",L600&lt;350,"Powerful",L600&lt;500,"High Performance",L600&lt;800,"Sports Performance",L600&gt;=800,"Super Performance")</f>
        <v>Powerful</v>
      </c>
    </row>
    <row r="601" spans="1:13" x14ac:dyDescent="0.25">
      <c r="A601" s="5" t="s">
        <v>160</v>
      </c>
      <c r="B601" s="3" t="s">
        <v>484</v>
      </c>
      <c r="C601" s="3" t="s">
        <v>750</v>
      </c>
      <c r="D601" s="4">
        <v>1210500</v>
      </c>
      <c r="E601" s="3">
        <v>1498</v>
      </c>
      <c r="F601" s="3">
        <v>4</v>
      </c>
      <c r="G601" s="3" t="s">
        <v>36</v>
      </c>
      <c r="H601" s="3" t="s">
        <v>27</v>
      </c>
      <c r="I601" s="3">
        <v>5</v>
      </c>
      <c r="J601" s="3" t="s">
        <v>12</v>
      </c>
      <c r="K601" s="18">
        <v>105</v>
      </c>
      <c r="L601" s="16">
        <v>250</v>
      </c>
      <c r="M601" s="6" t="str" cm="1">
        <f t="array" ref="M601">_xlfn.IFS(L601&lt;100,"Economy",L601&lt;200,"Standard",L601&lt;350,"Powerful",L601&lt;500,"High Performance",L601&lt;800,"Sports Performance",L601&gt;=800,"Super Performance")</f>
        <v>Powerful</v>
      </c>
    </row>
    <row r="602" spans="1:13" x14ac:dyDescent="0.25">
      <c r="A602" s="5" t="s">
        <v>160</v>
      </c>
      <c r="B602" s="3" t="s">
        <v>484</v>
      </c>
      <c r="C602" s="3" t="s">
        <v>751</v>
      </c>
      <c r="D602" s="4">
        <v>1336500</v>
      </c>
      <c r="E602" s="3">
        <v>1498</v>
      </c>
      <c r="F602" s="3">
        <v>4</v>
      </c>
      <c r="G602" s="3" t="s">
        <v>36</v>
      </c>
      <c r="H602" s="3" t="s">
        <v>27</v>
      </c>
      <c r="I602" s="3">
        <v>5</v>
      </c>
      <c r="J602" s="3" t="s">
        <v>30</v>
      </c>
      <c r="K602" s="18">
        <v>105</v>
      </c>
      <c r="L602" s="16">
        <v>250</v>
      </c>
      <c r="M602" s="6" t="str" cm="1">
        <f t="array" ref="M602">_xlfn.IFS(L602&lt;100,"Economy",L602&lt;200,"Standard",L602&lt;350,"Powerful",L602&lt;500,"High Performance",L602&lt;800,"Sports Performance",L602&gt;=800,"Super Performance")</f>
        <v>Powerful</v>
      </c>
    </row>
    <row r="603" spans="1:13" x14ac:dyDescent="0.25">
      <c r="A603" s="5" t="s">
        <v>160</v>
      </c>
      <c r="B603" s="3" t="s">
        <v>484</v>
      </c>
      <c r="C603" s="3" t="s">
        <v>752</v>
      </c>
      <c r="D603" s="4">
        <v>1317500</v>
      </c>
      <c r="E603" s="3">
        <v>1498</v>
      </c>
      <c r="F603" s="3">
        <v>4</v>
      </c>
      <c r="G603" s="3" t="s">
        <v>36</v>
      </c>
      <c r="H603" s="3" t="s">
        <v>27</v>
      </c>
      <c r="I603" s="3">
        <v>5</v>
      </c>
      <c r="J603" s="3" t="s">
        <v>30</v>
      </c>
      <c r="K603" s="18">
        <v>105</v>
      </c>
      <c r="L603" s="16">
        <v>250</v>
      </c>
      <c r="M603" s="6" t="str" cm="1">
        <f t="array" ref="M603">_xlfn.IFS(L603&lt;100,"Economy",L603&lt;200,"Standard",L603&lt;350,"Powerful",L603&lt;500,"High Performance",L603&lt;800,"Sports Performance",L603&gt;=800,"Super Performance")</f>
        <v>Powerful</v>
      </c>
    </row>
    <row r="604" spans="1:13" x14ac:dyDescent="0.25">
      <c r="A604" s="5" t="s">
        <v>78</v>
      </c>
      <c r="B604" s="3" t="s">
        <v>493</v>
      </c>
      <c r="C604" s="3" t="s">
        <v>753</v>
      </c>
      <c r="D604" s="4">
        <v>4240000</v>
      </c>
      <c r="E604" s="3">
        <v>1995</v>
      </c>
      <c r="F604" s="3">
        <v>4</v>
      </c>
      <c r="G604" s="3" t="s">
        <v>36</v>
      </c>
      <c r="H604" s="3" t="s">
        <v>66</v>
      </c>
      <c r="I604" s="3">
        <v>5</v>
      </c>
      <c r="J604" s="3" t="s">
        <v>30</v>
      </c>
      <c r="K604" s="18">
        <v>187</v>
      </c>
      <c r="L604" s="16">
        <v>400</v>
      </c>
      <c r="M604" s="6" t="str" cm="1">
        <f t="array" ref="M604">_xlfn.IFS(L604&lt;100,"Economy",L604&lt;200,"Standard",L604&lt;350,"Powerful",L604&lt;500,"High Performance",L604&lt;800,"Sports Performance",L604&gt;=800,"Super Performance")</f>
        <v>High Performance</v>
      </c>
    </row>
    <row r="605" spans="1:13" x14ac:dyDescent="0.25">
      <c r="A605" s="5" t="s">
        <v>78</v>
      </c>
      <c r="B605" s="3" t="s">
        <v>754</v>
      </c>
      <c r="C605" s="3" t="s">
        <v>755</v>
      </c>
      <c r="D605" s="4">
        <v>4140000</v>
      </c>
      <c r="E605" s="3">
        <v>1995</v>
      </c>
      <c r="F605" s="3">
        <v>4</v>
      </c>
      <c r="G605" s="3" t="s">
        <v>36</v>
      </c>
      <c r="H605" s="3" t="s">
        <v>27</v>
      </c>
      <c r="I605" s="3">
        <v>5</v>
      </c>
      <c r="J605" s="3" t="s">
        <v>30</v>
      </c>
      <c r="K605" s="18">
        <v>190</v>
      </c>
      <c r="L605" s="16">
        <v>400</v>
      </c>
      <c r="M605" s="6" t="str" cm="1">
        <f t="array" ref="M605">_xlfn.IFS(L605&lt;100,"Economy",L605&lt;200,"Standard",L605&lt;350,"Powerful",L605&lt;500,"High Performance",L605&lt;800,"Sports Performance",L605&gt;=800,"Super Performance")</f>
        <v>High Performance</v>
      </c>
    </row>
    <row r="606" spans="1:13" x14ac:dyDescent="0.25">
      <c r="A606" s="5" t="s">
        <v>78</v>
      </c>
      <c r="B606" s="3" t="s">
        <v>754</v>
      </c>
      <c r="C606" s="3" t="s">
        <v>756</v>
      </c>
      <c r="D606" s="4">
        <v>4690000</v>
      </c>
      <c r="E606" s="3">
        <v>1995</v>
      </c>
      <c r="F606" s="3">
        <v>4</v>
      </c>
      <c r="G606" s="3" t="s">
        <v>36</v>
      </c>
      <c r="H606" s="3" t="s">
        <v>27</v>
      </c>
      <c r="I606" s="3">
        <v>5</v>
      </c>
      <c r="J606" s="3" t="s">
        <v>30</v>
      </c>
      <c r="K606" s="18">
        <v>190</v>
      </c>
      <c r="L606" s="16">
        <v>400</v>
      </c>
      <c r="M606" s="6" t="str" cm="1">
        <f t="array" ref="M606">_xlfn.IFS(L606&lt;100,"Economy",L606&lt;200,"Standard",L606&lt;350,"Powerful",L606&lt;500,"High Performance",L606&lt;800,"Sports Performance",L606&gt;=800,"Super Performance")</f>
        <v>High Performance</v>
      </c>
    </row>
    <row r="607" spans="1:13" x14ac:dyDescent="0.25">
      <c r="A607" s="5" t="s">
        <v>78</v>
      </c>
      <c r="B607" s="3" t="s">
        <v>754</v>
      </c>
      <c r="C607" s="3" t="s">
        <v>757</v>
      </c>
      <c r="D607" s="4">
        <v>4790000</v>
      </c>
      <c r="E607" s="3">
        <v>1998</v>
      </c>
      <c r="F607" s="3">
        <v>4</v>
      </c>
      <c r="G607" s="3" t="s">
        <v>10</v>
      </c>
      <c r="H607" s="3" t="s">
        <v>27</v>
      </c>
      <c r="I607" s="3">
        <v>5</v>
      </c>
      <c r="J607" s="3" t="s">
        <v>30</v>
      </c>
      <c r="K607" s="18">
        <v>258</v>
      </c>
      <c r="L607" s="16">
        <v>400</v>
      </c>
      <c r="M607" s="6" t="str" cm="1">
        <f t="array" ref="M607">_xlfn.IFS(L607&lt;100,"Economy",L607&lt;200,"Standard",L607&lt;350,"Powerful",L607&lt;500,"High Performance",L607&lt;800,"Sports Performance",L607&gt;=800,"Super Performance")</f>
        <v>High Performance</v>
      </c>
    </row>
    <row r="608" spans="1:13" x14ac:dyDescent="0.25">
      <c r="A608" s="5" t="s">
        <v>146</v>
      </c>
      <c r="B608" s="3" t="s">
        <v>758</v>
      </c>
      <c r="C608" s="3" t="s">
        <v>323</v>
      </c>
      <c r="D608" s="4">
        <v>5494000</v>
      </c>
      <c r="E608" s="3">
        <v>1999</v>
      </c>
      <c r="F608" s="3">
        <v>4</v>
      </c>
      <c r="G608" s="3" t="s">
        <v>36</v>
      </c>
      <c r="H608" s="3" t="s">
        <v>66</v>
      </c>
      <c r="I608" s="3">
        <v>5</v>
      </c>
      <c r="J608" s="3" t="s">
        <v>30</v>
      </c>
      <c r="K608" s="18">
        <v>179</v>
      </c>
      <c r="L608" s="16">
        <v>430</v>
      </c>
      <c r="M608" s="6" t="str" cm="1">
        <f t="array" ref="M608">_xlfn.IFS(L608&lt;100,"Economy",L608&lt;200,"Standard",L608&lt;350,"Powerful",L608&lt;500,"High Performance",L608&lt;800,"Sports Performance",L608&gt;=800,"Super Performance")</f>
        <v>High Performance</v>
      </c>
    </row>
    <row r="609" spans="1:13" x14ac:dyDescent="0.25">
      <c r="A609" s="5" t="s">
        <v>146</v>
      </c>
      <c r="B609" s="3" t="s">
        <v>758</v>
      </c>
      <c r="C609" s="3" t="s">
        <v>759</v>
      </c>
      <c r="D609" s="4">
        <v>5985000</v>
      </c>
      <c r="E609" s="3">
        <v>1999</v>
      </c>
      <c r="F609" s="3">
        <v>4</v>
      </c>
      <c r="G609" s="3" t="s">
        <v>36</v>
      </c>
      <c r="H609" s="3" t="s">
        <v>66</v>
      </c>
      <c r="I609" s="3">
        <v>5</v>
      </c>
      <c r="J609" s="3" t="s">
        <v>30</v>
      </c>
      <c r="K609" s="18">
        <v>179</v>
      </c>
      <c r="L609" s="16">
        <v>430</v>
      </c>
      <c r="M609" s="6" t="str" cm="1">
        <f t="array" ref="M609">_xlfn.IFS(L609&lt;100,"Economy",L609&lt;200,"Standard",L609&lt;350,"Powerful",L609&lt;500,"High Performance",L609&lt;800,"Sports Performance",L609&gt;=800,"Super Performance")</f>
        <v>High Performance</v>
      </c>
    </row>
    <row r="610" spans="1:13" x14ac:dyDescent="0.25">
      <c r="A610" s="5" t="s">
        <v>146</v>
      </c>
      <c r="B610" s="3" t="s">
        <v>758</v>
      </c>
      <c r="C610" s="3" t="s">
        <v>498</v>
      </c>
      <c r="D610" s="4">
        <v>5494000</v>
      </c>
      <c r="E610" s="3">
        <v>1997</v>
      </c>
      <c r="F610" s="3">
        <v>4</v>
      </c>
      <c r="G610" s="3" t="s">
        <v>10</v>
      </c>
      <c r="H610" s="3" t="s">
        <v>66</v>
      </c>
      <c r="I610" s="3">
        <v>5</v>
      </c>
      <c r="J610" s="3" t="s">
        <v>30</v>
      </c>
      <c r="K610" s="18">
        <v>245</v>
      </c>
      <c r="L610" s="16">
        <v>365</v>
      </c>
      <c r="M610" s="6" t="str" cm="1">
        <f t="array" ref="M610">_xlfn.IFS(L610&lt;100,"Economy",L610&lt;200,"Standard",L610&lt;350,"Powerful",L610&lt;500,"High Performance",L610&lt;800,"Sports Performance",L610&gt;=800,"Super Performance")</f>
        <v>High Performance</v>
      </c>
    </row>
    <row r="611" spans="1:13" x14ac:dyDescent="0.25">
      <c r="A611" s="5" t="s">
        <v>146</v>
      </c>
      <c r="B611" s="3" t="s">
        <v>758</v>
      </c>
      <c r="C611" s="3" t="s">
        <v>760</v>
      </c>
      <c r="D611" s="4">
        <v>5985000</v>
      </c>
      <c r="E611" s="3">
        <v>1997</v>
      </c>
      <c r="F611" s="3">
        <v>4</v>
      </c>
      <c r="G611" s="3" t="s">
        <v>10</v>
      </c>
      <c r="H611" s="3" t="s">
        <v>66</v>
      </c>
      <c r="I611" s="3">
        <v>5</v>
      </c>
      <c r="J611" s="3" t="s">
        <v>30</v>
      </c>
      <c r="K611" s="18">
        <v>245</v>
      </c>
      <c r="L611" s="16">
        <v>365</v>
      </c>
      <c r="M611" s="6" t="str" cm="1">
        <f t="array" ref="M611">_xlfn.IFS(L611&lt;100,"Economy",L611&lt;200,"Standard",L611&lt;350,"Powerful",L611&lt;500,"High Performance",L611&lt;800,"Sports Performance",L611&gt;=800,"Super Performance")</f>
        <v>High Performance</v>
      </c>
    </row>
    <row r="612" spans="1:13" x14ac:dyDescent="0.25">
      <c r="A612" s="5" t="s">
        <v>78</v>
      </c>
      <c r="B612" s="3" t="s">
        <v>659</v>
      </c>
      <c r="C612" s="3" t="s">
        <v>761</v>
      </c>
      <c r="D612" s="4">
        <v>6060000</v>
      </c>
      <c r="E612" s="3">
        <v>1995</v>
      </c>
      <c r="F612" s="3">
        <v>4</v>
      </c>
      <c r="G612" s="3" t="s">
        <v>36</v>
      </c>
      <c r="H612" s="3" t="s">
        <v>66</v>
      </c>
      <c r="I612" s="3">
        <v>5</v>
      </c>
      <c r="J612" s="3" t="s">
        <v>30</v>
      </c>
      <c r="K612" s="18">
        <v>188</v>
      </c>
      <c r="L612" s="16">
        <v>400</v>
      </c>
      <c r="M612" s="6" t="str" cm="1">
        <f t="array" ref="M612">_xlfn.IFS(L612&lt;100,"Economy",L612&lt;200,"Standard",L612&lt;350,"Powerful",L612&lt;500,"High Performance",L612&lt;800,"Sports Performance",L612&gt;=800,"Super Performance")</f>
        <v>High Performance</v>
      </c>
    </row>
    <row r="613" spans="1:13" x14ac:dyDescent="0.25">
      <c r="A613" s="5" t="s">
        <v>301</v>
      </c>
      <c r="B613" s="3" t="s">
        <v>762</v>
      </c>
      <c r="C613" s="3">
        <v>1.3</v>
      </c>
      <c r="D613" s="4">
        <v>575947</v>
      </c>
      <c r="E613" s="3">
        <v>1248</v>
      </c>
      <c r="F613" s="3">
        <v>4</v>
      </c>
      <c r="G613" s="3" t="s">
        <v>36</v>
      </c>
      <c r="H613" s="3" t="s">
        <v>11</v>
      </c>
      <c r="I613" s="3">
        <v>5</v>
      </c>
      <c r="J613" s="3" t="s">
        <v>12</v>
      </c>
      <c r="K613" s="18">
        <v>75</v>
      </c>
      <c r="L613" s="16">
        <v>197</v>
      </c>
      <c r="M613" s="6" t="str" cm="1">
        <f t="array" ref="M613">_xlfn.IFS(L613&lt;100,"Economy",L613&lt;200,"Standard",L613&lt;350,"Powerful",L613&lt;500,"High Performance",L613&lt;800,"Sports Performance",L613&gt;=800,"Super Performance")</f>
        <v>Standard</v>
      </c>
    </row>
    <row r="614" spans="1:13" x14ac:dyDescent="0.25">
      <c r="A614" s="5" t="s">
        <v>7</v>
      </c>
      <c r="B614" s="3" t="s">
        <v>763</v>
      </c>
      <c r="C614" s="3" t="s">
        <v>764</v>
      </c>
      <c r="D614" s="4">
        <v>653452</v>
      </c>
      <c r="E614" s="3">
        <v>1197</v>
      </c>
      <c r="F614" s="3">
        <v>4</v>
      </c>
      <c r="G614" s="3" t="s">
        <v>15</v>
      </c>
      <c r="H614" s="3" t="s">
        <v>11</v>
      </c>
      <c r="I614" s="3">
        <v>5</v>
      </c>
      <c r="J614" s="3" t="s">
        <v>12</v>
      </c>
      <c r="K614" s="18">
        <v>82</v>
      </c>
      <c r="L614" s="16">
        <v>114</v>
      </c>
      <c r="M614" s="6" t="str" cm="1">
        <f t="array" ref="M614">_xlfn.IFS(L614&lt;100,"Economy",L614&lt;200,"Standard",L614&lt;350,"Powerful",L614&lt;500,"High Performance",L614&lt;800,"Sports Performance",L614&gt;=800,"Super Performance")</f>
        <v>Standard</v>
      </c>
    </row>
    <row r="615" spans="1:13" x14ac:dyDescent="0.25">
      <c r="A615" s="5" t="s">
        <v>350</v>
      </c>
      <c r="B615" s="3" t="s">
        <v>765</v>
      </c>
      <c r="C615" s="3" t="s">
        <v>766</v>
      </c>
      <c r="D615" s="4">
        <v>949999</v>
      </c>
      <c r="E615" s="3">
        <v>1498</v>
      </c>
      <c r="F615" s="3">
        <v>4</v>
      </c>
      <c r="G615" s="3" t="s">
        <v>10</v>
      </c>
      <c r="H615" s="3" t="s">
        <v>66</v>
      </c>
      <c r="I615" s="3">
        <v>5</v>
      </c>
      <c r="J615" s="3" t="s">
        <v>12</v>
      </c>
      <c r="K615" s="18">
        <v>106</v>
      </c>
      <c r="L615" s="16">
        <v>142</v>
      </c>
      <c r="M615" s="6" t="str" cm="1">
        <f t="array" ref="M615">_xlfn.IFS(L615&lt;100,"Economy",L615&lt;200,"Standard",L615&lt;350,"Powerful",L615&lt;500,"High Performance",L615&lt;800,"Sports Performance",L615&gt;=800,"Super Performance")</f>
        <v>Standard</v>
      </c>
    </row>
    <row r="616" spans="1:13" x14ac:dyDescent="0.25">
      <c r="A616" s="5" t="s">
        <v>350</v>
      </c>
      <c r="B616" s="3" t="s">
        <v>765</v>
      </c>
      <c r="C616" s="3" t="s">
        <v>767</v>
      </c>
      <c r="D616" s="4">
        <v>1049999</v>
      </c>
      <c r="E616" s="3">
        <v>1461</v>
      </c>
      <c r="F616" s="3">
        <v>4</v>
      </c>
      <c r="G616" s="3" t="s">
        <v>36</v>
      </c>
      <c r="H616" s="3" t="s">
        <v>66</v>
      </c>
      <c r="I616" s="3">
        <v>5</v>
      </c>
      <c r="J616" s="3" t="s">
        <v>12</v>
      </c>
      <c r="K616" s="18">
        <v>110</v>
      </c>
      <c r="L616" s="16">
        <v>240</v>
      </c>
      <c r="M616" s="6" t="str" cm="1">
        <f t="array" ref="M616">_xlfn.IFS(L616&lt;100,"Economy",L616&lt;200,"Standard",L616&lt;350,"Powerful",L616&lt;500,"High Performance",L616&lt;800,"Sports Performance",L616&gt;=800,"Super Performance")</f>
        <v>Powerful</v>
      </c>
    </row>
    <row r="617" spans="1:13" x14ac:dyDescent="0.25">
      <c r="A617" s="5" t="s">
        <v>350</v>
      </c>
      <c r="B617" s="3" t="s">
        <v>765</v>
      </c>
      <c r="C617" s="3" t="s">
        <v>768</v>
      </c>
      <c r="D617" s="4">
        <v>1299999</v>
      </c>
      <c r="E617" s="3">
        <v>1461</v>
      </c>
      <c r="F617" s="3">
        <v>4</v>
      </c>
      <c r="G617" s="3" t="s">
        <v>36</v>
      </c>
      <c r="H617" s="3" t="s">
        <v>66</v>
      </c>
      <c r="I617" s="3">
        <v>5</v>
      </c>
      <c r="J617" s="3" t="s">
        <v>12</v>
      </c>
      <c r="K617" s="18">
        <v>110</v>
      </c>
      <c r="L617" s="16">
        <v>240</v>
      </c>
      <c r="M617" s="6" t="str" cm="1">
        <f t="array" ref="M617">_xlfn.IFS(L617&lt;100,"Economy",L617&lt;200,"Standard",L617&lt;350,"Powerful",L617&lt;500,"High Performance",L617&lt;800,"Sports Performance",L617&gt;=800,"Super Performance")</f>
        <v>Powerful</v>
      </c>
    </row>
    <row r="618" spans="1:13" x14ac:dyDescent="0.25">
      <c r="A618" s="5" t="s">
        <v>350</v>
      </c>
      <c r="B618" s="3" t="s">
        <v>765</v>
      </c>
      <c r="C618" s="3" t="s">
        <v>769</v>
      </c>
      <c r="D618" s="4">
        <v>1199999</v>
      </c>
      <c r="E618" s="3">
        <v>1498</v>
      </c>
      <c r="F618" s="3">
        <v>4</v>
      </c>
      <c r="G618" s="3" t="s">
        <v>10</v>
      </c>
      <c r="H618" s="3" t="s">
        <v>66</v>
      </c>
      <c r="I618" s="3">
        <v>5</v>
      </c>
      <c r="J618" s="3" t="s">
        <v>12</v>
      </c>
      <c r="K618" s="18">
        <v>106</v>
      </c>
      <c r="L618" s="16">
        <v>142</v>
      </c>
      <c r="M618" s="6" t="str" cm="1">
        <f t="array" ref="M618">_xlfn.IFS(L618&lt;100,"Economy",L618&lt;200,"Standard",L618&lt;350,"Powerful",L618&lt;500,"High Performance",L618&lt;800,"Sports Performance",L618&gt;=800,"Super Performance")</f>
        <v>Standard</v>
      </c>
    </row>
    <row r="619" spans="1:13" x14ac:dyDescent="0.25">
      <c r="A619" s="5" t="s">
        <v>239</v>
      </c>
      <c r="B619" s="3" t="s">
        <v>669</v>
      </c>
      <c r="C619" s="3" t="s">
        <v>770</v>
      </c>
      <c r="D619" s="4">
        <v>989000</v>
      </c>
      <c r="E619" s="3">
        <v>1497</v>
      </c>
      <c r="F619" s="3">
        <v>4</v>
      </c>
      <c r="G619" s="3" t="s">
        <v>10</v>
      </c>
      <c r="H619" s="3" t="s">
        <v>66</v>
      </c>
      <c r="I619" s="3">
        <v>5</v>
      </c>
      <c r="J619" s="3" t="s">
        <v>12</v>
      </c>
      <c r="K619" s="18">
        <v>115</v>
      </c>
      <c r="L619" s="16">
        <v>144</v>
      </c>
      <c r="M619" s="6" t="str" cm="1">
        <f t="array" ref="M619">_xlfn.IFS(L619&lt;100,"Economy",L619&lt;200,"Standard",L619&lt;350,"Powerful",L619&lt;500,"High Performance",L619&lt;800,"Sports Performance",L619&gt;=800,"Super Performance")</f>
        <v>Standard</v>
      </c>
    </row>
    <row r="620" spans="1:13" x14ac:dyDescent="0.25">
      <c r="A620" s="5" t="s">
        <v>239</v>
      </c>
      <c r="B620" s="3" t="s">
        <v>669</v>
      </c>
      <c r="C620" s="3" t="s">
        <v>771</v>
      </c>
      <c r="D620" s="4">
        <v>1379000</v>
      </c>
      <c r="E620" s="3">
        <v>1353</v>
      </c>
      <c r="F620" s="3">
        <v>4</v>
      </c>
      <c r="G620" s="3" t="s">
        <v>10</v>
      </c>
      <c r="H620" s="3" t="s">
        <v>66</v>
      </c>
      <c r="I620" s="3">
        <v>5</v>
      </c>
      <c r="J620" s="3" t="s">
        <v>12</v>
      </c>
      <c r="K620" s="18">
        <v>140</v>
      </c>
      <c r="L620" s="16">
        <v>242</v>
      </c>
      <c r="M620" s="6" t="str" cm="1">
        <f t="array" ref="M620">_xlfn.IFS(L620&lt;100,"Economy",L620&lt;200,"Standard",L620&lt;350,"Powerful",L620&lt;500,"High Performance",L620&lt;800,"Sports Performance",L620&gt;=800,"Super Performance")</f>
        <v>Powerful</v>
      </c>
    </row>
    <row r="621" spans="1:13" x14ac:dyDescent="0.25">
      <c r="A621" s="5" t="s">
        <v>239</v>
      </c>
      <c r="B621" s="3" t="s">
        <v>669</v>
      </c>
      <c r="C621" s="3" t="s">
        <v>772</v>
      </c>
      <c r="D621" s="4">
        <v>1529000</v>
      </c>
      <c r="E621" s="3">
        <v>1353</v>
      </c>
      <c r="F621" s="3">
        <v>4</v>
      </c>
      <c r="G621" s="3" t="s">
        <v>10</v>
      </c>
      <c r="H621" s="3" t="s">
        <v>66</v>
      </c>
      <c r="I621" s="3">
        <v>5</v>
      </c>
      <c r="J621" s="3" t="s">
        <v>12</v>
      </c>
      <c r="K621" s="18">
        <v>140</v>
      </c>
      <c r="L621" s="16">
        <v>242</v>
      </c>
      <c r="M621" s="6" t="str" cm="1">
        <f t="array" ref="M621">_xlfn.IFS(L621&lt;100,"Economy",L621&lt;200,"Standard",L621&lt;350,"Powerful",L621&lt;500,"High Performance",L621&lt;800,"Sports Performance",L621&gt;=800,"Super Performance")</f>
        <v>Powerful</v>
      </c>
    </row>
    <row r="622" spans="1:13" x14ac:dyDescent="0.25">
      <c r="A622" s="5" t="s">
        <v>239</v>
      </c>
      <c r="B622" s="3" t="s">
        <v>669</v>
      </c>
      <c r="C622" s="3" t="s">
        <v>773</v>
      </c>
      <c r="D622" s="4">
        <v>1629000</v>
      </c>
      <c r="E622" s="3">
        <v>1353</v>
      </c>
      <c r="F622" s="3">
        <v>4</v>
      </c>
      <c r="G622" s="3" t="s">
        <v>10</v>
      </c>
      <c r="H622" s="3" t="s">
        <v>66</v>
      </c>
      <c r="I622" s="3">
        <v>5</v>
      </c>
      <c r="J622" s="3" t="s">
        <v>71</v>
      </c>
      <c r="K622" s="18">
        <v>140</v>
      </c>
      <c r="L622" s="16">
        <v>242</v>
      </c>
      <c r="M622" s="6" t="str" cm="1">
        <f t="array" ref="M622">_xlfn.IFS(L622&lt;100,"Economy",L622&lt;200,"Standard",L622&lt;350,"Powerful",L622&lt;500,"High Performance",L622&lt;800,"Sports Performance",L622&gt;=800,"Super Performance")</f>
        <v>Powerful</v>
      </c>
    </row>
    <row r="623" spans="1:13" x14ac:dyDescent="0.25">
      <c r="A623" s="5" t="s">
        <v>239</v>
      </c>
      <c r="B623" s="3" t="s">
        <v>669</v>
      </c>
      <c r="C623" s="3" t="s">
        <v>774</v>
      </c>
      <c r="D623" s="4">
        <v>1629000</v>
      </c>
      <c r="E623" s="3">
        <v>1353</v>
      </c>
      <c r="F623" s="3">
        <v>4</v>
      </c>
      <c r="G623" s="3" t="s">
        <v>10</v>
      </c>
      <c r="H623" s="3" t="s">
        <v>66</v>
      </c>
      <c r="I623" s="3">
        <v>5</v>
      </c>
      <c r="J623" s="3" t="s">
        <v>12</v>
      </c>
      <c r="K623" s="18">
        <v>140</v>
      </c>
      <c r="L623" s="16">
        <v>242</v>
      </c>
      <c r="M623" s="6" t="str" cm="1">
        <f t="array" ref="M623">_xlfn.IFS(L623&lt;100,"Economy",L623&lt;200,"Standard",L623&lt;350,"Powerful",L623&lt;500,"High Performance",L623&lt;800,"Sports Performance",L623&gt;=800,"Super Performance")</f>
        <v>Powerful</v>
      </c>
    </row>
    <row r="624" spans="1:13" x14ac:dyDescent="0.25">
      <c r="A624" s="5" t="s">
        <v>138</v>
      </c>
      <c r="B624" s="3" t="s">
        <v>775</v>
      </c>
      <c r="C624" s="3" t="s">
        <v>776</v>
      </c>
      <c r="D624" s="4">
        <v>1248000</v>
      </c>
      <c r="E624" s="3">
        <v>1500</v>
      </c>
      <c r="F624" s="3">
        <v>4</v>
      </c>
      <c r="G624" s="3" t="s">
        <v>10</v>
      </c>
      <c r="H624" s="3" t="s">
        <v>66</v>
      </c>
      <c r="I624" s="3">
        <v>5</v>
      </c>
      <c r="J624" s="3" t="s">
        <v>12</v>
      </c>
      <c r="K624" s="18">
        <v>141</v>
      </c>
      <c r="L624" s="16">
        <v>250</v>
      </c>
      <c r="M624" s="6" t="str" cm="1">
        <f t="array" ref="M624">_xlfn.IFS(L624&lt;100,"Economy",L624&lt;200,"Standard",L624&lt;350,"Powerful",L624&lt;500,"High Performance",L624&lt;800,"Sports Performance",L624&gt;=800,"Super Performance")</f>
        <v>Powerful</v>
      </c>
    </row>
    <row r="625" spans="1:13" x14ac:dyDescent="0.25">
      <c r="A625" s="5" t="s">
        <v>138</v>
      </c>
      <c r="B625" s="3" t="s">
        <v>775</v>
      </c>
      <c r="C625" s="3" t="s">
        <v>777</v>
      </c>
      <c r="D625" s="4">
        <v>1348000</v>
      </c>
      <c r="E625" s="3">
        <v>2000</v>
      </c>
      <c r="F625" s="3">
        <v>4</v>
      </c>
      <c r="G625" s="3" t="s">
        <v>36</v>
      </c>
      <c r="H625" s="3" t="s">
        <v>66</v>
      </c>
      <c r="I625" s="3">
        <v>5</v>
      </c>
      <c r="J625" s="3" t="s">
        <v>12</v>
      </c>
      <c r="K625" s="18">
        <v>168</v>
      </c>
      <c r="L625" s="16">
        <v>350</v>
      </c>
      <c r="M625" s="6" t="str" cm="1">
        <f t="array" ref="M625">_xlfn.IFS(L625&lt;100,"Economy",L625&lt;200,"Standard",L625&lt;350,"Powerful",L625&lt;500,"High Performance",L625&lt;800,"Sports Performance",L625&gt;=800,"Super Performance")</f>
        <v>High Performance</v>
      </c>
    </row>
    <row r="626" spans="1:13" x14ac:dyDescent="0.25">
      <c r="A626" s="5" t="s">
        <v>138</v>
      </c>
      <c r="B626" s="3" t="s">
        <v>775</v>
      </c>
      <c r="C626" s="3" t="s">
        <v>778</v>
      </c>
      <c r="D626" s="4">
        <v>1448000</v>
      </c>
      <c r="E626" s="3">
        <v>2000</v>
      </c>
      <c r="F626" s="3">
        <v>4</v>
      </c>
      <c r="G626" s="3" t="s">
        <v>36</v>
      </c>
      <c r="H626" s="3" t="s">
        <v>66</v>
      </c>
      <c r="I626" s="3">
        <v>5</v>
      </c>
      <c r="J626" s="3" t="s">
        <v>12</v>
      </c>
      <c r="K626" s="18">
        <v>168</v>
      </c>
      <c r="L626" s="16">
        <v>350</v>
      </c>
      <c r="M626" s="6" t="str" cm="1">
        <f t="array" ref="M626">_xlfn.IFS(L626&lt;100,"Economy",L626&lt;200,"Standard",L626&lt;350,"Powerful",L626&lt;500,"High Performance",L626&lt;800,"Sports Performance",L626&gt;=800,"Super Performance")</f>
        <v>High Performance</v>
      </c>
    </row>
    <row r="627" spans="1:13" x14ac:dyDescent="0.25">
      <c r="A627" s="5" t="s">
        <v>138</v>
      </c>
      <c r="B627" s="3" t="s">
        <v>775</v>
      </c>
      <c r="C627" s="3" t="s">
        <v>779</v>
      </c>
      <c r="D627" s="4">
        <v>1588000</v>
      </c>
      <c r="E627" s="3">
        <v>2000</v>
      </c>
      <c r="F627" s="3">
        <v>4</v>
      </c>
      <c r="G627" s="3" t="s">
        <v>36</v>
      </c>
      <c r="H627" s="3" t="s">
        <v>66</v>
      </c>
      <c r="I627" s="3">
        <v>5</v>
      </c>
      <c r="J627" s="3" t="s">
        <v>12</v>
      </c>
      <c r="K627" s="18">
        <v>168</v>
      </c>
      <c r="L627" s="16">
        <v>350</v>
      </c>
      <c r="M627" s="6" t="str" cm="1">
        <f t="array" ref="M627">_xlfn.IFS(L627&lt;100,"Economy",L627&lt;200,"Standard",L627&lt;350,"Powerful",L627&lt;500,"High Performance",L627&lt;800,"Sports Performance",L627&gt;=800,"Super Performance")</f>
        <v>High Performance</v>
      </c>
    </row>
    <row r="628" spans="1:13" x14ac:dyDescent="0.25">
      <c r="A628" s="5" t="s">
        <v>138</v>
      </c>
      <c r="B628" s="3" t="s">
        <v>775</v>
      </c>
      <c r="C628" s="3" t="s">
        <v>780</v>
      </c>
      <c r="D628" s="4">
        <v>1728000</v>
      </c>
      <c r="E628" s="3">
        <v>2000</v>
      </c>
      <c r="F628" s="3">
        <v>4</v>
      </c>
      <c r="G628" s="3" t="s">
        <v>36</v>
      </c>
      <c r="H628" s="3" t="s">
        <v>66</v>
      </c>
      <c r="I628" s="3">
        <v>5</v>
      </c>
      <c r="J628" s="3" t="s">
        <v>12</v>
      </c>
      <c r="K628" s="18">
        <v>168</v>
      </c>
      <c r="L628" s="16">
        <v>350</v>
      </c>
      <c r="M628" s="6" t="str" cm="1">
        <f t="array" ref="M628">_xlfn.IFS(L628&lt;100,"Economy",L628&lt;200,"Standard",L628&lt;350,"Powerful",L628&lt;500,"High Performance",L628&lt;800,"Sports Performance",L628&gt;=800,"Super Performance")</f>
        <v>High Performance</v>
      </c>
    </row>
    <row r="629" spans="1:13" x14ac:dyDescent="0.25">
      <c r="A629" s="5" t="s">
        <v>138</v>
      </c>
      <c r="B629" s="3" t="s">
        <v>775</v>
      </c>
      <c r="C629" s="3" t="s">
        <v>781</v>
      </c>
      <c r="D629" s="4">
        <v>1328000</v>
      </c>
      <c r="E629" s="3">
        <v>1500</v>
      </c>
      <c r="F629" s="3">
        <v>4</v>
      </c>
      <c r="G629" s="3" t="s">
        <v>10</v>
      </c>
      <c r="H629" s="3" t="s">
        <v>66</v>
      </c>
      <c r="I629" s="3">
        <v>5</v>
      </c>
      <c r="J629" s="3" t="s">
        <v>12</v>
      </c>
      <c r="K629" s="18">
        <v>141</v>
      </c>
      <c r="L629" s="16">
        <v>250</v>
      </c>
      <c r="M629" s="6" t="str" cm="1">
        <f t="array" ref="M629">_xlfn.IFS(L629&lt;100,"Economy",L629&lt;200,"Standard",L629&lt;350,"Powerful",L629&lt;500,"High Performance",L629&lt;800,"Sports Performance",L629&gt;=800,"Super Performance")</f>
        <v>Powerful</v>
      </c>
    </row>
    <row r="630" spans="1:13" x14ac:dyDescent="0.25">
      <c r="A630" s="5" t="s">
        <v>138</v>
      </c>
      <c r="B630" s="3" t="s">
        <v>775</v>
      </c>
      <c r="C630" s="3" t="s">
        <v>782</v>
      </c>
      <c r="D630" s="4">
        <v>1388000</v>
      </c>
      <c r="E630" s="3">
        <v>1500</v>
      </c>
      <c r="F630" s="3">
        <v>4</v>
      </c>
      <c r="G630" s="3" t="s">
        <v>194</v>
      </c>
      <c r="H630" s="3" t="s">
        <v>66</v>
      </c>
      <c r="I630" s="3">
        <v>5</v>
      </c>
      <c r="J630" s="3" t="s">
        <v>12</v>
      </c>
      <c r="K630" s="18">
        <v>141</v>
      </c>
      <c r="L630" s="16">
        <v>250</v>
      </c>
      <c r="M630" s="6" t="str" cm="1">
        <f t="array" ref="M630">_xlfn.IFS(L630&lt;100,"Economy",L630&lt;200,"Standard",L630&lt;350,"Powerful",L630&lt;500,"High Performance",L630&lt;800,"Sports Performance",L630&gt;=800,"Super Performance")</f>
        <v>Powerful</v>
      </c>
    </row>
    <row r="631" spans="1:13" x14ac:dyDescent="0.25">
      <c r="A631" s="5" t="s">
        <v>138</v>
      </c>
      <c r="B631" s="3" t="s">
        <v>775</v>
      </c>
      <c r="C631" s="3" t="s">
        <v>783</v>
      </c>
      <c r="D631" s="4">
        <v>1628000</v>
      </c>
      <c r="E631" s="3">
        <v>1500</v>
      </c>
      <c r="F631" s="3">
        <v>4</v>
      </c>
      <c r="G631" s="3" t="s">
        <v>194</v>
      </c>
      <c r="H631" s="3" t="s">
        <v>66</v>
      </c>
      <c r="I631" s="3">
        <v>5</v>
      </c>
      <c r="J631" s="3" t="s">
        <v>12</v>
      </c>
      <c r="K631" s="18">
        <v>141</v>
      </c>
      <c r="L631" s="16">
        <v>250</v>
      </c>
      <c r="M631" s="6" t="str" cm="1">
        <f t="array" ref="M631">_xlfn.IFS(L631&lt;100,"Economy",L631&lt;200,"Standard",L631&lt;350,"Powerful",L631&lt;500,"High Performance",L631&lt;800,"Sports Performance",L631&gt;=800,"Super Performance")</f>
        <v>Powerful</v>
      </c>
    </row>
    <row r="632" spans="1:13" x14ac:dyDescent="0.25">
      <c r="A632" s="5" t="s">
        <v>138</v>
      </c>
      <c r="B632" s="3" t="s">
        <v>775</v>
      </c>
      <c r="C632" s="3" t="s">
        <v>784</v>
      </c>
      <c r="D632" s="4">
        <v>1498000</v>
      </c>
      <c r="E632" s="3">
        <v>1500</v>
      </c>
      <c r="F632" s="3">
        <v>4</v>
      </c>
      <c r="G632" s="3" t="s">
        <v>194</v>
      </c>
      <c r="H632" s="3" t="s">
        <v>66</v>
      </c>
      <c r="I632" s="3">
        <v>5</v>
      </c>
      <c r="J632" s="3" t="s">
        <v>12</v>
      </c>
      <c r="K632" s="18">
        <v>141</v>
      </c>
      <c r="L632" s="16">
        <v>250</v>
      </c>
      <c r="M632" s="6" t="str" cm="1">
        <f t="array" ref="M632">_xlfn.IFS(L632&lt;100,"Economy",L632&lt;200,"Standard",L632&lt;350,"Powerful",L632&lt;500,"High Performance",L632&lt;800,"Sports Performance",L632&gt;=800,"Super Performance")</f>
        <v>Powerful</v>
      </c>
    </row>
    <row r="633" spans="1:13" x14ac:dyDescent="0.25">
      <c r="A633" s="5" t="s">
        <v>138</v>
      </c>
      <c r="B633" s="3" t="s">
        <v>775</v>
      </c>
      <c r="C633" s="3" t="s">
        <v>785</v>
      </c>
      <c r="D633" s="4">
        <v>1568000</v>
      </c>
      <c r="E633" s="3">
        <v>1500</v>
      </c>
      <c r="F633" s="3">
        <v>4</v>
      </c>
      <c r="G633" s="3" t="s">
        <v>10</v>
      </c>
      <c r="H633" s="3" t="s">
        <v>66</v>
      </c>
      <c r="I633" s="3">
        <v>5</v>
      </c>
      <c r="J633" s="3" t="s">
        <v>71</v>
      </c>
      <c r="K633" s="18">
        <v>141</v>
      </c>
      <c r="L633" s="16">
        <v>250</v>
      </c>
      <c r="M633" s="6" t="str" cm="1">
        <f t="array" ref="M633">_xlfn.IFS(L633&lt;100,"Economy",L633&lt;200,"Standard",L633&lt;350,"Powerful",L633&lt;500,"High Performance",L633&lt;800,"Sports Performance",L633&gt;=800,"Super Performance")</f>
        <v>Powerful</v>
      </c>
    </row>
    <row r="634" spans="1:13" x14ac:dyDescent="0.25">
      <c r="A634" s="5" t="s">
        <v>138</v>
      </c>
      <c r="B634" s="3" t="s">
        <v>775</v>
      </c>
      <c r="C634" s="3" t="s">
        <v>786</v>
      </c>
      <c r="D634" s="4">
        <v>1718000</v>
      </c>
      <c r="E634" s="3">
        <v>1500</v>
      </c>
      <c r="F634" s="3">
        <v>4</v>
      </c>
      <c r="G634" s="3" t="s">
        <v>10</v>
      </c>
      <c r="H634" s="3" t="s">
        <v>66</v>
      </c>
      <c r="I634" s="3">
        <v>5</v>
      </c>
      <c r="J634" s="3" t="s">
        <v>71</v>
      </c>
      <c r="K634" s="18">
        <v>141</v>
      </c>
      <c r="L634" s="16">
        <v>250</v>
      </c>
      <c r="M634" s="6" t="str" cm="1">
        <f t="array" ref="M634">_xlfn.IFS(L634&lt;100,"Economy",L634&lt;200,"Standard",L634&lt;350,"Powerful",L634&lt;500,"High Performance",L634&lt;800,"Sports Performance",L634&gt;=800,"Super Performance")</f>
        <v>Powerful</v>
      </c>
    </row>
    <row r="635" spans="1:13" x14ac:dyDescent="0.25">
      <c r="A635" s="5" t="s">
        <v>90</v>
      </c>
      <c r="B635" s="3" t="s">
        <v>683</v>
      </c>
      <c r="C635" s="3" t="s">
        <v>787</v>
      </c>
      <c r="D635" s="4">
        <v>4020000</v>
      </c>
      <c r="E635" s="3">
        <v>1950</v>
      </c>
      <c r="F635" s="3">
        <v>4</v>
      </c>
      <c r="G635" s="3" t="s">
        <v>36</v>
      </c>
      <c r="H635" s="3" t="s">
        <v>27</v>
      </c>
      <c r="I635" s="3">
        <v>5</v>
      </c>
      <c r="J635" s="3" t="s">
        <v>30</v>
      </c>
      <c r="K635" s="18">
        <v>192</v>
      </c>
      <c r="L635" s="16">
        <v>400</v>
      </c>
      <c r="M635" s="6" t="str" cm="1">
        <f t="array" ref="M635">_xlfn.IFS(L635&lt;100,"Economy",L635&lt;200,"Standard",L635&lt;350,"Powerful",L635&lt;500,"High Performance",L635&lt;800,"Sports Performance",L635&gt;=800,"Super Performance")</f>
        <v>High Performance</v>
      </c>
    </row>
    <row r="636" spans="1:13" x14ac:dyDescent="0.25">
      <c r="A636" s="5" t="s">
        <v>90</v>
      </c>
      <c r="B636" s="3" t="s">
        <v>683</v>
      </c>
      <c r="C636" s="3" t="s">
        <v>788</v>
      </c>
      <c r="D636" s="4">
        <v>4670000</v>
      </c>
      <c r="E636" s="3">
        <v>1950</v>
      </c>
      <c r="F636" s="3">
        <v>4</v>
      </c>
      <c r="G636" s="3" t="s">
        <v>36</v>
      </c>
      <c r="H636" s="3" t="s">
        <v>27</v>
      </c>
      <c r="I636" s="3">
        <v>5</v>
      </c>
      <c r="J636" s="3" t="s">
        <v>30</v>
      </c>
      <c r="K636" s="18">
        <v>192</v>
      </c>
      <c r="L636" s="16">
        <v>400</v>
      </c>
      <c r="M636" s="6" t="str" cm="1">
        <f t="array" ref="M636">_xlfn.IFS(L636&lt;100,"Economy",L636&lt;200,"Standard",L636&lt;350,"Powerful",L636&lt;500,"High Performance",L636&lt;800,"Sports Performance",L636&gt;=800,"Super Performance")</f>
        <v>High Performance</v>
      </c>
    </row>
    <row r="637" spans="1:13" x14ac:dyDescent="0.25">
      <c r="A637" s="5" t="s">
        <v>90</v>
      </c>
      <c r="B637" s="3" t="s">
        <v>683</v>
      </c>
      <c r="C637" s="3" t="s">
        <v>789</v>
      </c>
      <c r="D637" s="4">
        <v>4974750</v>
      </c>
      <c r="E637" s="3">
        <v>1950</v>
      </c>
      <c r="F637" s="3">
        <v>4</v>
      </c>
      <c r="G637" s="3" t="s">
        <v>36</v>
      </c>
      <c r="H637" s="3" t="s">
        <v>27</v>
      </c>
      <c r="I637" s="3">
        <v>5</v>
      </c>
      <c r="J637" s="3" t="s">
        <v>30</v>
      </c>
      <c r="K637" s="18">
        <v>241</v>
      </c>
      <c r="L637" s="16">
        <v>500</v>
      </c>
      <c r="M637" s="6" t="str" cm="1">
        <f t="array" ref="M637">_xlfn.IFS(L637&lt;100,"Economy",L637&lt;200,"Standard",L637&lt;350,"Powerful",L637&lt;500,"High Performance",L637&lt;800,"Sports Performance",L637&gt;=800,"Super Performance")</f>
        <v>Sports Performance</v>
      </c>
    </row>
    <row r="638" spans="1:13" x14ac:dyDescent="0.25">
      <c r="A638" s="5" t="s">
        <v>90</v>
      </c>
      <c r="B638" s="3" t="s">
        <v>683</v>
      </c>
      <c r="C638" s="3" t="s">
        <v>790</v>
      </c>
      <c r="D638" s="4">
        <v>4090000</v>
      </c>
      <c r="E638" s="3">
        <v>1497</v>
      </c>
      <c r="F638" s="3">
        <v>4</v>
      </c>
      <c r="G638" s="3" t="s">
        <v>10</v>
      </c>
      <c r="H638" s="3" t="s">
        <v>27</v>
      </c>
      <c r="I638" s="3">
        <v>5</v>
      </c>
      <c r="J638" s="3" t="s">
        <v>30</v>
      </c>
      <c r="K638" s="18">
        <v>181</v>
      </c>
      <c r="L638" s="16">
        <v>280</v>
      </c>
      <c r="M638" s="6" t="str" cm="1">
        <f t="array" ref="M638">_xlfn.IFS(L638&lt;100,"Economy",L638&lt;200,"Standard",L638&lt;350,"Powerful",L638&lt;500,"High Performance",L638&lt;800,"Sports Performance",L638&gt;=800,"Super Performance")</f>
        <v>Powerful</v>
      </c>
    </row>
    <row r="639" spans="1:13" x14ac:dyDescent="0.25">
      <c r="A639" s="5" t="s">
        <v>90</v>
      </c>
      <c r="B639" s="3" t="s">
        <v>683</v>
      </c>
      <c r="C639" s="3" t="s">
        <v>791</v>
      </c>
      <c r="D639" s="4">
        <v>4654000</v>
      </c>
      <c r="E639" s="3">
        <v>1497</v>
      </c>
      <c r="F639" s="3">
        <v>4</v>
      </c>
      <c r="G639" s="3" t="s">
        <v>10</v>
      </c>
      <c r="H639" s="3" t="s">
        <v>27</v>
      </c>
      <c r="I639" s="3">
        <v>5</v>
      </c>
      <c r="J639" s="3" t="s">
        <v>30</v>
      </c>
      <c r="K639" s="18">
        <v>181</v>
      </c>
      <c r="L639" s="16">
        <v>280</v>
      </c>
      <c r="M639" s="6" t="str" cm="1">
        <f t="array" ref="M639">_xlfn.IFS(L639&lt;100,"Economy",L639&lt;200,"Standard",L639&lt;350,"Powerful",L639&lt;500,"High Performance",L639&lt;800,"Sports Performance",L639&gt;=800,"Super Performance")</f>
        <v>Powerful</v>
      </c>
    </row>
    <row r="640" spans="1:13" x14ac:dyDescent="0.25">
      <c r="A640" s="5" t="s">
        <v>280</v>
      </c>
      <c r="B640" s="3" t="s">
        <v>507</v>
      </c>
      <c r="C640" s="3" t="s">
        <v>792</v>
      </c>
      <c r="D640" s="4">
        <v>6422809</v>
      </c>
      <c r="E640" s="3">
        <v>1997</v>
      </c>
      <c r="F640" s="3">
        <v>4</v>
      </c>
      <c r="G640" s="3" t="s">
        <v>10</v>
      </c>
      <c r="H640" s="3" t="s">
        <v>66</v>
      </c>
      <c r="I640" s="3">
        <v>5</v>
      </c>
      <c r="J640" s="3" t="s">
        <v>30</v>
      </c>
      <c r="K640" s="18">
        <v>247</v>
      </c>
      <c r="L640" s="16">
        <v>369</v>
      </c>
      <c r="M640" s="6" t="str" cm="1">
        <f t="array" ref="M640">_xlfn.IFS(L640&lt;100,"Economy",L640&lt;200,"Standard",L640&lt;350,"Powerful",L640&lt;500,"High Performance",L640&lt;800,"Sports Performance",L640&gt;=800,"Super Performance")</f>
        <v>High Performance</v>
      </c>
    </row>
    <row r="641" spans="1:13" x14ac:dyDescent="0.25">
      <c r="A641" s="5" t="s">
        <v>7</v>
      </c>
      <c r="B641" s="3" t="s">
        <v>179</v>
      </c>
      <c r="C641" s="3" t="s">
        <v>793</v>
      </c>
      <c r="D641" s="4">
        <v>504990</v>
      </c>
      <c r="E641" s="3">
        <v>1197</v>
      </c>
      <c r="F641" s="3">
        <v>4</v>
      </c>
      <c r="G641" s="3" t="s">
        <v>10</v>
      </c>
      <c r="H641" s="3" t="s">
        <v>11</v>
      </c>
      <c r="I641" s="3">
        <v>5</v>
      </c>
      <c r="J641" s="3" t="s">
        <v>12</v>
      </c>
      <c r="K641" s="18">
        <v>83</v>
      </c>
      <c r="L641" s="16">
        <v>114</v>
      </c>
      <c r="M641" s="6" t="str" cm="1">
        <f t="array" ref="M641">_xlfn.IFS(L641&lt;100,"Economy",L641&lt;200,"Standard",L641&lt;350,"Powerful",L641&lt;500,"High Performance",L641&lt;800,"Sports Performance",L641&gt;=800,"Super Performance")</f>
        <v>Standard</v>
      </c>
    </row>
    <row r="642" spans="1:13" x14ac:dyDescent="0.25">
      <c r="A642" s="5" t="s">
        <v>7</v>
      </c>
      <c r="B642" s="3" t="s">
        <v>179</v>
      </c>
      <c r="C642" s="3" t="s">
        <v>794</v>
      </c>
      <c r="D642" s="4">
        <v>589610</v>
      </c>
      <c r="E642" s="3">
        <v>1197</v>
      </c>
      <c r="F642" s="3">
        <v>4</v>
      </c>
      <c r="G642" s="3" t="s">
        <v>10</v>
      </c>
      <c r="H642" s="3" t="s">
        <v>11</v>
      </c>
      <c r="I642" s="3">
        <v>5</v>
      </c>
      <c r="J642" s="3" t="s">
        <v>12</v>
      </c>
      <c r="K642" s="18">
        <v>83</v>
      </c>
      <c r="L642" s="16">
        <v>114</v>
      </c>
      <c r="M642" s="6" t="str" cm="1">
        <f t="array" ref="M642">_xlfn.IFS(L642&lt;100,"Economy",L642&lt;200,"Standard",L642&lt;350,"Powerful",L642&lt;500,"High Performance",L642&lt;800,"Sports Performance",L642&gt;=800,"Super Performance")</f>
        <v>Standard</v>
      </c>
    </row>
    <row r="643" spans="1:13" x14ac:dyDescent="0.25">
      <c r="A643" s="5" t="s">
        <v>7</v>
      </c>
      <c r="B643" s="3" t="s">
        <v>179</v>
      </c>
      <c r="C643" s="3" t="s">
        <v>795</v>
      </c>
      <c r="D643" s="4">
        <v>642610</v>
      </c>
      <c r="E643" s="3">
        <v>1197</v>
      </c>
      <c r="F643" s="3">
        <v>4</v>
      </c>
      <c r="G643" s="3" t="s">
        <v>10</v>
      </c>
      <c r="H643" s="3" t="s">
        <v>11</v>
      </c>
      <c r="I643" s="3">
        <v>5</v>
      </c>
      <c r="J643" s="3" t="s">
        <v>30</v>
      </c>
      <c r="K643" s="18">
        <v>83</v>
      </c>
      <c r="L643" s="16">
        <v>114</v>
      </c>
      <c r="M643" s="6" t="str" cm="1">
        <f t="array" ref="M643">_xlfn.IFS(L643&lt;100,"Economy",L643&lt;200,"Standard",L643&lt;350,"Powerful",L643&lt;500,"High Performance",L643&lt;800,"Sports Performance",L643&gt;=800,"Super Performance")</f>
        <v>Standard</v>
      </c>
    </row>
    <row r="644" spans="1:13" x14ac:dyDescent="0.25">
      <c r="A644" s="5" t="s">
        <v>7</v>
      </c>
      <c r="B644" s="3" t="s">
        <v>179</v>
      </c>
      <c r="C644" s="3" t="s">
        <v>796</v>
      </c>
      <c r="D644" s="4">
        <v>643350</v>
      </c>
      <c r="E644" s="3">
        <v>1197</v>
      </c>
      <c r="F644" s="3">
        <v>4</v>
      </c>
      <c r="G644" s="3" t="s">
        <v>10</v>
      </c>
      <c r="H644" s="3" t="s">
        <v>11</v>
      </c>
      <c r="I644" s="3">
        <v>5</v>
      </c>
      <c r="J644" s="3" t="s">
        <v>12</v>
      </c>
      <c r="K644" s="18">
        <v>83</v>
      </c>
      <c r="L644" s="16">
        <v>114</v>
      </c>
      <c r="M644" s="6" t="str" cm="1">
        <f t="array" ref="M644">_xlfn.IFS(L644&lt;100,"Economy",L644&lt;200,"Standard",L644&lt;350,"Powerful",L644&lt;500,"High Performance",L644&lt;800,"Sports Performance",L644&gt;=800,"Super Performance")</f>
        <v>Standard</v>
      </c>
    </row>
    <row r="645" spans="1:13" x14ac:dyDescent="0.25">
      <c r="A645" s="5" t="s">
        <v>7</v>
      </c>
      <c r="B645" s="3" t="s">
        <v>179</v>
      </c>
      <c r="C645" s="3" t="s">
        <v>797</v>
      </c>
      <c r="D645" s="4">
        <v>703350</v>
      </c>
      <c r="E645" s="3">
        <v>1197</v>
      </c>
      <c r="F645" s="3">
        <v>4</v>
      </c>
      <c r="G645" s="3" t="s">
        <v>10</v>
      </c>
      <c r="H645" s="3" t="s">
        <v>11</v>
      </c>
      <c r="I645" s="3">
        <v>5</v>
      </c>
      <c r="J645" s="3" t="s">
        <v>30</v>
      </c>
      <c r="K645" s="18">
        <v>83</v>
      </c>
      <c r="L645" s="16">
        <v>114</v>
      </c>
      <c r="M645" s="6" t="str" cm="1">
        <f t="array" ref="M645">_xlfn.IFS(L645&lt;100,"Economy",L645&lt;200,"Standard",L645&lt;350,"Powerful",L645&lt;500,"High Performance",L645&lt;800,"Sports Performance",L645&gt;=800,"Super Performance")</f>
        <v>Standard</v>
      </c>
    </row>
    <row r="646" spans="1:13" x14ac:dyDescent="0.25">
      <c r="A646" s="5" t="s">
        <v>7</v>
      </c>
      <c r="B646" s="3" t="s">
        <v>179</v>
      </c>
      <c r="C646" s="3" t="s">
        <v>798</v>
      </c>
      <c r="D646" s="4">
        <v>673350</v>
      </c>
      <c r="E646" s="3">
        <v>1197</v>
      </c>
      <c r="F646" s="3">
        <v>4</v>
      </c>
      <c r="G646" s="3" t="s">
        <v>10</v>
      </c>
      <c r="H646" s="3" t="s">
        <v>11</v>
      </c>
      <c r="I646" s="3">
        <v>5</v>
      </c>
      <c r="J646" s="3" t="s">
        <v>12</v>
      </c>
      <c r="K646" s="18">
        <v>83</v>
      </c>
      <c r="L646" s="16">
        <v>114</v>
      </c>
      <c r="M646" s="6" t="str" cm="1">
        <f t="array" ref="M646">_xlfn.IFS(L646&lt;100,"Economy",L646&lt;200,"Standard",L646&lt;350,"Powerful",L646&lt;500,"High Performance",L646&lt;800,"Sports Performance",L646&gt;=800,"Super Performance")</f>
        <v>Standard</v>
      </c>
    </row>
    <row r="647" spans="1:13" x14ac:dyDescent="0.25">
      <c r="A647" s="5" t="s">
        <v>7</v>
      </c>
      <c r="B647" s="3" t="s">
        <v>179</v>
      </c>
      <c r="C647" s="3" t="s">
        <v>799</v>
      </c>
      <c r="D647" s="4">
        <v>718950</v>
      </c>
      <c r="E647" s="3">
        <v>1197</v>
      </c>
      <c r="F647" s="3">
        <v>4</v>
      </c>
      <c r="G647" s="3" t="s">
        <v>10</v>
      </c>
      <c r="H647" s="3" t="s">
        <v>11</v>
      </c>
      <c r="I647" s="3">
        <v>5</v>
      </c>
      <c r="J647" s="3" t="s">
        <v>12</v>
      </c>
      <c r="K647" s="18">
        <v>83</v>
      </c>
      <c r="L647" s="16">
        <v>114</v>
      </c>
      <c r="M647" s="6" t="str" cm="1">
        <f t="array" ref="M647">_xlfn.IFS(L647&lt;100,"Economy",L647&lt;200,"Standard",L647&lt;350,"Powerful",L647&lt;500,"High Performance",L647&lt;800,"Sports Performance",L647&gt;=800,"Super Performance")</f>
        <v>Standard</v>
      </c>
    </row>
    <row r="648" spans="1:13" x14ac:dyDescent="0.25">
      <c r="A648" s="5" t="s">
        <v>330</v>
      </c>
      <c r="B648" s="3" t="s">
        <v>685</v>
      </c>
      <c r="C648" s="3" t="s">
        <v>800</v>
      </c>
      <c r="D648" s="4">
        <v>743504</v>
      </c>
      <c r="E648" s="3">
        <v>1461</v>
      </c>
      <c r="F648" s="3">
        <v>4</v>
      </c>
      <c r="G648" s="3" t="s">
        <v>36</v>
      </c>
      <c r="H648" s="3" t="s">
        <v>11</v>
      </c>
      <c r="I648" s="3">
        <v>5</v>
      </c>
      <c r="J648" s="3" t="s">
        <v>12</v>
      </c>
      <c r="K648" s="18">
        <v>64</v>
      </c>
      <c r="L648" s="16">
        <v>160</v>
      </c>
      <c r="M648" s="6" t="str" cm="1">
        <f t="array" ref="M648">_xlfn.IFS(L648&lt;100,"Economy",L648&lt;200,"Standard",L648&lt;350,"Powerful",L648&lt;500,"High Performance",L648&lt;800,"Sports Performance",L648&gt;=800,"Super Performance")</f>
        <v>Standard</v>
      </c>
    </row>
    <row r="649" spans="1:13" x14ac:dyDescent="0.25">
      <c r="A649" s="5" t="s">
        <v>93</v>
      </c>
      <c r="B649" s="3" t="s">
        <v>510</v>
      </c>
      <c r="C649" s="3" t="s">
        <v>801</v>
      </c>
      <c r="D649" s="4">
        <v>819689</v>
      </c>
      <c r="E649" s="3">
        <v>1462</v>
      </c>
      <c r="F649" s="3">
        <v>4</v>
      </c>
      <c r="G649" s="3" t="s">
        <v>10</v>
      </c>
      <c r="H649" s="3" t="s">
        <v>27</v>
      </c>
      <c r="I649" s="3">
        <v>5</v>
      </c>
      <c r="J649" s="3" t="s">
        <v>12</v>
      </c>
      <c r="K649" s="18">
        <v>103</v>
      </c>
      <c r="L649" s="16">
        <v>138</v>
      </c>
      <c r="M649" s="6" t="str" cm="1">
        <f t="array" ref="M649">_xlfn.IFS(L649&lt;100,"Economy",L649&lt;200,"Standard",L649&lt;350,"Powerful",L649&lt;500,"High Performance",L649&lt;800,"Sports Performance",L649&gt;=800,"Super Performance")</f>
        <v>Standard</v>
      </c>
    </row>
    <row r="650" spans="1:13" x14ac:dyDescent="0.25">
      <c r="A650" s="5" t="s">
        <v>93</v>
      </c>
      <c r="B650" s="3" t="s">
        <v>510</v>
      </c>
      <c r="C650" s="3" t="s">
        <v>802</v>
      </c>
      <c r="D650" s="4">
        <v>881689</v>
      </c>
      <c r="E650" s="3">
        <v>1462</v>
      </c>
      <c r="F650" s="3">
        <v>4</v>
      </c>
      <c r="G650" s="3" t="s">
        <v>10</v>
      </c>
      <c r="H650" s="3" t="s">
        <v>27</v>
      </c>
      <c r="I650" s="3">
        <v>5</v>
      </c>
      <c r="J650" s="3" t="s">
        <v>12</v>
      </c>
      <c r="K650" s="18">
        <v>103</v>
      </c>
      <c r="L650" s="16">
        <v>138</v>
      </c>
      <c r="M650" s="6" t="str" cm="1">
        <f t="array" ref="M650">_xlfn.IFS(L650&lt;100,"Economy",L650&lt;200,"Standard",L650&lt;350,"Powerful",L650&lt;500,"High Performance",L650&lt;800,"Sports Performance",L650&gt;=800,"Super Performance")</f>
        <v>Standard</v>
      </c>
    </row>
    <row r="651" spans="1:13" x14ac:dyDescent="0.25">
      <c r="A651" s="5" t="s">
        <v>93</v>
      </c>
      <c r="B651" s="3" t="s">
        <v>510</v>
      </c>
      <c r="C651" s="3" t="s">
        <v>803</v>
      </c>
      <c r="D651" s="4">
        <v>997689</v>
      </c>
      <c r="E651" s="3">
        <v>1462</v>
      </c>
      <c r="F651" s="3">
        <v>4</v>
      </c>
      <c r="G651" s="3" t="s">
        <v>10</v>
      </c>
      <c r="H651" s="3" t="s">
        <v>27</v>
      </c>
      <c r="I651" s="3">
        <v>5</v>
      </c>
      <c r="J651" s="3" t="s">
        <v>12</v>
      </c>
      <c r="K651" s="18">
        <v>103</v>
      </c>
      <c r="L651" s="16">
        <v>138</v>
      </c>
      <c r="M651" s="6" t="str" cm="1">
        <f t="array" ref="M651">_xlfn.IFS(L651&lt;100,"Economy",L651&lt;200,"Standard",L651&lt;350,"Powerful",L651&lt;500,"High Performance",L651&lt;800,"Sports Performance",L651&gt;=800,"Super Performance")</f>
        <v>Standard</v>
      </c>
    </row>
    <row r="652" spans="1:13" x14ac:dyDescent="0.25">
      <c r="A652" s="5" t="s">
        <v>93</v>
      </c>
      <c r="B652" s="3" t="s">
        <v>510</v>
      </c>
      <c r="C652" s="3" t="s">
        <v>804</v>
      </c>
      <c r="D652" s="4">
        <v>980689</v>
      </c>
      <c r="E652" s="3">
        <v>1462</v>
      </c>
      <c r="F652" s="3">
        <v>4</v>
      </c>
      <c r="G652" s="3" t="s">
        <v>10</v>
      </c>
      <c r="H652" s="3" t="s">
        <v>27</v>
      </c>
      <c r="I652" s="3">
        <v>5</v>
      </c>
      <c r="J652" s="3" t="s">
        <v>30</v>
      </c>
      <c r="K652" s="18">
        <v>103</v>
      </c>
      <c r="L652" s="16">
        <v>138</v>
      </c>
      <c r="M652" s="6" t="str" cm="1">
        <f t="array" ref="M652">_xlfn.IFS(L652&lt;100,"Economy",L652&lt;200,"Standard",L652&lt;350,"Powerful",L652&lt;500,"High Performance",L652&lt;800,"Sports Performance",L652&gt;=800,"Super Performance")</f>
        <v>Standard</v>
      </c>
    </row>
    <row r="653" spans="1:13" x14ac:dyDescent="0.25">
      <c r="A653" s="5" t="s">
        <v>93</v>
      </c>
      <c r="B653" s="3" t="s">
        <v>510</v>
      </c>
      <c r="C653" s="3" t="s">
        <v>805</v>
      </c>
      <c r="D653" s="4">
        <v>1058688</v>
      </c>
      <c r="E653" s="3">
        <v>1462</v>
      </c>
      <c r="F653" s="3">
        <v>4</v>
      </c>
      <c r="G653" s="3" t="s">
        <v>10</v>
      </c>
      <c r="H653" s="3" t="s">
        <v>27</v>
      </c>
      <c r="I653" s="3">
        <v>5</v>
      </c>
      <c r="J653" s="3" t="s">
        <v>30</v>
      </c>
      <c r="K653" s="18">
        <v>103</v>
      </c>
      <c r="L653" s="16">
        <v>138</v>
      </c>
      <c r="M653" s="6" t="str" cm="1">
        <f t="array" ref="M653">_xlfn.IFS(L653&lt;100,"Economy",L653&lt;200,"Standard",L653&lt;350,"Powerful",L653&lt;500,"High Performance",L653&lt;800,"Sports Performance",L653&gt;=800,"Super Performance")</f>
        <v>Standard</v>
      </c>
    </row>
    <row r="654" spans="1:13" x14ac:dyDescent="0.25">
      <c r="A654" s="5" t="s">
        <v>93</v>
      </c>
      <c r="B654" s="3" t="s">
        <v>510</v>
      </c>
      <c r="C654" s="3" t="s">
        <v>806</v>
      </c>
      <c r="D654" s="4">
        <v>1098689</v>
      </c>
      <c r="E654" s="3">
        <v>1462</v>
      </c>
      <c r="F654" s="3">
        <v>4</v>
      </c>
      <c r="G654" s="3" t="s">
        <v>10</v>
      </c>
      <c r="H654" s="3" t="s">
        <v>27</v>
      </c>
      <c r="I654" s="3">
        <v>5</v>
      </c>
      <c r="J654" s="3" t="s">
        <v>30</v>
      </c>
      <c r="K654" s="18">
        <v>103</v>
      </c>
      <c r="L654" s="16">
        <v>138</v>
      </c>
      <c r="M654" s="6" t="str" cm="1">
        <f t="array" ref="M654">_xlfn.IFS(L654&lt;100,"Economy",L654&lt;200,"Standard",L654&lt;350,"Powerful",L654&lt;500,"High Performance",L654&lt;800,"Sports Performance",L654&gt;=800,"Super Performance")</f>
        <v>Standard</v>
      </c>
    </row>
    <row r="655" spans="1:13" x14ac:dyDescent="0.25">
      <c r="A655" s="5" t="s">
        <v>7</v>
      </c>
      <c r="B655" s="3" t="s">
        <v>520</v>
      </c>
      <c r="C655" s="3" t="s">
        <v>807</v>
      </c>
      <c r="D655" s="4">
        <v>1414247</v>
      </c>
      <c r="E655" s="3">
        <v>1582</v>
      </c>
      <c r="F655" s="3">
        <v>4</v>
      </c>
      <c r="G655" s="3" t="s">
        <v>36</v>
      </c>
      <c r="H655" s="3" t="s">
        <v>66</v>
      </c>
      <c r="I655" s="3">
        <v>5</v>
      </c>
      <c r="J655" s="3" t="s">
        <v>12</v>
      </c>
      <c r="K655" s="18">
        <v>128</v>
      </c>
      <c r="L655" s="16">
        <v>260</v>
      </c>
      <c r="M655" s="6" t="str" cm="1">
        <f t="array" ref="M655">_xlfn.IFS(L655&lt;100,"Economy",L655&lt;200,"Standard",L655&lt;350,"Powerful",L655&lt;500,"High Performance",L655&lt;800,"Sports Performance",L655&gt;=800,"Super Performance")</f>
        <v>Powerful</v>
      </c>
    </row>
    <row r="656" spans="1:13" x14ac:dyDescent="0.25">
      <c r="A656" s="5" t="s">
        <v>330</v>
      </c>
      <c r="B656" s="3" t="s">
        <v>808</v>
      </c>
      <c r="C656" s="3" t="s">
        <v>333</v>
      </c>
      <c r="D656" s="4">
        <v>955000</v>
      </c>
      <c r="E656" s="3">
        <v>1498</v>
      </c>
      <c r="F656" s="3">
        <v>4</v>
      </c>
      <c r="G656" s="3" t="s">
        <v>10</v>
      </c>
      <c r="H656" s="3" t="s">
        <v>66</v>
      </c>
      <c r="I656" s="3">
        <v>5</v>
      </c>
      <c r="J656" s="3" t="s">
        <v>12</v>
      </c>
      <c r="K656" s="18">
        <v>106</v>
      </c>
      <c r="L656" s="16">
        <v>142</v>
      </c>
      <c r="M656" s="6" t="str" cm="1">
        <f t="array" ref="M656">_xlfn.IFS(L656&lt;100,"Economy",L656&lt;200,"Standard",L656&lt;350,"Powerful",L656&lt;500,"High Performance",L656&lt;800,"Sports Performance",L656&gt;=800,"Super Performance")</f>
        <v>Standard</v>
      </c>
    </row>
    <row r="657" spans="1:13" x14ac:dyDescent="0.25">
      <c r="A657" s="5" t="s">
        <v>330</v>
      </c>
      <c r="B657" s="3" t="s">
        <v>808</v>
      </c>
      <c r="C657" s="3" t="s">
        <v>809</v>
      </c>
      <c r="D657" s="4">
        <v>1095000</v>
      </c>
      <c r="E657" s="3">
        <v>1498</v>
      </c>
      <c r="F657" s="3">
        <v>4</v>
      </c>
      <c r="G657" s="3" t="s">
        <v>10</v>
      </c>
      <c r="H657" s="3" t="s">
        <v>66</v>
      </c>
      <c r="I657" s="3">
        <v>5</v>
      </c>
      <c r="J657" s="3" t="s">
        <v>12</v>
      </c>
      <c r="K657" s="18">
        <v>106</v>
      </c>
      <c r="L657" s="16">
        <v>142</v>
      </c>
      <c r="M657" s="6" t="str" cm="1">
        <f t="array" ref="M657">_xlfn.IFS(L657&lt;100,"Economy",L657&lt;200,"Standard",L657&lt;350,"Powerful",L657&lt;500,"High Performance",L657&lt;800,"Sports Performance",L657&gt;=800,"Super Performance")</f>
        <v>Standard</v>
      </c>
    </row>
    <row r="658" spans="1:13" x14ac:dyDescent="0.25">
      <c r="A658" s="5" t="s">
        <v>330</v>
      </c>
      <c r="B658" s="3" t="s">
        <v>808</v>
      </c>
      <c r="C658" s="3" t="s">
        <v>334</v>
      </c>
      <c r="D658" s="4">
        <v>1109000</v>
      </c>
      <c r="E658" s="3">
        <v>1461</v>
      </c>
      <c r="F658" s="3">
        <v>4</v>
      </c>
      <c r="G658" s="3" t="s">
        <v>36</v>
      </c>
      <c r="H658" s="3" t="s">
        <v>66</v>
      </c>
      <c r="I658" s="3">
        <v>5</v>
      </c>
      <c r="J658" s="3" t="s">
        <v>12</v>
      </c>
      <c r="K658" s="18">
        <v>110</v>
      </c>
      <c r="L658" s="16">
        <v>240</v>
      </c>
      <c r="M658" s="6" t="str" cm="1">
        <f t="array" ref="M658">_xlfn.IFS(L658&lt;100,"Economy",L658&lt;200,"Standard",L658&lt;350,"Powerful",L658&lt;500,"High Performance",L658&lt;800,"Sports Performance",L658&gt;=800,"Super Performance")</f>
        <v>Powerful</v>
      </c>
    </row>
    <row r="659" spans="1:13" x14ac:dyDescent="0.25">
      <c r="A659" s="5" t="s">
        <v>330</v>
      </c>
      <c r="B659" s="3" t="s">
        <v>808</v>
      </c>
      <c r="C659" s="3" t="s">
        <v>335</v>
      </c>
      <c r="D659" s="4">
        <v>1251000</v>
      </c>
      <c r="E659" s="3">
        <v>1461</v>
      </c>
      <c r="F659" s="3">
        <v>4</v>
      </c>
      <c r="G659" s="3" t="s">
        <v>36</v>
      </c>
      <c r="H659" s="3" t="s">
        <v>66</v>
      </c>
      <c r="I659" s="3">
        <v>5</v>
      </c>
      <c r="J659" s="3" t="s">
        <v>12</v>
      </c>
      <c r="K659" s="18">
        <v>110</v>
      </c>
      <c r="L659" s="16">
        <v>240</v>
      </c>
      <c r="M659" s="6" t="str" cm="1">
        <f t="array" ref="M659">_xlfn.IFS(L659&lt;100,"Economy",L659&lt;200,"Standard",L659&lt;350,"Powerful",L659&lt;500,"High Performance",L659&lt;800,"Sports Performance",L659&gt;=800,"Super Performance")</f>
        <v>Powerful</v>
      </c>
    </row>
    <row r="660" spans="1:13" x14ac:dyDescent="0.25">
      <c r="A660" s="5" t="s">
        <v>330</v>
      </c>
      <c r="B660" s="3" t="s">
        <v>808</v>
      </c>
      <c r="C660" s="3" t="s">
        <v>810</v>
      </c>
      <c r="D660" s="4">
        <v>1369000</v>
      </c>
      <c r="E660" s="3">
        <v>1461</v>
      </c>
      <c r="F660" s="3">
        <v>4</v>
      </c>
      <c r="G660" s="3" t="s">
        <v>36</v>
      </c>
      <c r="H660" s="3" t="s">
        <v>66</v>
      </c>
      <c r="I660" s="3">
        <v>5</v>
      </c>
      <c r="J660" s="3" t="s">
        <v>12</v>
      </c>
      <c r="K660" s="18">
        <v>110</v>
      </c>
      <c r="L660" s="16">
        <v>240</v>
      </c>
      <c r="M660" s="6" t="str" cm="1">
        <f t="array" ref="M660">_xlfn.IFS(L660&lt;100,"Economy",L660&lt;200,"Standard",L660&lt;350,"Powerful",L660&lt;500,"High Performance",L660&lt;800,"Sports Performance",L660&gt;=800,"Super Performance")</f>
        <v>Powerful</v>
      </c>
    </row>
    <row r="661" spans="1:13" x14ac:dyDescent="0.25">
      <c r="A661" s="5" t="s">
        <v>330</v>
      </c>
      <c r="B661" s="3" t="s">
        <v>808</v>
      </c>
      <c r="C661" s="3" t="s">
        <v>811</v>
      </c>
      <c r="D661" s="4">
        <v>1465000</v>
      </c>
      <c r="E661" s="3">
        <v>1461</v>
      </c>
      <c r="F661" s="3">
        <v>4</v>
      </c>
      <c r="G661" s="3" t="s">
        <v>36</v>
      </c>
      <c r="H661" s="3" t="s">
        <v>66</v>
      </c>
      <c r="I661" s="3">
        <v>5</v>
      </c>
      <c r="J661" s="3" t="s">
        <v>12</v>
      </c>
      <c r="K661" s="18">
        <v>110</v>
      </c>
      <c r="L661" s="16">
        <v>240</v>
      </c>
      <c r="M661" s="6" t="str" cm="1">
        <f t="array" ref="M661">_xlfn.IFS(L661&lt;100,"Economy",L661&lt;200,"Standard",L661&lt;350,"Powerful",L661&lt;500,"High Performance",L661&lt;800,"Sports Performance",L661&gt;=800,"Super Performance")</f>
        <v>Powerful</v>
      </c>
    </row>
    <row r="662" spans="1:13" x14ac:dyDescent="0.25">
      <c r="A662" s="5" t="s">
        <v>330</v>
      </c>
      <c r="B662" s="3" t="s">
        <v>808</v>
      </c>
      <c r="C662" s="3" t="s">
        <v>812</v>
      </c>
      <c r="D662" s="4">
        <v>1465000</v>
      </c>
      <c r="E662" s="3">
        <v>1461</v>
      </c>
      <c r="F662" s="3">
        <v>4</v>
      </c>
      <c r="G662" s="3" t="s">
        <v>36</v>
      </c>
      <c r="H662" s="3" t="s">
        <v>66</v>
      </c>
      <c r="I662" s="3">
        <v>5</v>
      </c>
      <c r="J662" s="3" t="s">
        <v>12</v>
      </c>
      <c r="K662" s="18">
        <v>110</v>
      </c>
      <c r="L662" s="16">
        <v>240</v>
      </c>
      <c r="M662" s="6" t="str" cm="1">
        <f t="array" ref="M662">_xlfn.IFS(L662&lt;100,"Economy",L662&lt;200,"Standard",L662&lt;350,"Powerful",L662&lt;500,"High Performance",L662&lt;800,"Sports Performance",L662&gt;=800,"Super Performance")</f>
        <v>Powerful</v>
      </c>
    </row>
    <row r="663" spans="1:13" x14ac:dyDescent="0.25">
      <c r="A663" s="5" t="s">
        <v>330</v>
      </c>
      <c r="B663" s="3" t="s">
        <v>808</v>
      </c>
      <c r="C663" s="3" t="s">
        <v>336</v>
      </c>
      <c r="D663" s="4">
        <v>989000</v>
      </c>
      <c r="E663" s="3">
        <v>1461</v>
      </c>
      <c r="F663" s="3">
        <v>4</v>
      </c>
      <c r="G663" s="3" t="s">
        <v>36</v>
      </c>
      <c r="H663" s="3" t="s">
        <v>66</v>
      </c>
      <c r="I663" s="3">
        <v>5</v>
      </c>
      <c r="J663" s="3" t="s">
        <v>12</v>
      </c>
      <c r="K663" s="18">
        <v>110</v>
      </c>
      <c r="L663" s="16">
        <v>240</v>
      </c>
      <c r="M663" s="6" t="str" cm="1">
        <f t="array" ref="M663">_xlfn.IFS(L663&lt;100,"Economy",L663&lt;200,"Standard",L663&lt;350,"Powerful",L663&lt;500,"High Performance",L663&lt;800,"Sports Performance",L663&gt;=800,"Super Performance")</f>
        <v>Powerful</v>
      </c>
    </row>
    <row r="664" spans="1:13" x14ac:dyDescent="0.25">
      <c r="A664" s="5" t="s">
        <v>55</v>
      </c>
      <c r="B664" s="3" t="s">
        <v>813</v>
      </c>
      <c r="C664" s="3" t="s">
        <v>814</v>
      </c>
      <c r="D664" s="4">
        <v>940000</v>
      </c>
      <c r="E664" s="3">
        <v>1496</v>
      </c>
      <c r="F664" s="3">
        <v>4</v>
      </c>
      <c r="G664" s="3" t="s">
        <v>10</v>
      </c>
      <c r="H664" s="3" t="s">
        <v>27</v>
      </c>
      <c r="I664" s="3">
        <v>5</v>
      </c>
      <c r="J664" s="3" t="s">
        <v>12</v>
      </c>
      <c r="K664" s="18">
        <v>107</v>
      </c>
      <c r="L664" s="16">
        <v>140</v>
      </c>
      <c r="M664" s="6" t="str" cm="1">
        <f t="array" ref="M664">_xlfn.IFS(L664&lt;100,"Economy",L664&lt;200,"Standard",L664&lt;350,"Powerful",L664&lt;500,"High Performance",L664&lt;800,"Sports Performance",L664&gt;=800,"Super Performance")</f>
        <v>Standard</v>
      </c>
    </row>
    <row r="665" spans="1:13" x14ac:dyDescent="0.25">
      <c r="A665" s="5" t="s">
        <v>55</v>
      </c>
      <c r="B665" s="3" t="s">
        <v>813</v>
      </c>
      <c r="C665" s="3" t="s">
        <v>462</v>
      </c>
      <c r="D665" s="4">
        <v>1055000</v>
      </c>
      <c r="E665" s="3">
        <v>1496</v>
      </c>
      <c r="F665" s="3">
        <v>4</v>
      </c>
      <c r="G665" s="3" t="s">
        <v>10</v>
      </c>
      <c r="H665" s="3" t="s">
        <v>27</v>
      </c>
      <c r="I665" s="3">
        <v>5</v>
      </c>
      <c r="J665" s="3" t="s">
        <v>12</v>
      </c>
      <c r="K665" s="18">
        <v>107</v>
      </c>
      <c r="L665" s="16">
        <v>140</v>
      </c>
      <c r="M665" s="6" t="str" cm="1">
        <f t="array" ref="M665">_xlfn.IFS(L665&lt;100,"Economy",L665&lt;200,"Standard",L665&lt;350,"Powerful",L665&lt;500,"High Performance",L665&lt;800,"Sports Performance",L665&gt;=800,"Super Performance")</f>
        <v>Standard</v>
      </c>
    </row>
    <row r="666" spans="1:13" x14ac:dyDescent="0.25">
      <c r="A666" s="5" t="s">
        <v>55</v>
      </c>
      <c r="B666" s="3" t="s">
        <v>813</v>
      </c>
      <c r="C666" s="3" t="s">
        <v>58</v>
      </c>
      <c r="D666" s="4">
        <v>1174000</v>
      </c>
      <c r="E666" s="3">
        <v>1498</v>
      </c>
      <c r="F666" s="3">
        <v>4</v>
      </c>
      <c r="G666" s="3" t="s">
        <v>10</v>
      </c>
      <c r="H666" s="3" t="s">
        <v>27</v>
      </c>
      <c r="I666" s="3">
        <v>5</v>
      </c>
      <c r="J666" s="3" t="s">
        <v>12</v>
      </c>
      <c r="K666" s="18">
        <v>107</v>
      </c>
      <c r="L666" s="16">
        <v>140</v>
      </c>
      <c r="M666" s="6" t="str" cm="1">
        <f t="array" ref="M666">_xlfn.IFS(L666&lt;100,"Economy",L666&lt;200,"Standard",L666&lt;350,"Powerful",L666&lt;500,"High Performance",L666&lt;800,"Sports Performance",L666&gt;=800,"Super Performance")</f>
        <v>Standard</v>
      </c>
    </row>
    <row r="667" spans="1:13" x14ac:dyDescent="0.25">
      <c r="A667" s="5" t="s">
        <v>55</v>
      </c>
      <c r="B667" s="3" t="s">
        <v>813</v>
      </c>
      <c r="C667" s="3" t="s">
        <v>471</v>
      </c>
      <c r="D667" s="4">
        <v>1418000</v>
      </c>
      <c r="E667" s="3">
        <v>1496</v>
      </c>
      <c r="F667" s="3">
        <v>4</v>
      </c>
      <c r="G667" s="3" t="s">
        <v>10</v>
      </c>
      <c r="H667" s="3" t="s">
        <v>27</v>
      </c>
      <c r="I667" s="3">
        <v>5</v>
      </c>
      <c r="J667" s="3" t="s">
        <v>30</v>
      </c>
      <c r="K667" s="18">
        <v>107</v>
      </c>
      <c r="L667" s="16">
        <v>140</v>
      </c>
      <c r="M667" s="6" t="str" cm="1">
        <f t="array" ref="M667">_xlfn.IFS(L667&lt;100,"Economy",L667&lt;200,"Standard",L667&lt;350,"Powerful",L667&lt;500,"High Performance",L667&lt;800,"Sports Performance",L667&gt;=800,"Super Performance")</f>
        <v>Standard</v>
      </c>
    </row>
    <row r="668" spans="1:13" x14ac:dyDescent="0.25">
      <c r="A668" s="5" t="s">
        <v>55</v>
      </c>
      <c r="B668" s="3" t="s">
        <v>813</v>
      </c>
      <c r="C668" s="3" t="s">
        <v>59</v>
      </c>
      <c r="D668" s="4">
        <v>1175000</v>
      </c>
      <c r="E668" s="3">
        <v>1496</v>
      </c>
      <c r="F668" s="3">
        <v>4</v>
      </c>
      <c r="G668" s="3" t="s">
        <v>10</v>
      </c>
      <c r="H668" s="3" t="s">
        <v>27</v>
      </c>
      <c r="I668" s="3">
        <v>5</v>
      </c>
      <c r="J668" s="3" t="s">
        <v>30</v>
      </c>
      <c r="K668" s="18">
        <v>107</v>
      </c>
      <c r="L668" s="16">
        <v>140</v>
      </c>
      <c r="M668" s="6" t="str" cm="1">
        <f t="array" ref="M668">_xlfn.IFS(L668&lt;100,"Economy",L668&lt;200,"Standard",L668&lt;350,"Powerful",L668&lt;500,"High Performance",L668&lt;800,"Sports Performance",L668&gt;=800,"Super Performance")</f>
        <v>Standard</v>
      </c>
    </row>
    <row r="669" spans="1:13" x14ac:dyDescent="0.25">
      <c r="A669" s="5" t="s">
        <v>55</v>
      </c>
      <c r="B669" s="3" t="s">
        <v>813</v>
      </c>
      <c r="C669" s="3" t="s">
        <v>815</v>
      </c>
      <c r="D669" s="4">
        <v>1010000</v>
      </c>
      <c r="E669" s="3">
        <v>1496</v>
      </c>
      <c r="F669" s="3">
        <v>4</v>
      </c>
      <c r="G669" s="3" t="s">
        <v>10</v>
      </c>
      <c r="H669" s="3" t="s">
        <v>27</v>
      </c>
      <c r="I669" s="3">
        <v>5</v>
      </c>
      <c r="J669" s="3" t="s">
        <v>30</v>
      </c>
      <c r="K669" s="18">
        <v>107</v>
      </c>
      <c r="L669" s="16">
        <v>140</v>
      </c>
      <c r="M669" s="6" t="str" cm="1">
        <f t="array" ref="M669">_xlfn.IFS(L669&lt;100,"Economy",L669&lt;200,"Standard",L669&lt;350,"Powerful",L669&lt;500,"High Performance",L669&lt;800,"Sports Performance",L669&gt;=800,"Super Performance")</f>
        <v>Standard</v>
      </c>
    </row>
    <row r="670" spans="1:13" x14ac:dyDescent="0.25">
      <c r="A670" s="5" t="s">
        <v>55</v>
      </c>
      <c r="B670" s="3" t="s">
        <v>813</v>
      </c>
      <c r="C670" s="3" t="s">
        <v>61</v>
      </c>
      <c r="D670" s="4">
        <v>1294000</v>
      </c>
      <c r="E670" s="3">
        <v>1496</v>
      </c>
      <c r="F670" s="3">
        <v>4</v>
      </c>
      <c r="G670" s="3" t="s">
        <v>10</v>
      </c>
      <c r="H670" s="3" t="s">
        <v>27</v>
      </c>
      <c r="I670" s="3">
        <v>5</v>
      </c>
      <c r="J670" s="3" t="s">
        <v>30</v>
      </c>
      <c r="K670" s="18">
        <v>107</v>
      </c>
      <c r="L670" s="16">
        <v>140</v>
      </c>
      <c r="M670" s="6" t="str" cm="1">
        <f t="array" ref="M670">_xlfn.IFS(L670&lt;100,"Economy",L670&lt;200,"Standard",L670&lt;350,"Powerful",L670&lt;500,"High Performance",L670&lt;800,"Sports Performance",L670&gt;=800,"Super Performance")</f>
        <v>Standard</v>
      </c>
    </row>
    <row r="671" spans="1:13" x14ac:dyDescent="0.25">
      <c r="A671" s="5" t="s">
        <v>55</v>
      </c>
      <c r="B671" s="3" t="s">
        <v>813</v>
      </c>
      <c r="C671" s="3" t="s">
        <v>816</v>
      </c>
      <c r="D671" s="4">
        <v>1296000</v>
      </c>
      <c r="E671" s="3">
        <v>1496</v>
      </c>
      <c r="F671" s="3">
        <v>4</v>
      </c>
      <c r="G671" s="3" t="s">
        <v>10</v>
      </c>
      <c r="H671" s="3" t="s">
        <v>27</v>
      </c>
      <c r="I671" s="3">
        <v>5</v>
      </c>
      <c r="J671" s="3" t="s">
        <v>12</v>
      </c>
      <c r="K671" s="18">
        <v>107</v>
      </c>
      <c r="L671" s="16">
        <v>140</v>
      </c>
      <c r="M671" s="6" t="str" cm="1">
        <f t="array" ref="M671">_xlfn.IFS(L671&lt;100,"Economy",L671&lt;200,"Standard",L671&lt;350,"Powerful",L671&lt;500,"High Performance",L671&lt;800,"Sports Performance",L671&gt;=800,"Super Performance")</f>
        <v>Standard</v>
      </c>
    </row>
    <row r="672" spans="1:13" x14ac:dyDescent="0.25">
      <c r="A672" s="5" t="s">
        <v>55</v>
      </c>
      <c r="B672" s="3" t="s">
        <v>813</v>
      </c>
      <c r="C672" s="3" t="s">
        <v>817</v>
      </c>
      <c r="D672" s="4">
        <v>1197000</v>
      </c>
      <c r="E672" s="3">
        <v>1498</v>
      </c>
      <c r="F672" s="3">
        <v>4</v>
      </c>
      <c r="G672" s="3" t="s">
        <v>10</v>
      </c>
      <c r="H672" s="3" t="s">
        <v>27</v>
      </c>
      <c r="I672" s="3">
        <v>5</v>
      </c>
      <c r="J672" s="3" t="s">
        <v>12</v>
      </c>
      <c r="K672" s="18">
        <v>107</v>
      </c>
      <c r="L672" s="16">
        <v>140</v>
      </c>
      <c r="M672" s="6" t="str" cm="1">
        <f t="array" ref="M672">_xlfn.IFS(L672&lt;100,"Economy",L672&lt;200,"Standard",L672&lt;350,"Powerful",L672&lt;500,"High Performance",L672&lt;800,"Sports Performance",L672&gt;=800,"Super Performance")</f>
        <v>Standard</v>
      </c>
    </row>
    <row r="673" spans="1:13" x14ac:dyDescent="0.25">
      <c r="A673" s="5" t="s">
        <v>55</v>
      </c>
      <c r="B673" s="3" t="s">
        <v>813</v>
      </c>
      <c r="C673" s="3" t="s">
        <v>818</v>
      </c>
      <c r="D673" s="4">
        <v>876000</v>
      </c>
      <c r="E673" s="3">
        <v>1496</v>
      </c>
      <c r="F673" s="3">
        <v>4</v>
      </c>
      <c r="G673" s="3" t="s">
        <v>10</v>
      </c>
      <c r="H673" s="3" t="s">
        <v>27</v>
      </c>
      <c r="I673" s="3">
        <v>5</v>
      </c>
      <c r="J673" s="3" t="s">
        <v>12</v>
      </c>
      <c r="K673" s="18">
        <v>107</v>
      </c>
      <c r="L673" s="16">
        <v>140</v>
      </c>
      <c r="M673" s="6" t="str" cm="1">
        <f t="array" ref="M673">_xlfn.IFS(L673&lt;100,"Economy",L673&lt;200,"Standard",L673&lt;350,"Powerful",L673&lt;500,"High Performance",L673&lt;800,"Sports Performance",L673&gt;=800,"Super Performance")</f>
        <v>Standard</v>
      </c>
    </row>
    <row r="674" spans="1:13" x14ac:dyDescent="0.25">
      <c r="A674" s="5" t="s">
        <v>55</v>
      </c>
      <c r="B674" s="3" t="s">
        <v>813</v>
      </c>
      <c r="C674" s="3" t="s">
        <v>819</v>
      </c>
      <c r="D674" s="4">
        <v>974000</v>
      </c>
      <c r="E674" s="3">
        <v>1496</v>
      </c>
      <c r="F674" s="3">
        <v>4</v>
      </c>
      <c r="G674" s="3" t="s">
        <v>10</v>
      </c>
      <c r="H674" s="3" t="s">
        <v>27</v>
      </c>
      <c r="I674" s="3">
        <v>5</v>
      </c>
      <c r="J674" s="3" t="s">
        <v>12</v>
      </c>
      <c r="K674" s="18">
        <v>107</v>
      </c>
      <c r="L674" s="16">
        <v>140</v>
      </c>
      <c r="M674" s="6" t="str" cm="1">
        <f t="array" ref="M674">_xlfn.IFS(L674&lt;100,"Economy",L674&lt;200,"Standard",L674&lt;350,"Powerful",L674&lt;500,"High Performance",L674&lt;800,"Sports Performance",L674&gt;=800,"Super Performance")</f>
        <v>Standard</v>
      </c>
    </row>
    <row r="675" spans="1:13" x14ac:dyDescent="0.25">
      <c r="A675" s="5" t="s">
        <v>55</v>
      </c>
      <c r="B675" s="3" t="s">
        <v>813</v>
      </c>
      <c r="C675" s="3" t="s">
        <v>820</v>
      </c>
      <c r="D675" s="4">
        <v>935000</v>
      </c>
      <c r="E675" s="3">
        <v>1496</v>
      </c>
      <c r="F675" s="3">
        <v>4</v>
      </c>
      <c r="G675" s="3" t="s">
        <v>10</v>
      </c>
      <c r="H675" s="3" t="s">
        <v>27</v>
      </c>
      <c r="I675" s="3">
        <v>5</v>
      </c>
      <c r="J675" s="3" t="s">
        <v>30</v>
      </c>
      <c r="K675" s="18">
        <v>107</v>
      </c>
      <c r="L675" s="16">
        <v>140</v>
      </c>
      <c r="M675" s="6" t="str" cm="1">
        <f t="array" ref="M675">_xlfn.IFS(L675&lt;100,"Economy",L675&lt;200,"Standard",L675&lt;350,"Powerful",L675&lt;500,"High Performance",L675&lt;800,"Sports Performance",L675&gt;=800,"Super Performance")</f>
        <v>Standard</v>
      </c>
    </row>
    <row r="676" spans="1:13" x14ac:dyDescent="0.25">
      <c r="A676" s="5" t="s">
        <v>55</v>
      </c>
      <c r="B676" s="3" t="s">
        <v>813</v>
      </c>
      <c r="C676" s="3" t="s">
        <v>821</v>
      </c>
      <c r="D676" s="4">
        <v>1083000</v>
      </c>
      <c r="E676" s="3">
        <v>1496</v>
      </c>
      <c r="F676" s="3">
        <v>4</v>
      </c>
      <c r="G676" s="3" t="s">
        <v>10</v>
      </c>
      <c r="H676" s="3" t="s">
        <v>27</v>
      </c>
      <c r="I676" s="3">
        <v>5</v>
      </c>
      <c r="J676" s="3" t="s">
        <v>30</v>
      </c>
      <c r="K676" s="18">
        <v>107</v>
      </c>
      <c r="L676" s="16">
        <v>140</v>
      </c>
      <c r="M676" s="6" t="str" cm="1">
        <f t="array" ref="M676">_xlfn.IFS(L676&lt;100,"Economy",L676&lt;200,"Standard",L676&lt;350,"Powerful",L676&lt;500,"High Performance",L676&lt;800,"Sports Performance",L676&gt;=800,"Super Performance")</f>
        <v>Standard</v>
      </c>
    </row>
    <row r="677" spans="1:13" x14ac:dyDescent="0.25">
      <c r="A677" s="5" t="s">
        <v>55</v>
      </c>
      <c r="B677" s="3" t="s">
        <v>813</v>
      </c>
      <c r="C677" s="3" t="s">
        <v>822</v>
      </c>
      <c r="D677" s="4">
        <v>1317000</v>
      </c>
      <c r="E677" s="3">
        <v>1498</v>
      </c>
      <c r="F677" s="3">
        <v>4</v>
      </c>
      <c r="G677" s="3" t="s">
        <v>10</v>
      </c>
      <c r="H677" s="3" t="s">
        <v>27</v>
      </c>
      <c r="I677" s="3">
        <v>5</v>
      </c>
      <c r="J677" s="3" t="s">
        <v>30</v>
      </c>
      <c r="K677" s="18">
        <v>107</v>
      </c>
      <c r="L677" s="16">
        <v>140</v>
      </c>
      <c r="M677" s="6" t="str" cm="1">
        <f t="array" ref="M677">_xlfn.IFS(L677&lt;100,"Economy",L677&lt;200,"Standard",L677&lt;350,"Powerful",L677&lt;500,"High Performance",L677&lt;800,"Sports Performance",L677&gt;=800,"Super Performance")</f>
        <v>Standard</v>
      </c>
    </row>
    <row r="678" spans="1:13" x14ac:dyDescent="0.25">
      <c r="A678" s="5" t="s">
        <v>572</v>
      </c>
      <c r="B678" s="3" t="s">
        <v>823</v>
      </c>
      <c r="C678" s="3" t="s">
        <v>824</v>
      </c>
      <c r="D678" s="4">
        <v>1599599</v>
      </c>
      <c r="E678" s="3">
        <v>1395</v>
      </c>
      <c r="F678" s="3">
        <v>4</v>
      </c>
      <c r="G678" s="3" t="s">
        <v>10</v>
      </c>
      <c r="H678" s="3" t="s">
        <v>27</v>
      </c>
      <c r="I678" s="3">
        <v>5</v>
      </c>
      <c r="J678" s="3" t="s">
        <v>12</v>
      </c>
      <c r="K678" s="18">
        <v>140</v>
      </c>
      <c r="L678" s="16">
        <v>250</v>
      </c>
      <c r="M678" s="6" t="str" cm="1">
        <f t="array" ref="M678">_xlfn.IFS(L678&lt;100,"Economy",L678&lt;200,"Standard",L678&lt;350,"Powerful",L678&lt;500,"High Performance",L678&lt;800,"Sports Performance",L678&gt;=800,"Super Performance")</f>
        <v>Powerful</v>
      </c>
    </row>
    <row r="679" spans="1:13" x14ac:dyDescent="0.25">
      <c r="A679" s="5" t="s">
        <v>572</v>
      </c>
      <c r="B679" s="3" t="s">
        <v>823</v>
      </c>
      <c r="C679" s="3" t="s">
        <v>825</v>
      </c>
      <c r="D679" s="4">
        <v>1799599</v>
      </c>
      <c r="E679" s="3">
        <v>1968</v>
      </c>
      <c r="F679" s="3">
        <v>4</v>
      </c>
      <c r="G679" s="3" t="s">
        <v>36</v>
      </c>
      <c r="H679" s="3" t="s">
        <v>27</v>
      </c>
      <c r="I679" s="3">
        <v>5</v>
      </c>
      <c r="J679" s="3" t="s">
        <v>12</v>
      </c>
      <c r="K679" s="18">
        <v>143</v>
      </c>
      <c r="L679" s="16">
        <v>320</v>
      </c>
      <c r="M679" s="6" t="str" cm="1">
        <f t="array" ref="M679">_xlfn.IFS(L679&lt;100,"Economy",L679&lt;200,"Standard",L679&lt;350,"Powerful",L679&lt;500,"High Performance",L679&lt;800,"Sports Performance",L679&gt;=800,"Super Performance")</f>
        <v>Powerful</v>
      </c>
    </row>
    <row r="680" spans="1:13" x14ac:dyDescent="0.25">
      <c r="A680" s="5" t="s">
        <v>572</v>
      </c>
      <c r="B680" s="3" t="s">
        <v>823</v>
      </c>
      <c r="C680" s="3" t="s">
        <v>826</v>
      </c>
      <c r="D680" s="4">
        <v>2079599</v>
      </c>
      <c r="E680" s="3">
        <v>1968</v>
      </c>
      <c r="F680" s="3">
        <v>4</v>
      </c>
      <c r="G680" s="3" t="s">
        <v>36</v>
      </c>
      <c r="H680" s="3" t="s">
        <v>27</v>
      </c>
      <c r="I680" s="3">
        <v>5</v>
      </c>
      <c r="J680" s="3" t="s">
        <v>12</v>
      </c>
      <c r="K680" s="18">
        <v>143</v>
      </c>
      <c r="L680" s="16">
        <v>320</v>
      </c>
      <c r="M680" s="6" t="str" cm="1">
        <f t="array" ref="M680">_xlfn.IFS(L680&lt;100,"Economy",L680&lt;200,"Standard",L680&lt;350,"Powerful",L680&lt;500,"High Performance",L680&lt;800,"Sports Performance",L680&gt;=800,"Super Performance")</f>
        <v>Powerful</v>
      </c>
    </row>
    <row r="681" spans="1:13" x14ac:dyDescent="0.25">
      <c r="A681" s="5" t="s">
        <v>572</v>
      </c>
      <c r="B681" s="3" t="s">
        <v>823</v>
      </c>
      <c r="C681" s="3" t="s">
        <v>827</v>
      </c>
      <c r="D681" s="4">
        <v>2299599</v>
      </c>
      <c r="E681" s="3">
        <v>1968</v>
      </c>
      <c r="F681" s="3">
        <v>4</v>
      </c>
      <c r="G681" s="3" t="s">
        <v>36</v>
      </c>
      <c r="H681" s="3" t="s">
        <v>27</v>
      </c>
      <c r="I681" s="3">
        <v>5</v>
      </c>
      <c r="J681" s="3" t="s">
        <v>30</v>
      </c>
      <c r="K681" s="18">
        <v>143</v>
      </c>
      <c r="L681" s="16">
        <v>320</v>
      </c>
      <c r="M681" s="6" t="str" cm="1">
        <f t="array" ref="M681">_xlfn.IFS(L681&lt;100,"Economy",L681&lt;200,"Standard",L681&lt;350,"Powerful",L681&lt;500,"High Performance",L681&lt;800,"Sports Performance",L681&gt;=800,"Super Performance")</f>
        <v>Powerful</v>
      </c>
    </row>
    <row r="682" spans="1:13" x14ac:dyDescent="0.25">
      <c r="A682" s="5" t="s">
        <v>572</v>
      </c>
      <c r="B682" s="3" t="s">
        <v>823</v>
      </c>
      <c r="C682" s="3" t="s">
        <v>828</v>
      </c>
      <c r="D682" s="4">
        <v>2359599</v>
      </c>
      <c r="E682" s="3">
        <v>1968</v>
      </c>
      <c r="F682" s="3">
        <v>4</v>
      </c>
      <c r="G682" s="3" t="s">
        <v>36</v>
      </c>
      <c r="H682" s="3" t="s">
        <v>27</v>
      </c>
      <c r="I682" s="3">
        <v>5</v>
      </c>
      <c r="J682" s="3" t="s">
        <v>30</v>
      </c>
      <c r="K682" s="18">
        <v>143</v>
      </c>
      <c r="L682" s="16">
        <v>320</v>
      </c>
      <c r="M682" s="6" t="str" cm="1">
        <f t="array" ref="M682">_xlfn.IFS(L682&lt;100,"Economy",L682&lt;200,"Standard",L682&lt;350,"Powerful",L682&lt;500,"High Performance",L682&lt;800,"Sports Performance",L682&gt;=800,"Super Performance")</f>
        <v>Powerful</v>
      </c>
    </row>
    <row r="683" spans="1:13" x14ac:dyDescent="0.25">
      <c r="A683" s="5" t="s">
        <v>572</v>
      </c>
      <c r="B683" s="3" t="s">
        <v>823</v>
      </c>
      <c r="C683" s="3" t="s">
        <v>829</v>
      </c>
      <c r="D683" s="4">
        <v>1699000</v>
      </c>
      <c r="E683" s="3">
        <v>1968</v>
      </c>
      <c r="F683" s="3">
        <v>4</v>
      </c>
      <c r="G683" s="3" t="s">
        <v>36</v>
      </c>
      <c r="H683" s="3" t="s">
        <v>27</v>
      </c>
      <c r="I683" s="3">
        <v>5</v>
      </c>
      <c r="J683" s="3" t="s">
        <v>12</v>
      </c>
      <c r="K683" s="18">
        <v>141</v>
      </c>
      <c r="L683" s="16">
        <v>320</v>
      </c>
      <c r="M683" s="6" t="str" cm="1">
        <f t="array" ref="M683">_xlfn.IFS(L683&lt;100,"Economy",L683&lt;200,"Standard",L683&lt;350,"Powerful",L683&lt;500,"High Performance",L683&lt;800,"Sports Performance",L683&gt;=800,"Super Performance")</f>
        <v>Powerful</v>
      </c>
    </row>
    <row r="684" spans="1:13" x14ac:dyDescent="0.25">
      <c r="A684" s="5" t="s">
        <v>572</v>
      </c>
      <c r="B684" s="3" t="s">
        <v>823</v>
      </c>
      <c r="C684" s="3" t="s">
        <v>830</v>
      </c>
      <c r="D684" s="4">
        <v>1999599</v>
      </c>
      <c r="E684" s="3">
        <v>1798</v>
      </c>
      <c r="F684" s="3">
        <v>4</v>
      </c>
      <c r="G684" s="3" t="s">
        <v>10</v>
      </c>
      <c r="H684" s="3" t="s">
        <v>27</v>
      </c>
      <c r="I684" s="3">
        <v>5</v>
      </c>
      <c r="J684" s="3" t="s">
        <v>30</v>
      </c>
      <c r="K684" s="18">
        <v>180</v>
      </c>
      <c r="L684" s="16">
        <v>250</v>
      </c>
      <c r="M684" s="6" t="str" cm="1">
        <f t="array" ref="M684">_xlfn.IFS(L684&lt;100,"Economy",L684&lt;200,"Standard",L684&lt;350,"Powerful",L684&lt;500,"High Performance",L684&lt;800,"Sports Performance",L684&gt;=800,"Super Performance")</f>
        <v>Powerful</v>
      </c>
    </row>
    <row r="685" spans="1:13" x14ac:dyDescent="0.25">
      <c r="A685" s="5" t="s">
        <v>572</v>
      </c>
      <c r="B685" s="3" t="s">
        <v>823</v>
      </c>
      <c r="C685" s="3" t="s">
        <v>831</v>
      </c>
      <c r="D685" s="4">
        <v>2199599</v>
      </c>
      <c r="E685" s="3">
        <v>1968</v>
      </c>
      <c r="F685" s="3">
        <v>4</v>
      </c>
      <c r="G685" s="3" t="s">
        <v>36</v>
      </c>
      <c r="H685" s="3" t="s">
        <v>27</v>
      </c>
      <c r="I685" s="3">
        <v>5</v>
      </c>
      <c r="J685" s="3" t="s">
        <v>30</v>
      </c>
      <c r="K685" s="18">
        <v>143</v>
      </c>
      <c r="L685" s="16">
        <v>320</v>
      </c>
      <c r="M685" s="6" t="str" cm="1">
        <f t="array" ref="M685">_xlfn.IFS(L685&lt;100,"Economy",L685&lt;200,"Standard",L685&lt;350,"Powerful",L685&lt;500,"High Performance",L685&lt;800,"Sports Performance",L685&gt;=800,"Super Performance")</f>
        <v>Powerful</v>
      </c>
    </row>
    <row r="686" spans="1:13" x14ac:dyDescent="0.25">
      <c r="A686" s="5" t="s">
        <v>7</v>
      </c>
      <c r="B686" s="3" t="s">
        <v>832</v>
      </c>
      <c r="C686" s="3" t="s">
        <v>833</v>
      </c>
      <c r="D686" s="4">
        <v>556130</v>
      </c>
      <c r="E686" s="3">
        <v>1197</v>
      </c>
      <c r="F686" s="3">
        <v>4</v>
      </c>
      <c r="G686" s="3" t="s">
        <v>272</v>
      </c>
      <c r="H686" s="3" t="s">
        <v>27</v>
      </c>
      <c r="I686" s="3">
        <v>5</v>
      </c>
      <c r="J686" s="3" t="s">
        <v>12</v>
      </c>
      <c r="K686" s="18">
        <v>83</v>
      </c>
      <c r="L686" s="16">
        <v>114</v>
      </c>
      <c r="M686" s="6" t="str" cm="1">
        <f t="array" ref="M686">_xlfn.IFS(L686&lt;100,"Economy",L686&lt;200,"Standard",L686&lt;350,"Powerful",L686&lt;500,"High Performance",L686&lt;800,"Sports Performance",L686&gt;=800,"Super Performance")</f>
        <v>Standard</v>
      </c>
    </row>
    <row r="687" spans="1:13" x14ac:dyDescent="0.25">
      <c r="A687" s="5" t="s">
        <v>7</v>
      </c>
      <c r="B687" s="3" t="s">
        <v>832</v>
      </c>
      <c r="C687" s="3" t="s">
        <v>609</v>
      </c>
      <c r="D687" s="4">
        <v>536859</v>
      </c>
      <c r="E687" s="3">
        <v>1197</v>
      </c>
      <c r="F687" s="3">
        <v>4</v>
      </c>
      <c r="G687" s="3" t="s">
        <v>10</v>
      </c>
      <c r="H687" s="3" t="s">
        <v>27</v>
      </c>
      <c r="I687" s="3">
        <v>5</v>
      </c>
      <c r="J687" s="3" t="s">
        <v>12</v>
      </c>
      <c r="K687" s="18">
        <v>83</v>
      </c>
      <c r="L687" s="16">
        <v>114</v>
      </c>
      <c r="M687" s="6" t="str" cm="1">
        <f t="array" ref="M687">_xlfn.IFS(L687&lt;100,"Economy",L687&lt;200,"Standard",L687&lt;350,"Powerful",L687&lt;500,"High Performance",L687&lt;800,"Sports Performance",L687&gt;=800,"Super Performance")</f>
        <v>Standard</v>
      </c>
    </row>
    <row r="688" spans="1:13" x14ac:dyDescent="0.25">
      <c r="A688" s="5" t="s">
        <v>7</v>
      </c>
      <c r="B688" s="3" t="s">
        <v>832</v>
      </c>
      <c r="C688" s="3" t="s">
        <v>834</v>
      </c>
      <c r="D688" s="4">
        <v>536859</v>
      </c>
      <c r="E688" s="3">
        <v>1197</v>
      </c>
      <c r="F688" s="3">
        <v>4</v>
      </c>
      <c r="G688" s="3" t="s">
        <v>272</v>
      </c>
      <c r="H688" s="3" t="s">
        <v>27</v>
      </c>
      <c r="I688" s="3">
        <v>5</v>
      </c>
      <c r="J688" s="3" t="s">
        <v>12</v>
      </c>
      <c r="K688" s="18">
        <v>81.8</v>
      </c>
      <c r="L688" s="16">
        <v>114</v>
      </c>
      <c r="M688" s="6" t="str" cm="1">
        <f t="array" ref="M688">_xlfn.IFS(L688&lt;100,"Economy",L688&lt;200,"Standard",L688&lt;350,"Powerful",L688&lt;500,"High Performance",L688&lt;800,"Sports Performance",L688&gt;=800,"Super Performance")</f>
        <v>Standard</v>
      </c>
    </row>
    <row r="689" spans="1:13" x14ac:dyDescent="0.25">
      <c r="A689" s="5" t="s">
        <v>7</v>
      </c>
      <c r="B689" s="3" t="s">
        <v>832</v>
      </c>
      <c r="C689" s="3" t="s">
        <v>835</v>
      </c>
      <c r="D689" s="4">
        <v>639616</v>
      </c>
      <c r="E689" s="3">
        <v>1197</v>
      </c>
      <c r="F689" s="3">
        <v>4</v>
      </c>
      <c r="G689" s="3" t="s">
        <v>36</v>
      </c>
      <c r="H689" s="3" t="s">
        <v>27</v>
      </c>
      <c r="I689" s="3">
        <v>5</v>
      </c>
      <c r="J689" s="3" t="s">
        <v>12</v>
      </c>
      <c r="K689" s="18">
        <v>70</v>
      </c>
      <c r="L689" s="16">
        <v>114</v>
      </c>
      <c r="M689" s="6" t="str" cm="1">
        <f t="array" ref="M689">_xlfn.IFS(L689&lt;100,"Economy",L689&lt;200,"Standard",L689&lt;350,"Powerful",L689&lt;500,"High Performance",L689&lt;800,"Sports Performance",L689&gt;=800,"Super Performance")</f>
        <v>Standard</v>
      </c>
    </row>
    <row r="690" spans="1:13" x14ac:dyDescent="0.25">
      <c r="A690" s="5" t="s">
        <v>7</v>
      </c>
      <c r="B690" s="3" t="s">
        <v>832</v>
      </c>
      <c r="C690" s="3" t="s">
        <v>836</v>
      </c>
      <c r="D690" s="4">
        <v>620297</v>
      </c>
      <c r="E690" s="3">
        <v>1197</v>
      </c>
      <c r="F690" s="3">
        <v>4</v>
      </c>
      <c r="G690" s="3" t="s">
        <v>36</v>
      </c>
      <c r="H690" s="3" t="s">
        <v>27</v>
      </c>
      <c r="I690" s="3">
        <v>5</v>
      </c>
      <c r="J690" s="3" t="s">
        <v>12</v>
      </c>
      <c r="K690" s="18">
        <v>71</v>
      </c>
      <c r="L690" s="16">
        <v>114</v>
      </c>
      <c r="M690" s="6" t="str" cm="1">
        <f t="array" ref="M690">_xlfn.IFS(L690&lt;100,"Economy",L690&lt;200,"Standard",L690&lt;350,"Powerful",L690&lt;500,"High Performance",L690&lt;800,"Sports Performance",L690&gt;=800,"Super Performance")</f>
        <v>Standard</v>
      </c>
    </row>
    <row r="691" spans="1:13" x14ac:dyDescent="0.25">
      <c r="A691" s="5" t="s">
        <v>93</v>
      </c>
      <c r="B691" s="3" t="s">
        <v>837</v>
      </c>
      <c r="C691" s="3" t="s">
        <v>191</v>
      </c>
      <c r="D691" s="4">
        <v>598940</v>
      </c>
      <c r="E691" s="3">
        <v>1197</v>
      </c>
      <c r="F691" s="3">
        <v>4</v>
      </c>
      <c r="G691" s="3" t="s">
        <v>15</v>
      </c>
      <c r="H691" s="3" t="s">
        <v>27</v>
      </c>
      <c r="I691" s="3">
        <v>5</v>
      </c>
      <c r="J691" s="3" t="s">
        <v>12</v>
      </c>
      <c r="K691" s="18">
        <v>69</v>
      </c>
      <c r="L691" s="16">
        <v>115</v>
      </c>
      <c r="M691" s="6" t="str" cm="1">
        <f t="array" ref="M691">_xlfn.IFS(L691&lt;100,"Economy",L691&lt;200,"Standard",L691&lt;350,"Powerful",L691&lt;500,"High Performance",L691&lt;800,"Sports Performance",L691&gt;=800,"Super Performance")</f>
        <v>Standard</v>
      </c>
    </row>
    <row r="692" spans="1:13" x14ac:dyDescent="0.25">
      <c r="A692" s="5" t="s">
        <v>93</v>
      </c>
      <c r="B692" s="3" t="s">
        <v>838</v>
      </c>
      <c r="C692" s="3" t="s">
        <v>97</v>
      </c>
      <c r="D692" s="4">
        <v>582613</v>
      </c>
      <c r="E692" s="3">
        <v>1197</v>
      </c>
      <c r="F692" s="3">
        <v>4</v>
      </c>
      <c r="G692" s="3" t="s">
        <v>10</v>
      </c>
      <c r="H692" s="3" t="s">
        <v>27</v>
      </c>
      <c r="I692" s="3">
        <v>5</v>
      </c>
      <c r="J692" s="3" t="s">
        <v>12</v>
      </c>
      <c r="K692" s="18">
        <v>84.3</v>
      </c>
      <c r="L692" s="16">
        <v>115</v>
      </c>
      <c r="M692" s="6" t="str" cm="1">
        <f t="array" ref="M692">_xlfn.IFS(L692&lt;100,"Economy",L692&lt;200,"Standard",L692&lt;350,"Powerful",L692&lt;500,"High Performance",L692&lt;800,"Sports Performance",L692&gt;=800,"Super Performance")</f>
        <v>Standard</v>
      </c>
    </row>
    <row r="693" spans="1:13" x14ac:dyDescent="0.25">
      <c r="A693" s="5" t="s">
        <v>93</v>
      </c>
      <c r="B693" s="3" t="s">
        <v>838</v>
      </c>
      <c r="C693" s="3" t="s">
        <v>99</v>
      </c>
      <c r="D693" s="4">
        <v>673112</v>
      </c>
      <c r="E693" s="3">
        <v>1197</v>
      </c>
      <c r="F693" s="3">
        <v>4</v>
      </c>
      <c r="G693" s="3" t="s">
        <v>10</v>
      </c>
      <c r="H693" s="3" t="s">
        <v>27</v>
      </c>
      <c r="I693" s="3">
        <v>5</v>
      </c>
      <c r="J693" s="3" t="s">
        <v>12</v>
      </c>
      <c r="K693" s="18">
        <v>84.3</v>
      </c>
      <c r="L693" s="16">
        <v>115</v>
      </c>
      <c r="M693" s="6" t="str" cm="1">
        <f t="array" ref="M693">_xlfn.IFS(L693&lt;100,"Economy",L693&lt;200,"Standard",L693&lt;350,"Powerful",L693&lt;500,"High Performance",L693&lt;800,"Sports Performance",L693&gt;=800,"Super Performance")</f>
        <v>Standard</v>
      </c>
    </row>
    <row r="694" spans="1:13" x14ac:dyDescent="0.25">
      <c r="A694" s="5" t="s">
        <v>93</v>
      </c>
      <c r="B694" s="3" t="s">
        <v>838</v>
      </c>
      <c r="C694" s="3" t="s">
        <v>715</v>
      </c>
      <c r="D694" s="4">
        <v>666622</v>
      </c>
      <c r="E694" s="3">
        <v>1248</v>
      </c>
      <c r="F694" s="3">
        <v>4</v>
      </c>
      <c r="G694" s="3" t="s">
        <v>36</v>
      </c>
      <c r="H694" s="3" t="s">
        <v>27</v>
      </c>
      <c r="I694" s="3">
        <v>5</v>
      </c>
      <c r="J694" s="3" t="s">
        <v>12</v>
      </c>
      <c r="K694" s="18">
        <v>75</v>
      </c>
      <c r="L694" s="16">
        <v>190</v>
      </c>
      <c r="M694" s="6" t="str" cm="1">
        <f t="array" ref="M694">_xlfn.IFS(L694&lt;100,"Economy",L694&lt;200,"Standard",L694&lt;350,"Powerful",L694&lt;500,"High Performance",L694&lt;800,"Sports Performance",L694&gt;=800,"Super Performance")</f>
        <v>Standard</v>
      </c>
    </row>
    <row r="695" spans="1:13" x14ac:dyDescent="0.25">
      <c r="A695" s="5" t="s">
        <v>93</v>
      </c>
      <c r="B695" s="3" t="s">
        <v>838</v>
      </c>
      <c r="C695" s="3" t="s">
        <v>264</v>
      </c>
      <c r="D695" s="4">
        <v>732113</v>
      </c>
      <c r="E695" s="3">
        <v>1197</v>
      </c>
      <c r="F695" s="3">
        <v>4</v>
      </c>
      <c r="G695" s="3" t="s">
        <v>10</v>
      </c>
      <c r="H695" s="3" t="s">
        <v>27</v>
      </c>
      <c r="I695" s="3">
        <v>5</v>
      </c>
      <c r="J695" s="3" t="s">
        <v>12</v>
      </c>
      <c r="K695" s="18">
        <v>84.3</v>
      </c>
      <c r="L695" s="16">
        <v>115</v>
      </c>
      <c r="M695" s="6" t="str" cm="1">
        <f t="array" ref="M695">_xlfn.IFS(L695&lt;100,"Economy",L695&lt;200,"Standard",L695&lt;350,"Powerful",L695&lt;500,"High Performance",L695&lt;800,"Sports Performance",L695&gt;=800,"Super Performance")</f>
        <v>Standard</v>
      </c>
    </row>
    <row r="696" spans="1:13" x14ac:dyDescent="0.25">
      <c r="A696" s="5" t="s">
        <v>93</v>
      </c>
      <c r="B696" s="3" t="s">
        <v>838</v>
      </c>
      <c r="C696" s="3" t="s">
        <v>716</v>
      </c>
      <c r="D696" s="4">
        <v>757622</v>
      </c>
      <c r="E696" s="3">
        <v>1248</v>
      </c>
      <c r="F696" s="3">
        <v>4</v>
      </c>
      <c r="G696" s="3" t="s">
        <v>36</v>
      </c>
      <c r="H696" s="3" t="s">
        <v>27</v>
      </c>
      <c r="I696" s="3">
        <v>5</v>
      </c>
      <c r="J696" s="3" t="s">
        <v>12</v>
      </c>
      <c r="K696" s="18">
        <v>75</v>
      </c>
      <c r="L696" s="16">
        <v>190</v>
      </c>
      <c r="M696" s="6" t="str" cm="1">
        <f t="array" ref="M696">_xlfn.IFS(L696&lt;100,"Economy",L696&lt;200,"Standard",L696&lt;350,"Powerful",L696&lt;500,"High Performance",L696&lt;800,"Sports Performance",L696&gt;=800,"Super Performance")</f>
        <v>Standard</v>
      </c>
    </row>
    <row r="697" spans="1:13" x14ac:dyDescent="0.25">
      <c r="A697" s="5" t="s">
        <v>93</v>
      </c>
      <c r="B697" s="3" t="s">
        <v>838</v>
      </c>
      <c r="C697" s="3" t="s">
        <v>713</v>
      </c>
      <c r="D697" s="4">
        <v>720112</v>
      </c>
      <c r="E697" s="3">
        <v>1197</v>
      </c>
      <c r="F697" s="3">
        <v>4</v>
      </c>
      <c r="G697" s="3" t="s">
        <v>10</v>
      </c>
      <c r="H697" s="3" t="s">
        <v>27</v>
      </c>
      <c r="I697" s="3">
        <v>5</v>
      </c>
      <c r="J697" s="3" t="s">
        <v>30</v>
      </c>
      <c r="K697" s="18">
        <v>84.3</v>
      </c>
      <c r="L697" s="16">
        <v>115</v>
      </c>
      <c r="M697" s="6" t="str" cm="1">
        <f t="array" ref="M697">_xlfn.IFS(L697&lt;100,"Economy",L697&lt;200,"Standard",L697&lt;350,"Powerful",L697&lt;500,"High Performance",L697&lt;800,"Sports Performance",L697&gt;=800,"Super Performance")</f>
        <v>Standard</v>
      </c>
    </row>
    <row r="698" spans="1:13" x14ac:dyDescent="0.25">
      <c r="A698" s="5" t="s">
        <v>93</v>
      </c>
      <c r="B698" s="3" t="s">
        <v>838</v>
      </c>
      <c r="C698" s="3" t="s">
        <v>719</v>
      </c>
      <c r="D698" s="4">
        <v>863122</v>
      </c>
      <c r="E698" s="3">
        <v>1248</v>
      </c>
      <c r="F698" s="3">
        <v>4</v>
      </c>
      <c r="G698" s="3" t="s">
        <v>36</v>
      </c>
      <c r="H698" s="3" t="s">
        <v>27</v>
      </c>
      <c r="I698" s="3">
        <v>5</v>
      </c>
      <c r="J698" s="3" t="s">
        <v>30</v>
      </c>
      <c r="K698" s="18">
        <v>75</v>
      </c>
      <c r="L698" s="16">
        <v>190</v>
      </c>
      <c r="M698" s="6" t="str" cm="1">
        <f t="array" ref="M698">_xlfn.IFS(L698&lt;100,"Economy",L698&lt;200,"Standard",L698&lt;350,"Powerful",L698&lt;500,"High Performance",L698&lt;800,"Sports Performance",L698&gt;=800,"Super Performance")</f>
        <v>Standard</v>
      </c>
    </row>
    <row r="699" spans="1:13" x14ac:dyDescent="0.25">
      <c r="A699" s="5" t="s">
        <v>93</v>
      </c>
      <c r="B699" s="3" t="s">
        <v>838</v>
      </c>
      <c r="C699" s="3" t="s">
        <v>718</v>
      </c>
      <c r="D699" s="4">
        <v>816622</v>
      </c>
      <c r="E699" s="3">
        <v>1248</v>
      </c>
      <c r="F699" s="3">
        <v>4</v>
      </c>
      <c r="G699" s="3" t="s">
        <v>36</v>
      </c>
      <c r="H699" s="3" t="s">
        <v>27</v>
      </c>
      <c r="I699" s="3">
        <v>5</v>
      </c>
      <c r="J699" s="3" t="s">
        <v>12</v>
      </c>
      <c r="K699" s="18">
        <v>75</v>
      </c>
      <c r="L699" s="16">
        <v>190</v>
      </c>
      <c r="M699" s="6" t="str" cm="1">
        <f t="array" ref="M699">_xlfn.IFS(L699&lt;100,"Economy",L699&lt;200,"Standard",L699&lt;350,"Powerful",L699&lt;500,"High Performance",L699&lt;800,"Sports Performance",L699&gt;=800,"Super Performance")</f>
        <v>Standard</v>
      </c>
    </row>
    <row r="700" spans="1:13" x14ac:dyDescent="0.25">
      <c r="A700" s="5" t="s">
        <v>93</v>
      </c>
      <c r="B700" s="3" t="s">
        <v>838</v>
      </c>
      <c r="C700" s="3" t="s">
        <v>266</v>
      </c>
      <c r="D700" s="4">
        <v>821613</v>
      </c>
      <c r="E700" s="3">
        <v>1197</v>
      </c>
      <c r="F700" s="3">
        <v>4</v>
      </c>
      <c r="G700" s="3" t="s">
        <v>10</v>
      </c>
      <c r="H700" s="3" t="s">
        <v>27</v>
      </c>
      <c r="I700" s="3">
        <v>5</v>
      </c>
      <c r="J700" s="3" t="s">
        <v>12</v>
      </c>
      <c r="K700" s="18">
        <v>84.3</v>
      </c>
      <c r="L700" s="16">
        <v>115</v>
      </c>
      <c r="M700" s="6" t="str" cm="1">
        <f t="array" ref="M700">_xlfn.IFS(L700&lt;100,"Economy",L700&lt;200,"Standard",L700&lt;350,"Powerful",L700&lt;500,"High Performance",L700&lt;800,"Sports Performance",L700&gt;=800,"Super Performance")</f>
        <v>Standard</v>
      </c>
    </row>
    <row r="701" spans="1:13" x14ac:dyDescent="0.25">
      <c r="A701" s="5" t="s">
        <v>93</v>
      </c>
      <c r="B701" s="3" t="s">
        <v>838</v>
      </c>
      <c r="C701" s="3" t="s">
        <v>267</v>
      </c>
      <c r="D701" s="4">
        <v>779113</v>
      </c>
      <c r="E701" s="3">
        <v>1197</v>
      </c>
      <c r="F701" s="3">
        <v>4</v>
      </c>
      <c r="G701" s="3" t="s">
        <v>10</v>
      </c>
      <c r="H701" s="3" t="s">
        <v>27</v>
      </c>
      <c r="I701" s="3">
        <v>5</v>
      </c>
      <c r="J701" s="3" t="s">
        <v>30</v>
      </c>
      <c r="K701" s="18">
        <v>84.3</v>
      </c>
      <c r="L701" s="16">
        <v>115</v>
      </c>
      <c r="M701" s="6" t="str" cm="1">
        <f t="array" ref="M701">_xlfn.IFS(L701&lt;100,"Economy",L701&lt;200,"Standard",L701&lt;350,"Powerful",L701&lt;500,"High Performance",L701&lt;800,"Sports Performance",L701&gt;=800,"Super Performance")</f>
        <v>Standard</v>
      </c>
    </row>
    <row r="702" spans="1:13" x14ac:dyDescent="0.25">
      <c r="A702" s="5" t="s">
        <v>93</v>
      </c>
      <c r="B702" s="3" t="s">
        <v>838</v>
      </c>
      <c r="C702" s="3" t="s">
        <v>721</v>
      </c>
      <c r="D702" s="4">
        <v>868613</v>
      </c>
      <c r="E702" s="3">
        <v>1197</v>
      </c>
      <c r="F702" s="3">
        <v>4</v>
      </c>
      <c r="G702" s="3" t="s">
        <v>10</v>
      </c>
      <c r="H702" s="3" t="s">
        <v>27</v>
      </c>
      <c r="I702" s="3">
        <v>5</v>
      </c>
      <c r="J702" s="3" t="s">
        <v>30</v>
      </c>
      <c r="K702" s="18">
        <v>84.3</v>
      </c>
      <c r="L702" s="16">
        <v>115</v>
      </c>
      <c r="M702" s="6" t="str" cm="1">
        <f t="array" ref="M702">_xlfn.IFS(L702&lt;100,"Economy",L702&lt;200,"Standard",L702&lt;350,"Powerful",L702&lt;500,"High Performance",L702&lt;800,"Sports Performance",L702&gt;=800,"Super Performance")</f>
        <v>Standard</v>
      </c>
    </row>
    <row r="703" spans="1:13" x14ac:dyDescent="0.25">
      <c r="A703" s="5" t="s">
        <v>93</v>
      </c>
      <c r="B703" s="3" t="s">
        <v>838</v>
      </c>
      <c r="C703" s="3" t="s">
        <v>720</v>
      </c>
      <c r="D703" s="4">
        <v>906122</v>
      </c>
      <c r="E703" s="3">
        <v>1248</v>
      </c>
      <c r="F703" s="3">
        <v>4</v>
      </c>
      <c r="G703" s="3" t="s">
        <v>36</v>
      </c>
      <c r="H703" s="3" t="s">
        <v>27</v>
      </c>
      <c r="I703" s="3">
        <v>5</v>
      </c>
      <c r="J703" s="3" t="s">
        <v>12</v>
      </c>
      <c r="K703" s="18">
        <v>75</v>
      </c>
      <c r="L703" s="16">
        <v>190</v>
      </c>
      <c r="M703" s="6" t="str" cm="1">
        <f t="array" ref="M703">_xlfn.IFS(L703&lt;100,"Economy",L703&lt;200,"Standard",L703&lt;350,"Powerful",L703&lt;500,"High Performance",L703&lt;800,"Sports Performance",L703&gt;=800,"Super Performance")</f>
        <v>Standard</v>
      </c>
    </row>
    <row r="704" spans="1:13" x14ac:dyDescent="0.25">
      <c r="A704" s="5" t="s">
        <v>93</v>
      </c>
      <c r="B704" s="3" t="s">
        <v>838</v>
      </c>
      <c r="C704" s="3" t="s">
        <v>717</v>
      </c>
      <c r="D704" s="4">
        <v>804622</v>
      </c>
      <c r="E704" s="3">
        <v>1248</v>
      </c>
      <c r="F704" s="3">
        <v>4</v>
      </c>
      <c r="G704" s="3" t="s">
        <v>36</v>
      </c>
      <c r="H704" s="3" t="s">
        <v>27</v>
      </c>
      <c r="I704" s="3">
        <v>5</v>
      </c>
      <c r="J704" s="3" t="s">
        <v>30</v>
      </c>
      <c r="K704" s="18">
        <v>75</v>
      </c>
      <c r="L704" s="16">
        <v>190</v>
      </c>
      <c r="M704" s="6" t="str" cm="1">
        <f t="array" ref="M704">_xlfn.IFS(L704&lt;100,"Economy",L704&lt;200,"Standard",L704&lt;350,"Powerful",L704&lt;500,"High Performance",L704&lt;800,"Sports Performance",L704&gt;=800,"Super Performance")</f>
        <v>Standard</v>
      </c>
    </row>
    <row r="705" spans="1:13" x14ac:dyDescent="0.25">
      <c r="A705" s="5" t="s">
        <v>93</v>
      </c>
      <c r="B705" s="3" t="s">
        <v>838</v>
      </c>
      <c r="C705" s="3" t="s">
        <v>722</v>
      </c>
      <c r="D705" s="4">
        <v>952622</v>
      </c>
      <c r="E705" s="3">
        <v>1248</v>
      </c>
      <c r="F705" s="3">
        <v>4</v>
      </c>
      <c r="G705" s="3" t="s">
        <v>36</v>
      </c>
      <c r="H705" s="3" t="s">
        <v>27</v>
      </c>
      <c r="I705" s="3">
        <v>5</v>
      </c>
      <c r="J705" s="3" t="s">
        <v>30</v>
      </c>
      <c r="K705" s="18">
        <v>75</v>
      </c>
      <c r="L705" s="16">
        <v>190</v>
      </c>
      <c r="M705" s="6" t="str" cm="1">
        <f t="array" ref="M705">_xlfn.IFS(L705&lt;100,"Economy",L705&lt;200,"Standard",L705&lt;350,"Powerful",L705&lt;500,"High Performance",L705&lt;800,"Sports Performance",L705&gt;=800,"Super Performance")</f>
        <v>Standard</v>
      </c>
    </row>
    <row r="706" spans="1:13" x14ac:dyDescent="0.25">
      <c r="A706" s="5" t="s">
        <v>160</v>
      </c>
      <c r="B706" s="3" t="s">
        <v>839</v>
      </c>
      <c r="C706" s="3" t="s">
        <v>840</v>
      </c>
      <c r="D706" s="4">
        <v>594000</v>
      </c>
      <c r="E706" s="3">
        <v>999</v>
      </c>
      <c r="F706" s="3">
        <v>3</v>
      </c>
      <c r="G706" s="3" t="s">
        <v>10</v>
      </c>
      <c r="H706" s="3" t="s">
        <v>27</v>
      </c>
      <c r="I706" s="3">
        <v>5</v>
      </c>
      <c r="J706" s="3" t="s">
        <v>12</v>
      </c>
      <c r="K706" s="18">
        <v>76</v>
      </c>
      <c r="L706" s="16">
        <v>95</v>
      </c>
      <c r="M706" s="6" t="str" cm="1">
        <f t="array" ref="M706">_xlfn.IFS(L706&lt;100,"Economy",L706&lt;200,"Standard",L706&lt;350,"Powerful",L706&lt;500,"High Performance",L706&lt;800,"Sports Performance",L706&gt;=800,"Super Performance")</f>
        <v>Economy</v>
      </c>
    </row>
    <row r="707" spans="1:13" x14ac:dyDescent="0.25">
      <c r="A707" s="5" t="s">
        <v>160</v>
      </c>
      <c r="B707" s="3" t="s">
        <v>839</v>
      </c>
      <c r="C707" s="3" t="s">
        <v>841</v>
      </c>
      <c r="D707" s="4">
        <v>665000</v>
      </c>
      <c r="E707" s="3">
        <v>999</v>
      </c>
      <c r="F707" s="3">
        <v>3</v>
      </c>
      <c r="G707" s="3" t="s">
        <v>10</v>
      </c>
      <c r="H707" s="3" t="s">
        <v>27</v>
      </c>
      <c r="I707" s="3">
        <v>5</v>
      </c>
      <c r="J707" s="3" t="s">
        <v>12</v>
      </c>
      <c r="K707" s="18">
        <v>76</v>
      </c>
      <c r="L707" s="16">
        <v>95</v>
      </c>
      <c r="M707" s="6" t="str" cm="1">
        <f t="array" ref="M707">_xlfn.IFS(L707&lt;100,"Economy",L707&lt;200,"Standard",L707&lt;350,"Powerful",L707&lt;500,"High Performance",L707&lt;800,"Sports Performance",L707&gt;=800,"Super Performance")</f>
        <v>Economy</v>
      </c>
    </row>
    <row r="708" spans="1:13" x14ac:dyDescent="0.25">
      <c r="A708" s="5" t="s">
        <v>160</v>
      </c>
      <c r="B708" s="3" t="s">
        <v>839</v>
      </c>
      <c r="C708" s="3" t="s">
        <v>842</v>
      </c>
      <c r="D708" s="4">
        <v>799900</v>
      </c>
      <c r="E708" s="3">
        <v>999</v>
      </c>
      <c r="F708" s="3">
        <v>3</v>
      </c>
      <c r="G708" s="3" t="s">
        <v>10</v>
      </c>
      <c r="H708" s="3" t="s">
        <v>27</v>
      </c>
      <c r="I708" s="3">
        <v>5</v>
      </c>
      <c r="J708" s="3" t="s">
        <v>12</v>
      </c>
      <c r="K708" s="18">
        <v>76</v>
      </c>
      <c r="L708" s="16">
        <v>95</v>
      </c>
      <c r="M708" s="6" t="str" cm="1">
        <f t="array" ref="M708">_xlfn.IFS(L708&lt;100,"Economy",L708&lt;200,"Standard",L708&lt;350,"Powerful",L708&lt;500,"High Performance",L708&lt;800,"Sports Performance",L708&gt;=800,"Super Performance")</f>
        <v>Economy</v>
      </c>
    </row>
    <row r="709" spans="1:13" x14ac:dyDescent="0.25">
      <c r="A709" s="5" t="s">
        <v>22</v>
      </c>
      <c r="B709" s="3" t="s">
        <v>843</v>
      </c>
      <c r="C709" s="3" t="s">
        <v>728</v>
      </c>
      <c r="D709" s="4">
        <v>836320</v>
      </c>
      <c r="E709" s="3">
        <v>1248</v>
      </c>
      <c r="F709" s="3">
        <v>4</v>
      </c>
      <c r="G709" s="3" t="s">
        <v>36</v>
      </c>
      <c r="H709" s="3" t="s">
        <v>27</v>
      </c>
      <c r="I709" s="3">
        <v>5</v>
      </c>
      <c r="J709" s="3" t="s">
        <v>17</v>
      </c>
      <c r="K709" s="18">
        <v>75</v>
      </c>
      <c r="L709" s="16">
        <v>190</v>
      </c>
      <c r="M709" s="6" t="str" cm="1">
        <f t="array" ref="M709">_xlfn.IFS(L709&lt;100,"Economy",L709&lt;200,"Standard",L709&lt;350,"Powerful",L709&lt;500,"High Performance",L709&lt;800,"Sports Performance",L709&gt;=800,"Super Performance")</f>
        <v>Standard</v>
      </c>
    </row>
    <row r="710" spans="1:13" x14ac:dyDescent="0.25">
      <c r="A710" s="5" t="s">
        <v>131</v>
      </c>
      <c r="B710" s="3" t="s">
        <v>844</v>
      </c>
      <c r="C710" s="3" t="s">
        <v>845</v>
      </c>
      <c r="D710" s="4">
        <v>763000</v>
      </c>
      <c r="E710" s="3">
        <v>1199</v>
      </c>
      <c r="F710" s="3">
        <v>4</v>
      </c>
      <c r="G710" s="3" t="s">
        <v>10</v>
      </c>
      <c r="H710" s="3" t="s">
        <v>27</v>
      </c>
      <c r="I710" s="3">
        <v>5</v>
      </c>
      <c r="J710" s="3" t="s">
        <v>30</v>
      </c>
      <c r="K710" s="18">
        <v>90</v>
      </c>
      <c r="L710" s="16">
        <v>110</v>
      </c>
      <c r="M710" s="6" t="str" cm="1">
        <f t="array" ref="M710">_xlfn.IFS(L710&lt;100,"Economy",L710&lt;200,"Standard",L710&lt;350,"Powerful",L710&lt;500,"High Performance",L710&lt;800,"Sports Performance",L710&gt;=800,"Super Performance")</f>
        <v>Standard</v>
      </c>
    </row>
    <row r="711" spans="1:13" x14ac:dyDescent="0.25">
      <c r="A711" s="5" t="s">
        <v>131</v>
      </c>
      <c r="B711" s="3" t="s">
        <v>844</v>
      </c>
      <c r="C711" s="3" t="s">
        <v>846</v>
      </c>
      <c r="D711" s="4">
        <v>705000</v>
      </c>
      <c r="E711" s="3">
        <v>1498</v>
      </c>
      <c r="F711" s="3">
        <v>4</v>
      </c>
      <c r="G711" s="3" t="s">
        <v>36</v>
      </c>
      <c r="H711" s="3" t="s">
        <v>27</v>
      </c>
      <c r="I711" s="3">
        <v>5</v>
      </c>
      <c r="J711" s="3" t="s">
        <v>12</v>
      </c>
      <c r="K711" s="18">
        <v>100</v>
      </c>
      <c r="L711" s="16">
        <v>200</v>
      </c>
      <c r="M711" s="6" t="str" cm="1">
        <f t="array" ref="M711">_xlfn.IFS(L711&lt;100,"Economy",L711&lt;200,"Standard",L711&lt;350,"Powerful",L711&lt;500,"High Performance",L711&lt;800,"Sports Performance",L711&gt;=800,"Super Performance")</f>
        <v>Powerful</v>
      </c>
    </row>
    <row r="712" spans="1:13" x14ac:dyDescent="0.25">
      <c r="A712" s="5" t="s">
        <v>131</v>
      </c>
      <c r="B712" s="3" t="s">
        <v>844</v>
      </c>
      <c r="C712" s="3" t="s">
        <v>847</v>
      </c>
      <c r="D712" s="4">
        <v>593000</v>
      </c>
      <c r="E712" s="3">
        <v>1199</v>
      </c>
      <c r="F712" s="3">
        <v>4</v>
      </c>
      <c r="G712" s="3" t="s">
        <v>10</v>
      </c>
      <c r="H712" s="3" t="s">
        <v>27</v>
      </c>
      <c r="I712" s="3">
        <v>5</v>
      </c>
      <c r="J712" s="3" t="s">
        <v>12</v>
      </c>
      <c r="K712" s="18">
        <v>90</v>
      </c>
      <c r="L712" s="16">
        <v>110</v>
      </c>
      <c r="M712" s="6" t="str" cm="1">
        <f t="array" ref="M712">_xlfn.IFS(L712&lt;100,"Economy",L712&lt;200,"Standard",L712&lt;350,"Powerful",L712&lt;500,"High Performance",L712&lt;800,"Sports Performance",L712&gt;=800,"Super Performance")</f>
        <v>Standard</v>
      </c>
    </row>
    <row r="713" spans="1:13" x14ac:dyDescent="0.25">
      <c r="A713" s="5" t="s">
        <v>131</v>
      </c>
      <c r="B713" s="3" t="s">
        <v>844</v>
      </c>
      <c r="C713" s="3" t="s">
        <v>848</v>
      </c>
      <c r="D713" s="4">
        <v>865000</v>
      </c>
      <c r="E713" s="3">
        <v>1498</v>
      </c>
      <c r="F713" s="3">
        <v>4</v>
      </c>
      <c r="G713" s="3" t="s">
        <v>36</v>
      </c>
      <c r="H713" s="3" t="s">
        <v>27</v>
      </c>
      <c r="I713" s="3">
        <v>5</v>
      </c>
      <c r="J713" s="3" t="s">
        <v>30</v>
      </c>
      <c r="K713" s="18">
        <v>80</v>
      </c>
      <c r="L713" s="16">
        <v>160</v>
      </c>
      <c r="M713" s="6" t="str" cm="1">
        <f t="array" ref="M713">_xlfn.IFS(L713&lt;100,"Economy",L713&lt;200,"Standard",L713&lt;350,"Powerful",L713&lt;500,"High Performance",L713&lt;800,"Sports Performance",L713&gt;=800,"Super Performance")</f>
        <v>Standard</v>
      </c>
    </row>
    <row r="714" spans="1:13" x14ac:dyDescent="0.25">
      <c r="A714" s="5" t="s">
        <v>131</v>
      </c>
      <c r="B714" s="3" t="s">
        <v>844</v>
      </c>
      <c r="C714" s="3" t="s">
        <v>849</v>
      </c>
      <c r="D714" s="4">
        <v>823000</v>
      </c>
      <c r="E714" s="3">
        <v>1199</v>
      </c>
      <c r="F714" s="3">
        <v>4</v>
      </c>
      <c r="G714" s="3" t="s">
        <v>10</v>
      </c>
      <c r="H714" s="3" t="s">
        <v>27</v>
      </c>
      <c r="I714" s="3">
        <v>5</v>
      </c>
      <c r="J714" s="3" t="s">
        <v>30</v>
      </c>
      <c r="K714" s="18">
        <v>90</v>
      </c>
      <c r="L714" s="16">
        <v>110</v>
      </c>
      <c r="M714" s="6" t="str" cm="1">
        <f t="array" ref="M714">_xlfn.IFS(L714&lt;100,"Economy",L714&lt;200,"Standard",L714&lt;350,"Powerful",L714&lt;500,"High Performance",L714&lt;800,"Sports Performance",L714&gt;=800,"Super Performance")</f>
        <v>Standard</v>
      </c>
    </row>
    <row r="715" spans="1:13" x14ac:dyDescent="0.25">
      <c r="A715" s="5" t="s">
        <v>131</v>
      </c>
      <c r="B715" s="3" t="s">
        <v>844</v>
      </c>
      <c r="C715" s="3" t="s">
        <v>850</v>
      </c>
      <c r="D715" s="4">
        <v>925000</v>
      </c>
      <c r="E715" s="3">
        <v>1498</v>
      </c>
      <c r="F715" s="3">
        <v>4</v>
      </c>
      <c r="G715" s="3" t="s">
        <v>36</v>
      </c>
      <c r="H715" s="3" t="s">
        <v>27</v>
      </c>
      <c r="I715" s="3">
        <v>5</v>
      </c>
      <c r="J715" s="3" t="s">
        <v>30</v>
      </c>
      <c r="K715" s="18">
        <v>80</v>
      </c>
      <c r="L715" s="16">
        <v>160</v>
      </c>
      <c r="M715" s="6" t="str" cm="1">
        <f t="array" ref="M715">_xlfn.IFS(L715&lt;100,"Economy",L715&lt;200,"Standard",L715&lt;350,"Powerful",L715&lt;500,"High Performance",L715&lt;800,"Sports Performance",L715&gt;=800,"Super Performance")</f>
        <v>Standard</v>
      </c>
    </row>
    <row r="716" spans="1:13" x14ac:dyDescent="0.25">
      <c r="A716" s="5" t="s">
        <v>131</v>
      </c>
      <c r="B716" s="3" t="s">
        <v>844</v>
      </c>
      <c r="C716" s="3" t="s">
        <v>851</v>
      </c>
      <c r="D716" s="4">
        <v>785000</v>
      </c>
      <c r="E716" s="3">
        <v>1498</v>
      </c>
      <c r="F716" s="3">
        <v>4</v>
      </c>
      <c r="G716" s="3" t="s">
        <v>36</v>
      </c>
      <c r="H716" s="3" t="s">
        <v>27</v>
      </c>
      <c r="I716" s="3">
        <v>5</v>
      </c>
      <c r="J716" s="3" t="s">
        <v>12</v>
      </c>
      <c r="K716" s="18">
        <v>100</v>
      </c>
      <c r="L716" s="16">
        <v>200</v>
      </c>
      <c r="M716" s="6" t="str" cm="1">
        <f t="array" ref="M716">_xlfn.IFS(L716&lt;100,"Economy",L716&lt;200,"Standard",L716&lt;350,"Powerful",L716&lt;500,"High Performance",L716&lt;800,"Sports Performance",L716&gt;=800,"Super Performance")</f>
        <v>Powerful</v>
      </c>
    </row>
    <row r="717" spans="1:13" x14ac:dyDescent="0.25">
      <c r="A717" s="5" t="s">
        <v>131</v>
      </c>
      <c r="B717" s="3" t="s">
        <v>844</v>
      </c>
      <c r="C717" s="3" t="s">
        <v>852</v>
      </c>
      <c r="D717" s="4">
        <v>893000</v>
      </c>
      <c r="E717" s="3">
        <v>1498</v>
      </c>
      <c r="F717" s="3">
        <v>4</v>
      </c>
      <c r="G717" s="3" t="s">
        <v>36</v>
      </c>
      <c r="H717" s="3" t="s">
        <v>27</v>
      </c>
      <c r="I717" s="3">
        <v>5</v>
      </c>
      <c r="J717" s="3" t="s">
        <v>12</v>
      </c>
      <c r="K717" s="18">
        <v>100</v>
      </c>
      <c r="L717" s="16">
        <v>200</v>
      </c>
      <c r="M717" s="6" t="str" cm="1">
        <f t="array" ref="M717">_xlfn.IFS(L717&lt;100,"Economy",L717&lt;200,"Standard",L717&lt;350,"Powerful",L717&lt;500,"High Performance",L717&lt;800,"Sports Performance",L717&gt;=800,"Super Performance")</f>
        <v>Powerful</v>
      </c>
    </row>
    <row r="718" spans="1:13" x14ac:dyDescent="0.25">
      <c r="A718" s="5" t="s">
        <v>131</v>
      </c>
      <c r="B718" s="3" t="s">
        <v>844</v>
      </c>
      <c r="C718" s="3" t="s">
        <v>853</v>
      </c>
      <c r="D718" s="4">
        <v>845000</v>
      </c>
      <c r="E718" s="3">
        <v>1498</v>
      </c>
      <c r="F718" s="3">
        <v>4</v>
      </c>
      <c r="G718" s="3" t="s">
        <v>36</v>
      </c>
      <c r="H718" s="3" t="s">
        <v>27</v>
      </c>
      <c r="I718" s="3">
        <v>5</v>
      </c>
      <c r="J718" s="3" t="s">
        <v>12</v>
      </c>
      <c r="K718" s="18">
        <v>100</v>
      </c>
      <c r="L718" s="16">
        <v>200</v>
      </c>
      <c r="M718" s="6" t="str" cm="1">
        <f t="array" ref="M718">_xlfn.IFS(L718&lt;100,"Economy",L718&lt;200,"Standard",L718&lt;350,"Powerful",L718&lt;500,"High Performance",L718&lt;800,"Sports Performance",L718&gt;=800,"Super Performance")</f>
        <v>Powerful</v>
      </c>
    </row>
    <row r="719" spans="1:13" x14ac:dyDescent="0.25">
      <c r="A719" s="5" t="s">
        <v>131</v>
      </c>
      <c r="B719" s="3" t="s">
        <v>844</v>
      </c>
      <c r="C719" s="3" t="s">
        <v>854</v>
      </c>
      <c r="D719" s="4">
        <v>781000</v>
      </c>
      <c r="E719" s="3">
        <v>1199</v>
      </c>
      <c r="F719" s="3">
        <v>4</v>
      </c>
      <c r="G719" s="3" t="s">
        <v>10</v>
      </c>
      <c r="H719" s="3" t="s">
        <v>27</v>
      </c>
      <c r="I719" s="3">
        <v>5</v>
      </c>
      <c r="J719" s="3" t="s">
        <v>12</v>
      </c>
      <c r="K719" s="18">
        <v>90</v>
      </c>
      <c r="L719" s="16">
        <v>110</v>
      </c>
      <c r="M719" s="6" t="str" cm="1">
        <f t="array" ref="M719">_xlfn.IFS(L719&lt;100,"Economy",L719&lt;200,"Standard",L719&lt;350,"Powerful",L719&lt;500,"High Performance",L719&lt;800,"Sports Performance",L719&gt;=800,"Super Performance")</f>
        <v>Standard</v>
      </c>
    </row>
    <row r="720" spans="1:13" x14ac:dyDescent="0.25">
      <c r="A720" s="5" t="s">
        <v>131</v>
      </c>
      <c r="B720" s="3" t="s">
        <v>844</v>
      </c>
      <c r="C720" s="3" t="s">
        <v>855</v>
      </c>
      <c r="D720" s="4">
        <v>733000</v>
      </c>
      <c r="E720" s="3">
        <v>1199</v>
      </c>
      <c r="F720" s="3">
        <v>4</v>
      </c>
      <c r="G720" s="3" t="s">
        <v>10</v>
      </c>
      <c r="H720" s="3" t="s">
        <v>27</v>
      </c>
      <c r="I720" s="3">
        <v>5</v>
      </c>
      <c r="J720" s="3" t="s">
        <v>12</v>
      </c>
      <c r="K720" s="18">
        <v>90</v>
      </c>
      <c r="L720" s="16">
        <v>110</v>
      </c>
      <c r="M720" s="6" t="str" cm="1">
        <f t="array" ref="M720">_xlfn.IFS(L720&lt;100,"Economy",L720&lt;200,"Standard",L720&lt;350,"Powerful",L720&lt;500,"High Performance",L720&lt;800,"Sports Performance",L720&gt;=800,"Super Performance")</f>
        <v>Standard</v>
      </c>
    </row>
    <row r="721" spans="1:13" x14ac:dyDescent="0.25">
      <c r="A721" s="5" t="s">
        <v>131</v>
      </c>
      <c r="B721" s="3" t="s">
        <v>844</v>
      </c>
      <c r="C721" s="3" t="s">
        <v>856</v>
      </c>
      <c r="D721" s="4">
        <v>673000</v>
      </c>
      <c r="E721" s="3">
        <v>1198</v>
      </c>
      <c r="F721" s="3">
        <v>4</v>
      </c>
      <c r="G721" s="3" t="s">
        <v>10</v>
      </c>
      <c r="H721" s="3" t="s">
        <v>27</v>
      </c>
      <c r="I721" s="3">
        <v>5</v>
      </c>
      <c r="J721" s="3" t="s">
        <v>12</v>
      </c>
      <c r="K721" s="18">
        <v>90</v>
      </c>
      <c r="L721" s="16">
        <v>110</v>
      </c>
      <c r="M721" s="6" t="str" cm="1">
        <f t="array" ref="M721">_xlfn.IFS(L721&lt;100,"Economy",L721&lt;200,"Standard",L721&lt;350,"Powerful",L721&lt;500,"High Performance",L721&lt;800,"Sports Performance",L721&gt;=800,"Super Performance")</f>
        <v>Standard</v>
      </c>
    </row>
    <row r="722" spans="1:13" x14ac:dyDescent="0.25">
      <c r="A722" s="5" t="s">
        <v>131</v>
      </c>
      <c r="B722" s="3" t="s">
        <v>844</v>
      </c>
      <c r="C722" s="3" t="s">
        <v>397</v>
      </c>
      <c r="D722" s="4">
        <v>906000</v>
      </c>
      <c r="E722" s="3">
        <v>1498</v>
      </c>
      <c r="F722" s="3">
        <v>4</v>
      </c>
      <c r="G722" s="3" t="s">
        <v>36</v>
      </c>
      <c r="H722" s="3" t="s">
        <v>27</v>
      </c>
      <c r="I722" s="3">
        <v>5</v>
      </c>
      <c r="J722" s="3" t="s">
        <v>12</v>
      </c>
      <c r="K722" s="18">
        <v>100</v>
      </c>
      <c r="L722" s="16">
        <v>200</v>
      </c>
      <c r="M722" s="6" t="str" cm="1">
        <f t="array" ref="M722">_xlfn.IFS(L722&lt;100,"Economy",L722&lt;200,"Standard",L722&lt;350,"Powerful",L722&lt;500,"High Performance",L722&lt;800,"Sports Performance",L722&gt;=800,"Super Performance")</f>
        <v>Powerful</v>
      </c>
    </row>
    <row r="723" spans="1:13" x14ac:dyDescent="0.25">
      <c r="A723" s="5" t="s">
        <v>131</v>
      </c>
      <c r="B723" s="3" t="s">
        <v>844</v>
      </c>
      <c r="C723" s="3" t="s">
        <v>501</v>
      </c>
      <c r="D723" s="4">
        <v>794000</v>
      </c>
      <c r="E723" s="3">
        <v>1199</v>
      </c>
      <c r="F723" s="3">
        <v>4</v>
      </c>
      <c r="G723" s="3" t="s">
        <v>10</v>
      </c>
      <c r="H723" s="3" t="s">
        <v>27</v>
      </c>
      <c r="I723" s="3">
        <v>5</v>
      </c>
      <c r="J723" s="3" t="s">
        <v>12</v>
      </c>
      <c r="K723" s="18">
        <v>90</v>
      </c>
      <c r="L723" s="16">
        <v>110</v>
      </c>
      <c r="M723" s="6" t="str" cm="1">
        <f t="array" ref="M723">_xlfn.IFS(L723&lt;100,"Economy",L723&lt;200,"Standard",L723&lt;350,"Powerful",L723&lt;500,"High Performance",L723&lt;800,"Sports Performance",L723&gt;=800,"Super Performance")</f>
        <v>Standard</v>
      </c>
    </row>
    <row r="724" spans="1:13" x14ac:dyDescent="0.25">
      <c r="A724" s="5" t="s">
        <v>131</v>
      </c>
      <c r="B724" s="3" t="s">
        <v>844</v>
      </c>
      <c r="C724" s="3" t="s">
        <v>857</v>
      </c>
      <c r="D724" s="4">
        <v>966000</v>
      </c>
      <c r="E724" s="3">
        <v>1498</v>
      </c>
      <c r="F724" s="3">
        <v>4</v>
      </c>
      <c r="G724" s="3" t="s">
        <v>36</v>
      </c>
      <c r="H724" s="3" t="s">
        <v>27</v>
      </c>
      <c r="I724" s="3">
        <v>5</v>
      </c>
      <c r="J724" s="3" t="s">
        <v>30</v>
      </c>
      <c r="K724" s="18">
        <v>100</v>
      </c>
      <c r="L724" s="16">
        <v>200</v>
      </c>
      <c r="M724" s="6" t="str" cm="1">
        <f t="array" ref="M724">_xlfn.IFS(L724&lt;100,"Economy",L724&lt;200,"Standard",L724&lt;350,"Powerful",L724&lt;500,"High Performance",L724&lt;800,"Sports Performance",L724&gt;=800,"Super Performance")</f>
        <v>Powerful</v>
      </c>
    </row>
    <row r="725" spans="1:13" x14ac:dyDescent="0.25">
      <c r="A725" s="5" t="s">
        <v>131</v>
      </c>
      <c r="B725" s="3" t="s">
        <v>844</v>
      </c>
      <c r="C725" s="3" t="s">
        <v>858</v>
      </c>
      <c r="D725" s="4">
        <v>864000</v>
      </c>
      <c r="E725" s="3">
        <v>1199</v>
      </c>
      <c r="F725" s="3">
        <v>4</v>
      </c>
      <c r="G725" s="3" t="s">
        <v>10</v>
      </c>
      <c r="H725" s="3" t="s">
        <v>27</v>
      </c>
      <c r="I725" s="3">
        <v>5</v>
      </c>
      <c r="J725" s="3" t="s">
        <v>30</v>
      </c>
      <c r="K725" s="18">
        <v>90</v>
      </c>
      <c r="L725" s="16">
        <v>110</v>
      </c>
      <c r="M725" s="6" t="str" cm="1">
        <f t="array" ref="M725">_xlfn.IFS(L725&lt;100,"Economy",L725&lt;200,"Standard",L725&lt;350,"Powerful",L725&lt;500,"High Performance",L725&lt;800,"Sports Performance",L725&gt;=800,"Super Performance")</f>
        <v>Standard</v>
      </c>
    </row>
    <row r="726" spans="1:13" x14ac:dyDescent="0.25">
      <c r="A726" s="5" t="s">
        <v>131</v>
      </c>
      <c r="B726" s="3" t="s">
        <v>844</v>
      </c>
      <c r="C726" s="3" t="s">
        <v>859</v>
      </c>
      <c r="D726" s="4">
        <v>979300</v>
      </c>
      <c r="E726" s="3">
        <v>1498</v>
      </c>
      <c r="F726" s="3">
        <v>4</v>
      </c>
      <c r="G726" s="3" t="s">
        <v>36</v>
      </c>
      <c r="H726" s="3" t="s">
        <v>27</v>
      </c>
      <c r="I726" s="3">
        <v>5</v>
      </c>
      <c r="J726" s="3" t="s">
        <v>30</v>
      </c>
      <c r="K726" s="18">
        <v>100</v>
      </c>
      <c r="L726" s="16">
        <v>200</v>
      </c>
      <c r="M726" s="6" t="str" cm="1">
        <f t="array" ref="M726">_xlfn.IFS(L726&lt;100,"Economy",L726&lt;200,"Standard",L726&lt;350,"Powerful",L726&lt;500,"High Performance",L726&lt;800,"Sports Performance",L726&gt;=800,"Super Performance")</f>
        <v>Powerful</v>
      </c>
    </row>
    <row r="727" spans="1:13" x14ac:dyDescent="0.25">
      <c r="A727" s="5" t="s">
        <v>131</v>
      </c>
      <c r="B727" s="3" t="s">
        <v>844</v>
      </c>
      <c r="C727" s="3" t="s">
        <v>860</v>
      </c>
      <c r="D727" s="4">
        <v>877300</v>
      </c>
      <c r="E727" s="3">
        <v>1199</v>
      </c>
      <c r="F727" s="3">
        <v>4</v>
      </c>
      <c r="G727" s="3" t="s">
        <v>10</v>
      </c>
      <c r="H727" s="3" t="s">
        <v>27</v>
      </c>
      <c r="I727" s="3">
        <v>5</v>
      </c>
      <c r="J727" s="3" t="s">
        <v>30</v>
      </c>
      <c r="K727" s="18">
        <v>90</v>
      </c>
      <c r="L727" s="16">
        <v>110</v>
      </c>
      <c r="M727" s="6" t="str" cm="1">
        <f t="array" ref="M727">_xlfn.IFS(L727&lt;100,"Economy",L727&lt;200,"Standard",L727&lt;350,"Powerful",L727&lt;500,"High Performance",L727&lt;800,"Sports Performance",L727&gt;=800,"Super Performance")</f>
        <v>Standard</v>
      </c>
    </row>
    <row r="728" spans="1:13" x14ac:dyDescent="0.25">
      <c r="A728" s="5" t="s">
        <v>131</v>
      </c>
      <c r="B728" s="3" t="s">
        <v>844</v>
      </c>
      <c r="C728" s="3" t="s">
        <v>861</v>
      </c>
      <c r="D728" s="4">
        <v>906300</v>
      </c>
      <c r="E728" s="3">
        <v>1498</v>
      </c>
      <c r="F728" s="3">
        <v>4</v>
      </c>
      <c r="G728" s="3" t="s">
        <v>36</v>
      </c>
      <c r="H728" s="3" t="s">
        <v>27</v>
      </c>
      <c r="I728" s="3">
        <v>5</v>
      </c>
      <c r="J728" s="3" t="s">
        <v>12</v>
      </c>
      <c r="K728" s="18">
        <v>100</v>
      </c>
      <c r="L728" s="16">
        <v>200</v>
      </c>
      <c r="M728" s="6" t="str" cm="1">
        <f t="array" ref="M728">_xlfn.IFS(L728&lt;100,"Economy",L728&lt;200,"Standard",L728&lt;350,"Powerful",L728&lt;500,"High Performance",L728&lt;800,"Sports Performance",L728&gt;=800,"Super Performance")</f>
        <v>Powerful</v>
      </c>
    </row>
    <row r="729" spans="1:13" x14ac:dyDescent="0.25">
      <c r="A729" s="5" t="s">
        <v>131</v>
      </c>
      <c r="B729" s="3" t="s">
        <v>844</v>
      </c>
      <c r="C729" s="3" t="s">
        <v>862</v>
      </c>
      <c r="D729" s="4">
        <v>794300</v>
      </c>
      <c r="E729" s="3">
        <v>1199</v>
      </c>
      <c r="F729" s="3">
        <v>4</v>
      </c>
      <c r="G729" s="3" t="s">
        <v>10</v>
      </c>
      <c r="H729" s="3" t="s">
        <v>27</v>
      </c>
      <c r="I729" s="3">
        <v>5</v>
      </c>
      <c r="J729" s="3" t="s">
        <v>12</v>
      </c>
      <c r="K729" s="18">
        <v>90</v>
      </c>
      <c r="L729" s="16">
        <v>110</v>
      </c>
      <c r="M729" s="6" t="str" cm="1">
        <f t="array" ref="M729">_xlfn.IFS(L729&lt;100,"Economy",L729&lt;200,"Standard",L729&lt;350,"Powerful",L729&lt;500,"High Performance",L729&lt;800,"Sports Performance",L729&gt;=800,"Super Performance")</f>
        <v>Standard</v>
      </c>
    </row>
    <row r="730" spans="1:13" x14ac:dyDescent="0.25">
      <c r="A730" s="5" t="s">
        <v>7</v>
      </c>
      <c r="B730" s="3" t="s">
        <v>863</v>
      </c>
      <c r="C730" s="3" t="s">
        <v>864</v>
      </c>
      <c r="D730" s="4">
        <v>655000</v>
      </c>
      <c r="E730" s="3">
        <v>1197</v>
      </c>
      <c r="F730" s="3">
        <v>4</v>
      </c>
      <c r="G730" s="3" t="s">
        <v>10</v>
      </c>
      <c r="H730" s="3" t="s">
        <v>66</v>
      </c>
      <c r="I730" s="3">
        <v>5</v>
      </c>
      <c r="J730" s="3" t="s">
        <v>12</v>
      </c>
      <c r="K730" s="18">
        <v>82</v>
      </c>
      <c r="L730" s="16">
        <v>112.7</v>
      </c>
      <c r="M730" s="6" t="str" cm="1">
        <f t="array" ref="M730">_xlfn.IFS(L730&lt;100,"Economy",L730&lt;200,"Standard",L730&lt;350,"Powerful",L730&lt;500,"High Performance",L730&lt;800,"Sports Performance",L730&gt;=800,"Super Performance")</f>
        <v>Standard</v>
      </c>
    </row>
    <row r="731" spans="1:13" x14ac:dyDescent="0.25">
      <c r="A731" s="5" t="s">
        <v>7</v>
      </c>
      <c r="B731" s="3" t="s">
        <v>863</v>
      </c>
      <c r="C731" s="3" t="s">
        <v>865</v>
      </c>
      <c r="D731" s="4">
        <v>826000</v>
      </c>
      <c r="E731" s="3">
        <v>998</v>
      </c>
      <c r="F731" s="3">
        <v>4</v>
      </c>
      <c r="G731" s="3" t="s">
        <v>10</v>
      </c>
      <c r="H731" s="3" t="s">
        <v>66</v>
      </c>
      <c r="I731" s="3">
        <v>5</v>
      </c>
      <c r="J731" s="3" t="s">
        <v>12</v>
      </c>
      <c r="K731" s="18">
        <v>117</v>
      </c>
      <c r="L731" s="16">
        <v>172</v>
      </c>
      <c r="M731" s="6" t="str" cm="1">
        <f t="array" ref="M731">_xlfn.IFS(L731&lt;100,"Economy",L731&lt;200,"Standard",L731&lt;350,"Powerful",L731&lt;500,"High Performance",L731&lt;800,"Sports Performance",L731&gt;=800,"Super Performance")</f>
        <v>Standard</v>
      </c>
    </row>
    <row r="732" spans="1:13" x14ac:dyDescent="0.25">
      <c r="A732" s="5" t="s">
        <v>7</v>
      </c>
      <c r="B732" s="3" t="s">
        <v>863</v>
      </c>
      <c r="C732" s="3" t="s">
        <v>866</v>
      </c>
      <c r="D732" s="4">
        <v>780000</v>
      </c>
      <c r="E732" s="3">
        <v>1397</v>
      </c>
      <c r="F732" s="3">
        <v>4</v>
      </c>
      <c r="G732" s="3" t="s">
        <v>36</v>
      </c>
      <c r="H732" s="3" t="s">
        <v>66</v>
      </c>
      <c r="I732" s="3">
        <v>5</v>
      </c>
      <c r="J732" s="3" t="s">
        <v>12</v>
      </c>
      <c r="K732" s="18">
        <v>89</v>
      </c>
      <c r="L732" s="16">
        <v>220</v>
      </c>
      <c r="M732" s="6" t="str" cm="1">
        <f t="array" ref="M732">_xlfn.IFS(L732&lt;100,"Economy",L732&lt;200,"Standard",L732&lt;350,"Powerful",L732&lt;500,"High Performance",L732&lt;800,"Sports Performance",L732&gt;=800,"Super Performance")</f>
        <v>Powerful</v>
      </c>
    </row>
    <row r="733" spans="1:13" x14ac:dyDescent="0.25">
      <c r="A733" s="5" t="s">
        <v>7</v>
      </c>
      <c r="B733" s="3" t="s">
        <v>863</v>
      </c>
      <c r="C733" s="3" t="s">
        <v>867</v>
      </c>
      <c r="D733" s="4">
        <v>959000</v>
      </c>
      <c r="E733" s="3">
        <v>998</v>
      </c>
      <c r="F733" s="3">
        <v>4</v>
      </c>
      <c r="G733" s="3" t="s">
        <v>10</v>
      </c>
      <c r="H733" s="3" t="s">
        <v>66</v>
      </c>
      <c r="I733" s="3">
        <v>5</v>
      </c>
      <c r="J733" s="3" t="s">
        <v>12</v>
      </c>
      <c r="K733" s="18">
        <v>117</v>
      </c>
      <c r="L733" s="16">
        <v>172</v>
      </c>
      <c r="M733" s="6" t="str" cm="1">
        <f t="array" ref="M733">_xlfn.IFS(L733&lt;100,"Economy",L733&lt;200,"Standard",L733&lt;350,"Powerful",L733&lt;500,"High Performance",L733&lt;800,"Sports Performance",L733&gt;=800,"Super Performance")</f>
        <v>Standard</v>
      </c>
    </row>
    <row r="734" spans="1:13" x14ac:dyDescent="0.25">
      <c r="A734" s="5" t="s">
        <v>7</v>
      </c>
      <c r="B734" s="3" t="s">
        <v>863</v>
      </c>
      <c r="C734" s="3" t="s">
        <v>868</v>
      </c>
      <c r="D734" s="4">
        <v>974000</v>
      </c>
      <c r="E734" s="3">
        <v>998</v>
      </c>
      <c r="F734" s="3">
        <v>4</v>
      </c>
      <c r="G734" s="3" t="s">
        <v>10</v>
      </c>
      <c r="H734" s="3" t="s">
        <v>66</v>
      </c>
      <c r="I734" s="3">
        <v>5</v>
      </c>
      <c r="J734" s="3" t="s">
        <v>12</v>
      </c>
      <c r="K734" s="18">
        <v>117</v>
      </c>
      <c r="L734" s="16">
        <v>172</v>
      </c>
      <c r="M734" s="6" t="str" cm="1">
        <f t="array" ref="M734">_xlfn.IFS(L734&lt;100,"Economy",L734&lt;200,"Standard",L734&lt;350,"Powerful",L734&lt;500,"High Performance",L734&lt;800,"Sports Performance",L734&gt;=800,"Super Performance")</f>
        <v>Standard</v>
      </c>
    </row>
    <row r="735" spans="1:13" x14ac:dyDescent="0.25">
      <c r="A735" s="5" t="s">
        <v>7</v>
      </c>
      <c r="B735" s="3" t="s">
        <v>863</v>
      </c>
      <c r="C735" s="3" t="s">
        <v>869</v>
      </c>
      <c r="D735" s="4">
        <v>1065000</v>
      </c>
      <c r="E735" s="3">
        <v>998</v>
      </c>
      <c r="F735" s="3">
        <v>4</v>
      </c>
      <c r="G735" s="3" t="s">
        <v>10</v>
      </c>
      <c r="H735" s="3" t="s">
        <v>66</v>
      </c>
      <c r="I735" s="3">
        <v>5</v>
      </c>
      <c r="J735" s="3" t="s">
        <v>12</v>
      </c>
      <c r="K735" s="18">
        <v>117</v>
      </c>
      <c r="L735" s="16">
        <v>172</v>
      </c>
      <c r="M735" s="6" t="str" cm="1">
        <f t="array" ref="M735">_xlfn.IFS(L735&lt;100,"Economy",L735&lt;200,"Standard",L735&lt;350,"Powerful",L735&lt;500,"High Performance",L735&lt;800,"Sports Performance",L735&gt;=800,"Super Performance")</f>
        <v>Standard</v>
      </c>
    </row>
    <row r="736" spans="1:13" x14ac:dyDescent="0.25">
      <c r="A736" s="5" t="s">
        <v>7</v>
      </c>
      <c r="B736" s="3" t="s">
        <v>863</v>
      </c>
      <c r="C736" s="3" t="s">
        <v>870</v>
      </c>
      <c r="D736" s="4">
        <v>940000</v>
      </c>
      <c r="E736" s="3">
        <v>998</v>
      </c>
      <c r="F736" s="3">
        <v>4</v>
      </c>
      <c r="G736" s="3" t="s">
        <v>10</v>
      </c>
      <c r="H736" s="3" t="s">
        <v>66</v>
      </c>
      <c r="I736" s="3">
        <v>5</v>
      </c>
      <c r="J736" s="3" t="s">
        <v>71</v>
      </c>
      <c r="K736" s="18">
        <v>118</v>
      </c>
      <c r="L736" s="16">
        <v>172</v>
      </c>
      <c r="M736" s="6" t="str" cm="1">
        <f t="array" ref="M736">_xlfn.IFS(L736&lt;100,"Economy",L736&lt;200,"Standard",L736&lt;350,"Powerful",L736&lt;500,"High Performance",L736&lt;800,"Sports Performance",L736&gt;=800,"Super Performance")</f>
        <v>Standard</v>
      </c>
    </row>
    <row r="737" spans="1:13" x14ac:dyDescent="0.25">
      <c r="A737" s="5" t="s">
        <v>7</v>
      </c>
      <c r="B737" s="3" t="s">
        <v>863</v>
      </c>
      <c r="C737" s="3" t="s">
        <v>871</v>
      </c>
      <c r="D737" s="4">
        <v>1115500</v>
      </c>
      <c r="E737" s="3">
        <v>998</v>
      </c>
      <c r="F737" s="3">
        <v>4</v>
      </c>
      <c r="G737" s="3" t="s">
        <v>10</v>
      </c>
      <c r="H737" s="3" t="s">
        <v>66</v>
      </c>
      <c r="I737" s="3">
        <v>5</v>
      </c>
      <c r="J737" s="3" t="s">
        <v>71</v>
      </c>
      <c r="K737" s="18">
        <v>118</v>
      </c>
      <c r="L737" s="16">
        <v>172</v>
      </c>
      <c r="M737" s="6" t="str" cm="1">
        <f t="array" ref="M737">_xlfn.IFS(L737&lt;100,"Economy",L737&lt;200,"Standard",L737&lt;350,"Powerful",L737&lt;500,"High Performance",L737&lt;800,"Sports Performance",L737&gt;=800,"Super Performance")</f>
        <v>Standard</v>
      </c>
    </row>
    <row r="738" spans="1:13" x14ac:dyDescent="0.25">
      <c r="A738" s="5" t="s">
        <v>7</v>
      </c>
      <c r="B738" s="3" t="s">
        <v>863</v>
      </c>
      <c r="C738" s="3" t="s">
        <v>872</v>
      </c>
      <c r="D738" s="4">
        <v>725000</v>
      </c>
      <c r="E738" s="3">
        <v>1197</v>
      </c>
      <c r="F738" s="3">
        <v>4</v>
      </c>
      <c r="G738" s="3" t="s">
        <v>10</v>
      </c>
      <c r="H738" s="3" t="s">
        <v>66</v>
      </c>
      <c r="I738" s="3">
        <v>5</v>
      </c>
      <c r="J738" s="3" t="s">
        <v>12</v>
      </c>
      <c r="K738" s="18">
        <v>82</v>
      </c>
      <c r="L738" s="16">
        <v>115</v>
      </c>
      <c r="M738" s="6" t="str" cm="1">
        <f t="array" ref="M738">_xlfn.IFS(L738&lt;100,"Economy",L738&lt;200,"Standard",L738&lt;350,"Powerful",L738&lt;500,"High Performance",L738&lt;800,"Sports Performance",L738&gt;=800,"Super Performance")</f>
        <v>Standard</v>
      </c>
    </row>
    <row r="739" spans="1:13" x14ac:dyDescent="0.25">
      <c r="A739" s="5" t="s">
        <v>7</v>
      </c>
      <c r="B739" s="3" t="s">
        <v>863</v>
      </c>
      <c r="C739" s="3" t="s">
        <v>873</v>
      </c>
      <c r="D739" s="4">
        <v>850000</v>
      </c>
      <c r="E739" s="3">
        <v>1397</v>
      </c>
      <c r="F739" s="3">
        <v>4</v>
      </c>
      <c r="G739" s="3" t="s">
        <v>36</v>
      </c>
      <c r="H739" s="3" t="s">
        <v>66</v>
      </c>
      <c r="I739" s="3">
        <v>5</v>
      </c>
      <c r="J739" s="3" t="s">
        <v>12</v>
      </c>
      <c r="K739" s="18">
        <v>89</v>
      </c>
      <c r="L739" s="16">
        <v>220</v>
      </c>
      <c r="M739" s="6" t="str" cm="1">
        <f t="array" ref="M739">_xlfn.IFS(L739&lt;100,"Economy",L739&lt;200,"Standard",L739&lt;350,"Powerful",L739&lt;500,"High Performance",L739&lt;800,"Sports Performance",L739&gt;=800,"Super Performance")</f>
        <v>Powerful</v>
      </c>
    </row>
    <row r="740" spans="1:13" x14ac:dyDescent="0.25">
      <c r="A740" s="5" t="s">
        <v>7</v>
      </c>
      <c r="B740" s="3" t="s">
        <v>863</v>
      </c>
      <c r="C740" s="3" t="s">
        <v>874</v>
      </c>
      <c r="D740" s="4">
        <v>983000</v>
      </c>
      <c r="E740" s="3">
        <v>1397</v>
      </c>
      <c r="F740" s="3">
        <v>4</v>
      </c>
      <c r="G740" s="3" t="s">
        <v>36</v>
      </c>
      <c r="H740" s="3" t="s">
        <v>66</v>
      </c>
      <c r="I740" s="3">
        <v>5</v>
      </c>
      <c r="J740" s="3" t="s">
        <v>12</v>
      </c>
      <c r="K740" s="18">
        <v>89</v>
      </c>
      <c r="L740" s="16">
        <v>220</v>
      </c>
      <c r="M740" s="6" t="str" cm="1">
        <f t="array" ref="M740">_xlfn.IFS(L740&lt;100,"Economy",L740&lt;200,"Standard",L740&lt;350,"Powerful",L740&lt;500,"High Performance",L740&lt;800,"Sports Performance",L740&gt;=800,"Super Performance")</f>
        <v>Powerful</v>
      </c>
    </row>
    <row r="741" spans="1:13" x14ac:dyDescent="0.25">
      <c r="A741" s="5" t="s">
        <v>7</v>
      </c>
      <c r="B741" s="3" t="s">
        <v>863</v>
      </c>
      <c r="C741" s="3" t="s">
        <v>875</v>
      </c>
      <c r="D741" s="4">
        <v>998000</v>
      </c>
      <c r="E741" s="3">
        <v>1397</v>
      </c>
      <c r="F741" s="3">
        <v>4</v>
      </c>
      <c r="G741" s="3" t="s">
        <v>36</v>
      </c>
      <c r="H741" s="3" t="s">
        <v>66</v>
      </c>
      <c r="I741" s="3">
        <v>5</v>
      </c>
      <c r="J741" s="3" t="s">
        <v>12</v>
      </c>
      <c r="K741" s="18">
        <v>89</v>
      </c>
      <c r="L741" s="16">
        <v>220</v>
      </c>
      <c r="M741" s="6" t="str" cm="1">
        <f t="array" ref="M741">_xlfn.IFS(L741&lt;100,"Economy",L741&lt;200,"Standard",L741&lt;350,"Powerful",L741&lt;500,"High Performance",L741&lt;800,"Sports Performance",L741&gt;=800,"Super Performance")</f>
        <v>Powerful</v>
      </c>
    </row>
    <row r="742" spans="1:13" x14ac:dyDescent="0.25">
      <c r="A742" s="5" t="s">
        <v>7</v>
      </c>
      <c r="B742" s="3" t="s">
        <v>863</v>
      </c>
      <c r="C742" s="3" t="s">
        <v>876</v>
      </c>
      <c r="D742" s="4">
        <v>1089000</v>
      </c>
      <c r="E742" s="3">
        <v>1397</v>
      </c>
      <c r="F742" s="3">
        <v>4</v>
      </c>
      <c r="G742" s="3" t="s">
        <v>36</v>
      </c>
      <c r="H742" s="3" t="s">
        <v>66</v>
      </c>
      <c r="I742" s="3">
        <v>5</v>
      </c>
      <c r="J742" s="3" t="s">
        <v>12</v>
      </c>
      <c r="K742" s="18">
        <v>90</v>
      </c>
      <c r="L742" s="16">
        <v>219.66895999999997</v>
      </c>
      <c r="M742" s="6" t="str" cm="1">
        <f t="array" ref="M742">_xlfn.IFS(L742&lt;100,"Economy",L742&lt;200,"Standard",L742&lt;350,"Powerful",L742&lt;500,"High Performance",L742&lt;800,"Sports Performance",L742&gt;=800,"Super Performance")</f>
        <v>Powerful</v>
      </c>
    </row>
    <row r="743" spans="1:13" x14ac:dyDescent="0.25">
      <c r="A743" s="5" t="s">
        <v>202</v>
      </c>
      <c r="B743" s="3" t="s">
        <v>877</v>
      </c>
      <c r="C743" s="3" t="s">
        <v>878</v>
      </c>
      <c r="D743" s="4">
        <v>886398</v>
      </c>
      <c r="E743" s="3">
        <v>1493</v>
      </c>
      <c r="F743" s="3">
        <v>4</v>
      </c>
      <c r="G743" s="3" t="s">
        <v>36</v>
      </c>
      <c r="H743" s="3" t="s">
        <v>66</v>
      </c>
      <c r="I743" s="3">
        <v>7</v>
      </c>
      <c r="J743" s="3" t="s">
        <v>12</v>
      </c>
      <c r="K743" s="18">
        <v>70</v>
      </c>
      <c r="L743" s="16">
        <v>195</v>
      </c>
      <c r="M743" s="6" t="str" cm="1">
        <f t="array" ref="M743">_xlfn.IFS(L743&lt;100,"Economy",L743&lt;200,"Standard",L743&lt;350,"Powerful",L743&lt;500,"High Performance",L743&lt;800,"Sports Performance",L743&gt;=800,"Super Performance")</f>
        <v>Standard</v>
      </c>
    </row>
    <row r="744" spans="1:13" x14ac:dyDescent="0.25">
      <c r="A744" s="5" t="s">
        <v>202</v>
      </c>
      <c r="B744" s="3" t="s">
        <v>877</v>
      </c>
      <c r="C744" s="3" t="s">
        <v>879</v>
      </c>
      <c r="D744" s="4">
        <v>851302</v>
      </c>
      <c r="E744" s="3">
        <v>1493</v>
      </c>
      <c r="F744" s="3">
        <v>4</v>
      </c>
      <c r="G744" s="3" t="s">
        <v>36</v>
      </c>
      <c r="H744" s="3" t="s">
        <v>66</v>
      </c>
      <c r="I744" s="3">
        <v>7</v>
      </c>
      <c r="J744" s="3" t="s">
        <v>12</v>
      </c>
      <c r="K744" s="18">
        <v>70</v>
      </c>
      <c r="L744" s="16">
        <v>195</v>
      </c>
      <c r="M744" s="6" t="str" cm="1">
        <f t="array" ref="M744">_xlfn.IFS(L744&lt;100,"Economy",L744&lt;200,"Standard",L744&lt;350,"Powerful",L744&lt;500,"High Performance",L744&lt;800,"Sports Performance",L744&gt;=800,"Super Performance")</f>
        <v>Standard</v>
      </c>
    </row>
    <row r="745" spans="1:13" x14ac:dyDescent="0.25">
      <c r="A745" s="5" t="s">
        <v>202</v>
      </c>
      <c r="B745" s="3" t="s">
        <v>877</v>
      </c>
      <c r="C745" s="3" t="s">
        <v>880</v>
      </c>
      <c r="D745" s="4">
        <v>785656</v>
      </c>
      <c r="E745" s="3">
        <v>1493</v>
      </c>
      <c r="F745" s="3">
        <v>4</v>
      </c>
      <c r="G745" s="3" t="s">
        <v>36</v>
      </c>
      <c r="H745" s="3" t="s">
        <v>66</v>
      </c>
      <c r="I745" s="3">
        <v>7</v>
      </c>
      <c r="J745" s="3" t="s">
        <v>12</v>
      </c>
      <c r="K745" s="18">
        <v>70</v>
      </c>
      <c r="L745" s="16">
        <v>195</v>
      </c>
      <c r="M745" s="6" t="str" cm="1">
        <f t="array" ref="M745">_xlfn.IFS(L745&lt;100,"Economy",L745&lt;200,"Standard",L745&lt;350,"Powerful",L745&lt;500,"High Performance",L745&lt;800,"Sports Performance",L745&gt;=800,"Super Performance")</f>
        <v>Standard</v>
      </c>
    </row>
    <row r="746" spans="1:13" x14ac:dyDescent="0.25">
      <c r="A746" s="5" t="s">
        <v>202</v>
      </c>
      <c r="B746" s="3" t="s">
        <v>877</v>
      </c>
      <c r="C746" s="3" t="s">
        <v>881</v>
      </c>
      <c r="D746" s="4">
        <v>749192</v>
      </c>
      <c r="E746" s="3">
        <v>1493</v>
      </c>
      <c r="F746" s="3">
        <v>4</v>
      </c>
      <c r="G746" s="3" t="s">
        <v>36</v>
      </c>
      <c r="H746" s="3" t="s">
        <v>66</v>
      </c>
      <c r="I746" s="3">
        <v>7</v>
      </c>
      <c r="J746" s="3" t="s">
        <v>12</v>
      </c>
      <c r="K746" s="18">
        <v>70</v>
      </c>
      <c r="L746" s="16">
        <v>195</v>
      </c>
      <c r="M746" s="6" t="str" cm="1">
        <f t="array" ref="M746">_xlfn.IFS(L746&lt;100,"Economy",L746&lt;200,"Standard",L746&lt;350,"Powerful",L746&lt;500,"High Performance",L746&lt;800,"Sports Performance",L746&gt;=800,"Super Performance")</f>
        <v>Standard</v>
      </c>
    </row>
    <row r="747" spans="1:13" x14ac:dyDescent="0.25">
      <c r="A747" s="5" t="s">
        <v>7</v>
      </c>
      <c r="B747" s="3" t="s">
        <v>882</v>
      </c>
      <c r="C747" s="3" t="s">
        <v>883</v>
      </c>
      <c r="D747" s="4">
        <v>774035</v>
      </c>
      <c r="E747" s="3">
        <v>1197</v>
      </c>
      <c r="F747" s="3">
        <v>4</v>
      </c>
      <c r="G747" s="3" t="s">
        <v>10</v>
      </c>
      <c r="H747" s="3" t="s">
        <v>11</v>
      </c>
      <c r="I747" s="3">
        <v>5</v>
      </c>
      <c r="J747" s="3" t="s">
        <v>12</v>
      </c>
      <c r="K747" s="18">
        <v>83</v>
      </c>
      <c r="L747" s="16">
        <v>114</v>
      </c>
      <c r="M747" s="6" t="str" cm="1">
        <f t="array" ref="M747">_xlfn.IFS(L747&lt;100,"Economy",L747&lt;200,"Standard",L747&lt;350,"Powerful",L747&lt;500,"High Performance",L747&lt;800,"Sports Performance",L747&gt;=800,"Super Performance")</f>
        <v>Standard</v>
      </c>
    </row>
    <row r="748" spans="1:13" x14ac:dyDescent="0.25">
      <c r="A748" s="5" t="s">
        <v>7</v>
      </c>
      <c r="B748" s="3" t="s">
        <v>882</v>
      </c>
      <c r="C748" s="3" t="s">
        <v>884</v>
      </c>
      <c r="D748" s="4">
        <v>993393</v>
      </c>
      <c r="E748" s="3">
        <v>1396</v>
      </c>
      <c r="F748" s="3">
        <v>4</v>
      </c>
      <c r="G748" s="3" t="s">
        <v>36</v>
      </c>
      <c r="H748" s="3" t="s">
        <v>11</v>
      </c>
      <c r="I748" s="3">
        <v>5</v>
      </c>
      <c r="J748" s="3" t="s">
        <v>12</v>
      </c>
      <c r="K748" s="18">
        <v>90</v>
      </c>
      <c r="L748" s="16">
        <v>220</v>
      </c>
      <c r="M748" s="6" t="str" cm="1">
        <f t="array" ref="M748">_xlfn.IFS(L748&lt;100,"Economy",L748&lt;200,"Standard",L748&lt;350,"Powerful",L748&lt;500,"High Performance",L748&lt;800,"Sports Performance",L748&gt;=800,"Super Performance")</f>
        <v>Powerful</v>
      </c>
    </row>
    <row r="749" spans="1:13" x14ac:dyDescent="0.25">
      <c r="A749" s="5" t="s">
        <v>202</v>
      </c>
      <c r="B749" s="3" t="s">
        <v>885</v>
      </c>
      <c r="C749" s="3" t="s">
        <v>886</v>
      </c>
      <c r="D749" s="4">
        <v>830127</v>
      </c>
      <c r="E749" s="3">
        <v>1197</v>
      </c>
      <c r="F749" s="3">
        <v>0</v>
      </c>
      <c r="G749" s="3" t="s">
        <v>10</v>
      </c>
      <c r="H749" s="3" t="s">
        <v>66</v>
      </c>
      <c r="I749" s="3">
        <v>5</v>
      </c>
      <c r="J749" s="3" t="s">
        <v>12</v>
      </c>
      <c r="K749" s="18">
        <v>109</v>
      </c>
      <c r="L749" s="16">
        <v>200</v>
      </c>
      <c r="M749" s="6" t="str" cm="1">
        <f t="array" ref="M749">_xlfn.IFS(L749&lt;100,"Economy",L749&lt;200,"Standard",L749&lt;350,"Powerful",L749&lt;500,"High Performance",L749&lt;800,"Sports Performance",L749&gt;=800,"Super Performance")</f>
        <v>Powerful</v>
      </c>
    </row>
    <row r="750" spans="1:13" x14ac:dyDescent="0.25">
      <c r="A750" s="5" t="s">
        <v>202</v>
      </c>
      <c r="B750" s="3" t="s">
        <v>885</v>
      </c>
      <c r="C750" s="3" t="s">
        <v>887</v>
      </c>
      <c r="D750" s="4">
        <v>915128</v>
      </c>
      <c r="E750" s="3">
        <v>1197</v>
      </c>
      <c r="F750" s="3">
        <v>0</v>
      </c>
      <c r="G750" s="3" t="s">
        <v>10</v>
      </c>
      <c r="H750" s="3" t="s">
        <v>66</v>
      </c>
      <c r="I750" s="3">
        <v>5</v>
      </c>
      <c r="J750" s="3" t="s">
        <v>12</v>
      </c>
      <c r="K750" s="18">
        <v>109</v>
      </c>
      <c r="L750" s="16">
        <v>200</v>
      </c>
      <c r="M750" s="6" t="str" cm="1">
        <f t="array" ref="M750">_xlfn.IFS(L750&lt;100,"Economy",L750&lt;200,"Standard",L750&lt;350,"Powerful",L750&lt;500,"High Performance",L750&lt;800,"Sports Performance",L750&gt;=800,"Super Performance")</f>
        <v>Powerful</v>
      </c>
    </row>
    <row r="751" spans="1:13" x14ac:dyDescent="0.25">
      <c r="A751" s="5" t="s">
        <v>202</v>
      </c>
      <c r="B751" s="3" t="s">
        <v>885</v>
      </c>
      <c r="C751" s="3" t="s">
        <v>888</v>
      </c>
      <c r="D751" s="4">
        <v>1060129</v>
      </c>
      <c r="E751" s="3">
        <v>1197</v>
      </c>
      <c r="F751" s="3">
        <v>0</v>
      </c>
      <c r="G751" s="3" t="s">
        <v>10</v>
      </c>
      <c r="H751" s="3" t="s">
        <v>66</v>
      </c>
      <c r="I751" s="3">
        <v>5</v>
      </c>
      <c r="J751" s="3" t="s">
        <v>12</v>
      </c>
      <c r="K751" s="18">
        <v>109</v>
      </c>
      <c r="L751" s="16">
        <v>200</v>
      </c>
      <c r="M751" s="6" t="str" cm="1">
        <f t="array" ref="M751">_xlfn.IFS(L751&lt;100,"Economy",L751&lt;200,"Standard",L751&lt;350,"Powerful",L751&lt;500,"High Performance",L751&lt;800,"Sports Performance",L751&gt;=800,"Super Performance")</f>
        <v>Powerful</v>
      </c>
    </row>
    <row r="752" spans="1:13" x14ac:dyDescent="0.25">
      <c r="A752" s="5" t="s">
        <v>202</v>
      </c>
      <c r="B752" s="3" t="s">
        <v>885</v>
      </c>
      <c r="C752" s="3" t="s">
        <v>889</v>
      </c>
      <c r="D752" s="4">
        <v>1184129</v>
      </c>
      <c r="E752" s="3">
        <v>1197</v>
      </c>
      <c r="F752" s="3">
        <v>0</v>
      </c>
      <c r="G752" s="3" t="s">
        <v>10</v>
      </c>
      <c r="H752" s="3" t="s">
        <v>66</v>
      </c>
      <c r="I752" s="3">
        <v>5</v>
      </c>
      <c r="J752" s="3" t="s">
        <v>12</v>
      </c>
      <c r="K752" s="18">
        <v>109</v>
      </c>
      <c r="L752" s="16">
        <v>200</v>
      </c>
      <c r="M752" s="6" t="str" cm="1">
        <f t="array" ref="M752">_xlfn.IFS(L752&lt;100,"Economy",L752&lt;200,"Standard",L752&lt;350,"Powerful",L752&lt;500,"High Performance",L752&lt;800,"Sports Performance",L752&gt;=800,"Super Performance")</f>
        <v>Powerful</v>
      </c>
    </row>
    <row r="753" spans="1:13" x14ac:dyDescent="0.25">
      <c r="A753" s="5" t="s">
        <v>202</v>
      </c>
      <c r="B753" s="3" t="s">
        <v>885</v>
      </c>
      <c r="C753" s="3" t="s">
        <v>890</v>
      </c>
      <c r="D753" s="4">
        <v>869131</v>
      </c>
      <c r="E753" s="3">
        <v>1497</v>
      </c>
      <c r="F753" s="3">
        <v>0</v>
      </c>
      <c r="G753" s="3" t="s">
        <v>36</v>
      </c>
      <c r="H753" s="3" t="s">
        <v>66</v>
      </c>
      <c r="I753" s="3">
        <v>5</v>
      </c>
      <c r="J753" s="3" t="s">
        <v>12</v>
      </c>
      <c r="K753" s="18">
        <v>115</v>
      </c>
      <c r="L753" s="16">
        <v>300</v>
      </c>
      <c r="M753" s="6" t="str" cm="1">
        <f t="array" ref="M753">_xlfn.IFS(L753&lt;100,"Economy",L753&lt;200,"Standard",L753&lt;350,"Powerful",L753&lt;500,"High Performance",L753&lt;800,"Sports Performance",L753&gt;=800,"Super Performance")</f>
        <v>Powerful</v>
      </c>
    </row>
    <row r="754" spans="1:13" x14ac:dyDescent="0.25">
      <c r="A754" s="5" t="s">
        <v>202</v>
      </c>
      <c r="B754" s="3" t="s">
        <v>885</v>
      </c>
      <c r="C754" s="3" t="s">
        <v>891</v>
      </c>
      <c r="D754" s="4">
        <v>950131</v>
      </c>
      <c r="E754" s="3">
        <v>1497</v>
      </c>
      <c r="F754" s="3">
        <v>0</v>
      </c>
      <c r="G754" s="3" t="s">
        <v>36</v>
      </c>
      <c r="H754" s="3" t="s">
        <v>66</v>
      </c>
      <c r="I754" s="3">
        <v>5</v>
      </c>
      <c r="J754" s="3" t="s">
        <v>12</v>
      </c>
      <c r="K754" s="18">
        <v>115</v>
      </c>
      <c r="L754" s="16">
        <v>300</v>
      </c>
      <c r="M754" s="6" t="str" cm="1">
        <f t="array" ref="M754">_xlfn.IFS(L754&lt;100,"Economy",L754&lt;200,"Standard",L754&lt;350,"Powerful",L754&lt;500,"High Performance",L754&lt;800,"Sports Performance",L754&gt;=800,"Super Performance")</f>
        <v>Powerful</v>
      </c>
    </row>
    <row r="755" spans="1:13" x14ac:dyDescent="0.25">
      <c r="A755" s="5" t="s">
        <v>202</v>
      </c>
      <c r="B755" s="3" t="s">
        <v>885</v>
      </c>
      <c r="C755" s="3" t="s">
        <v>892</v>
      </c>
      <c r="D755" s="4">
        <v>1095129</v>
      </c>
      <c r="E755" s="3">
        <v>1497</v>
      </c>
      <c r="F755" s="3">
        <v>0</v>
      </c>
      <c r="G755" s="3" t="s">
        <v>36</v>
      </c>
      <c r="H755" s="3" t="s">
        <v>66</v>
      </c>
      <c r="I755" s="3">
        <v>5</v>
      </c>
      <c r="J755" s="3" t="s">
        <v>12</v>
      </c>
      <c r="K755" s="18">
        <v>115</v>
      </c>
      <c r="L755" s="16">
        <v>300</v>
      </c>
      <c r="M755" s="6" t="str" cm="1">
        <f t="array" ref="M755">_xlfn.IFS(L755&lt;100,"Economy",L755&lt;200,"Standard",L755&lt;350,"Powerful",L755&lt;500,"High Performance",L755&lt;800,"Sports Performance",L755&gt;=800,"Super Performance")</f>
        <v>Powerful</v>
      </c>
    </row>
    <row r="756" spans="1:13" x14ac:dyDescent="0.25">
      <c r="A756" s="5" t="s">
        <v>202</v>
      </c>
      <c r="B756" s="3" t="s">
        <v>885</v>
      </c>
      <c r="C756" s="3" t="s">
        <v>893</v>
      </c>
      <c r="D756" s="4">
        <v>1214130</v>
      </c>
      <c r="E756" s="3">
        <v>1497</v>
      </c>
      <c r="F756" s="3">
        <v>0</v>
      </c>
      <c r="G756" s="3" t="s">
        <v>36</v>
      </c>
      <c r="H756" s="3" t="s">
        <v>66</v>
      </c>
      <c r="I756" s="3">
        <v>5</v>
      </c>
      <c r="J756" s="3" t="s">
        <v>12</v>
      </c>
      <c r="K756" s="18">
        <v>115</v>
      </c>
      <c r="L756" s="16">
        <v>300</v>
      </c>
      <c r="M756" s="6" t="str" cm="1">
        <f t="array" ref="M756">_xlfn.IFS(L756&lt;100,"Economy",L756&lt;200,"Standard",L756&lt;350,"Powerful",L756&lt;500,"High Performance",L756&lt;800,"Sports Performance",L756&gt;=800,"Super Performance")</f>
        <v>Powerful</v>
      </c>
    </row>
    <row r="757" spans="1:13" x14ac:dyDescent="0.25">
      <c r="A757" s="5" t="s">
        <v>202</v>
      </c>
      <c r="B757" s="3" t="s">
        <v>885</v>
      </c>
      <c r="C757" s="3" t="s">
        <v>894</v>
      </c>
      <c r="D757" s="4">
        <v>1149800</v>
      </c>
      <c r="E757" s="3">
        <v>1497</v>
      </c>
      <c r="F757" s="3">
        <v>0</v>
      </c>
      <c r="G757" s="3" t="s">
        <v>36</v>
      </c>
      <c r="H757" s="3" t="s">
        <v>66</v>
      </c>
      <c r="I757" s="3">
        <v>5</v>
      </c>
      <c r="J757" s="3" t="s">
        <v>30</v>
      </c>
      <c r="K757" s="18">
        <v>115</v>
      </c>
      <c r="L757" s="16">
        <v>300</v>
      </c>
      <c r="M757" s="6" t="str" cm="1">
        <f t="array" ref="M757">_xlfn.IFS(L757&lt;100,"Economy",L757&lt;200,"Standard",L757&lt;350,"Powerful",L757&lt;500,"High Performance",L757&lt;800,"Sports Performance",L757&gt;=800,"Super Performance")</f>
        <v>Powerful</v>
      </c>
    </row>
    <row r="758" spans="1:13" x14ac:dyDescent="0.25">
      <c r="A758" s="5" t="s">
        <v>202</v>
      </c>
      <c r="B758" s="3" t="s">
        <v>885</v>
      </c>
      <c r="C758" s="3" t="s">
        <v>895</v>
      </c>
      <c r="D758" s="4">
        <v>1269131</v>
      </c>
      <c r="E758" s="3">
        <v>1497</v>
      </c>
      <c r="F758" s="3">
        <v>0</v>
      </c>
      <c r="G758" s="3" t="s">
        <v>36</v>
      </c>
      <c r="H758" s="3" t="s">
        <v>66</v>
      </c>
      <c r="I758" s="3">
        <v>5</v>
      </c>
      <c r="J758" s="3" t="s">
        <v>30</v>
      </c>
      <c r="K758" s="18">
        <v>115</v>
      </c>
      <c r="L758" s="16">
        <v>300</v>
      </c>
      <c r="M758" s="6" t="str" cm="1">
        <f t="array" ref="M758">_xlfn.IFS(L758&lt;100,"Economy",L758&lt;200,"Standard",L758&lt;350,"Powerful",L758&lt;500,"High Performance",L758&lt;800,"Sports Performance",L758&gt;=800,"Super Performance")</f>
        <v>Powerful</v>
      </c>
    </row>
    <row r="759" spans="1:13" x14ac:dyDescent="0.25">
      <c r="A759" s="5" t="s">
        <v>202</v>
      </c>
      <c r="B759" s="3" t="s">
        <v>885</v>
      </c>
      <c r="C759" s="3" t="s">
        <v>896</v>
      </c>
      <c r="D759" s="4">
        <v>999000</v>
      </c>
      <c r="E759" s="3">
        <v>1497</v>
      </c>
      <c r="F759" s="3">
        <v>4</v>
      </c>
      <c r="G759" s="3" t="s">
        <v>36</v>
      </c>
      <c r="H759" s="3" t="s">
        <v>66</v>
      </c>
      <c r="I759" s="3">
        <v>5</v>
      </c>
      <c r="J759" s="3" t="s">
        <v>17</v>
      </c>
      <c r="K759" s="18">
        <v>115</v>
      </c>
      <c r="L759" s="16">
        <v>300</v>
      </c>
      <c r="M759" s="6" t="str" cm="1">
        <f t="array" ref="M759">_xlfn.IFS(L759&lt;100,"Economy",L759&lt;200,"Standard",L759&lt;350,"Powerful",L759&lt;500,"High Performance",L759&lt;800,"Sports Performance",L759&gt;=800,"Super Performance")</f>
        <v>Powerful</v>
      </c>
    </row>
    <row r="760" spans="1:13" x14ac:dyDescent="0.25">
      <c r="A760" s="5" t="s">
        <v>90</v>
      </c>
      <c r="B760" s="3" t="s">
        <v>897</v>
      </c>
      <c r="C760" s="3" t="s">
        <v>898</v>
      </c>
      <c r="D760" s="4">
        <v>555196</v>
      </c>
      <c r="E760" s="3">
        <v>1198</v>
      </c>
      <c r="F760" s="3">
        <v>3</v>
      </c>
      <c r="G760" s="3" t="s">
        <v>10</v>
      </c>
      <c r="H760" s="3" t="s">
        <v>226</v>
      </c>
      <c r="I760" s="3">
        <v>7</v>
      </c>
      <c r="J760" s="3" t="s">
        <v>12</v>
      </c>
      <c r="K760" s="18">
        <v>68</v>
      </c>
      <c r="L760" s="16">
        <v>104</v>
      </c>
      <c r="M760" s="6" t="str" cm="1">
        <f t="array" ref="M760">_xlfn.IFS(L760&lt;100,"Economy",L760&lt;200,"Standard",L760&lt;350,"Powerful",L760&lt;500,"High Performance",L760&lt;800,"Sports Performance",L760&gt;=800,"Super Performance")</f>
        <v>Standard</v>
      </c>
    </row>
    <row r="761" spans="1:13" x14ac:dyDescent="0.25">
      <c r="A761" s="5" t="s">
        <v>90</v>
      </c>
      <c r="B761" s="3" t="s">
        <v>897</v>
      </c>
      <c r="C761" s="3" t="s">
        <v>899</v>
      </c>
      <c r="D761" s="4">
        <v>500575</v>
      </c>
      <c r="E761" s="3">
        <v>1198</v>
      </c>
      <c r="F761" s="3">
        <v>3</v>
      </c>
      <c r="G761" s="3" t="s">
        <v>10</v>
      </c>
      <c r="H761" s="3" t="s">
        <v>226</v>
      </c>
      <c r="I761" s="3">
        <v>7</v>
      </c>
      <c r="J761" s="3" t="s">
        <v>12</v>
      </c>
      <c r="K761" s="18">
        <v>68</v>
      </c>
      <c r="L761" s="16">
        <v>104</v>
      </c>
      <c r="M761" s="6" t="str" cm="1">
        <f t="array" ref="M761">_xlfn.IFS(L761&lt;100,"Economy",L761&lt;200,"Standard",L761&lt;350,"Powerful",L761&lt;500,"High Performance",L761&lt;800,"Sports Performance",L761&gt;=800,"Super Performance")</f>
        <v>Standard</v>
      </c>
    </row>
    <row r="762" spans="1:13" x14ac:dyDescent="0.25">
      <c r="A762" s="5" t="s">
        <v>93</v>
      </c>
      <c r="B762" s="3" t="s">
        <v>900</v>
      </c>
      <c r="C762" s="3" t="s">
        <v>901</v>
      </c>
      <c r="D762" s="4">
        <v>746621</v>
      </c>
      <c r="E762" s="3">
        <v>1248</v>
      </c>
      <c r="F762" s="3">
        <v>4</v>
      </c>
      <c r="G762" s="3" t="s">
        <v>36</v>
      </c>
      <c r="H762" s="3" t="s">
        <v>11</v>
      </c>
      <c r="I762" s="3">
        <v>5</v>
      </c>
      <c r="J762" s="3" t="s">
        <v>12</v>
      </c>
      <c r="K762" s="18">
        <v>75</v>
      </c>
      <c r="L762" s="16">
        <v>190</v>
      </c>
      <c r="M762" s="6" t="str" cm="1">
        <f t="array" ref="M762">_xlfn.IFS(L762&lt;100,"Economy",L762&lt;200,"Standard",L762&lt;350,"Powerful",L762&lt;500,"High Performance",L762&lt;800,"Sports Performance",L762&gt;=800,"Super Performance")</f>
        <v>Standard</v>
      </c>
    </row>
    <row r="763" spans="1:13" x14ac:dyDescent="0.25">
      <c r="A763" s="5" t="s">
        <v>93</v>
      </c>
      <c r="B763" s="3" t="s">
        <v>900</v>
      </c>
      <c r="C763" s="3" t="s">
        <v>902</v>
      </c>
      <c r="D763" s="4">
        <v>868221</v>
      </c>
      <c r="E763" s="3">
        <v>1248</v>
      </c>
      <c r="F763" s="3">
        <v>4</v>
      </c>
      <c r="G763" s="3" t="s">
        <v>36</v>
      </c>
      <c r="H763" s="3" t="s">
        <v>11</v>
      </c>
      <c r="I763" s="3">
        <v>5</v>
      </c>
      <c r="J763" s="3" t="s">
        <v>12</v>
      </c>
      <c r="K763" s="18">
        <v>75</v>
      </c>
      <c r="L763" s="16">
        <v>190</v>
      </c>
      <c r="M763" s="6" t="str" cm="1">
        <f t="array" ref="M763">_xlfn.IFS(L763&lt;100,"Economy",L763&lt;200,"Standard",L763&lt;350,"Powerful",L763&lt;500,"High Performance",L763&lt;800,"Sports Performance",L763&gt;=800,"Super Performance")</f>
        <v>Standard</v>
      </c>
    </row>
    <row r="764" spans="1:13" x14ac:dyDescent="0.25">
      <c r="A764" s="5" t="s">
        <v>93</v>
      </c>
      <c r="B764" s="3" t="s">
        <v>900</v>
      </c>
      <c r="C764" s="3" t="s">
        <v>903</v>
      </c>
      <c r="D764" s="4">
        <v>668611</v>
      </c>
      <c r="E764" s="3">
        <v>1248</v>
      </c>
      <c r="F764" s="3">
        <v>4</v>
      </c>
      <c r="G764" s="3" t="s">
        <v>36</v>
      </c>
      <c r="H764" s="3" t="s">
        <v>11</v>
      </c>
      <c r="I764" s="3">
        <v>5</v>
      </c>
      <c r="J764" s="3" t="s">
        <v>12</v>
      </c>
      <c r="K764" s="18">
        <v>75</v>
      </c>
      <c r="L764" s="16">
        <v>190</v>
      </c>
      <c r="M764" s="6" t="str" cm="1">
        <f t="array" ref="M764">_xlfn.IFS(L764&lt;100,"Economy",L764&lt;200,"Standard",L764&lt;350,"Powerful",L764&lt;500,"High Performance",L764&lt;800,"Sports Performance",L764&gt;=800,"Super Performance")</f>
        <v>Standard</v>
      </c>
    </row>
    <row r="765" spans="1:13" x14ac:dyDescent="0.25">
      <c r="A765" s="5" t="s">
        <v>93</v>
      </c>
      <c r="B765" s="3" t="s">
        <v>900</v>
      </c>
      <c r="C765" s="3" t="s">
        <v>904</v>
      </c>
      <c r="D765" s="4">
        <v>807921</v>
      </c>
      <c r="E765" s="3">
        <v>1248</v>
      </c>
      <c r="F765" s="3">
        <v>4</v>
      </c>
      <c r="G765" s="3" t="s">
        <v>36</v>
      </c>
      <c r="H765" s="3" t="s">
        <v>11</v>
      </c>
      <c r="I765" s="3">
        <v>5</v>
      </c>
      <c r="J765" s="3" t="s">
        <v>12</v>
      </c>
      <c r="K765" s="18">
        <v>75</v>
      </c>
      <c r="L765" s="16">
        <v>190</v>
      </c>
      <c r="M765" s="6" t="str" cm="1">
        <f t="array" ref="M765">_xlfn.IFS(L765&lt;100,"Economy",L765&lt;200,"Standard",L765&lt;350,"Powerful",L765&lt;500,"High Performance",L765&lt;800,"Sports Performance",L765&gt;=800,"Super Performance")</f>
        <v>Standard</v>
      </c>
    </row>
    <row r="766" spans="1:13" x14ac:dyDescent="0.25">
      <c r="A766" s="5" t="s">
        <v>93</v>
      </c>
      <c r="B766" s="3" t="s">
        <v>900</v>
      </c>
      <c r="C766" s="3" t="s">
        <v>905</v>
      </c>
      <c r="D766" s="4">
        <v>758212</v>
      </c>
      <c r="E766" s="3">
        <v>1197</v>
      </c>
      <c r="F766" s="3">
        <v>4</v>
      </c>
      <c r="G766" s="3" t="s">
        <v>10</v>
      </c>
      <c r="H766" s="3" t="s">
        <v>11</v>
      </c>
      <c r="I766" s="3">
        <v>5</v>
      </c>
      <c r="J766" s="3" t="s">
        <v>12</v>
      </c>
      <c r="K766" s="18">
        <v>83</v>
      </c>
      <c r="L766" s="16">
        <v>115</v>
      </c>
      <c r="M766" s="6" t="str" cm="1">
        <f t="array" ref="M766">_xlfn.IFS(L766&lt;100,"Economy",L766&lt;200,"Standard",L766&lt;350,"Powerful",L766&lt;500,"High Performance",L766&lt;800,"Sports Performance",L766&gt;=800,"Super Performance")</f>
        <v>Standard</v>
      </c>
    </row>
    <row r="767" spans="1:13" x14ac:dyDescent="0.25">
      <c r="A767" s="5" t="s">
        <v>93</v>
      </c>
      <c r="B767" s="3" t="s">
        <v>900</v>
      </c>
      <c r="C767" s="3" t="s">
        <v>906</v>
      </c>
      <c r="D767" s="4">
        <v>890212</v>
      </c>
      <c r="E767" s="3">
        <v>1197</v>
      </c>
      <c r="F767" s="3">
        <v>4</v>
      </c>
      <c r="G767" s="3" t="s">
        <v>10</v>
      </c>
      <c r="H767" s="3" t="s">
        <v>11</v>
      </c>
      <c r="I767" s="3">
        <v>5</v>
      </c>
      <c r="J767" s="3" t="s">
        <v>30</v>
      </c>
      <c r="K767" s="18">
        <v>83</v>
      </c>
      <c r="L767" s="16">
        <v>115</v>
      </c>
      <c r="M767" s="6" t="str" cm="1">
        <f t="array" ref="M767">_xlfn.IFS(L767&lt;100,"Economy",L767&lt;200,"Standard",L767&lt;350,"Powerful",L767&lt;500,"High Performance",L767&lt;800,"Sports Performance",L767&gt;=800,"Super Performance")</f>
        <v>Standard</v>
      </c>
    </row>
    <row r="768" spans="1:13" x14ac:dyDescent="0.25">
      <c r="A768" s="5" t="s">
        <v>93</v>
      </c>
      <c r="B768" s="3" t="s">
        <v>900</v>
      </c>
      <c r="C768" s="3" t="s">
        <v>907</v>
      </c>
      <c r="D768" s="4">
        <v>636612</v>
      </c>
      <c r="E768" s="3">
        <v>1197</v>
      </c>
      <c r="F768" s="3">
        <v>4</v>
      </c>
      <c r="G768" s="3" t="s">
        <v>10</v>
      </c>
      <c r="H768" s="3" t="s">
        <v>11</v>
      </c>
      <c r="I768" s="3">
        <v>5</v>
      </c>
      <c r="J768" s="3" t="s">
        <v>12</v>
      </c>
      <c r="K768" s="18">
        <v>83</v>
      </c>
      <c r="L768" s="16">
        <v>115</v>
      </c>
      <c r="M768" s="6" t="str" cm="1">
        <f t="array" ref="M768">_xlfn.IFS(L768&lt;100,"Economy",L768&lt;200,"Standard",L768&lt;350,"Powerful",L768&lt;500,"High Performance",L768&lt;800,"Sports Performance",L768&gt;=800,"Super Performance")</f>
        <v>Standard</v>
      </c>
    </row>
    <row r="769" spans="1:13" x14ac:dyDescent="0.25">
      <c r="A769" s="5" t="s">
        <v>93</v>
      </c>
      <c r="B769" s="3" t="s">
        <v>900</v>
      </c>
      <c r="C769" s="3" t="s">
        <v>908</v>
      </c>
      <c r="D769" s="4">
        <v>768612</v>
      </c>
      <c r="E769" s="3">
        <v>1197</v>
      </c>
      <c r="F769" s="3">
        <v>4</v>
      </c>
      <c r="G769" s="3" t="s">
        <v>10</v>
      </c>
      <c r="H769" s="3" t="s">
        <v>11</v>
      </c>
      <c r="I769" s="3">
        <v>5</v>
      </c>
      <c r="J769" s="3" t="s">
        <v>30</v>
      </c>
      <c r="K769" s="18">
        <v>83</v>
      </c>
      <c r="L769" s="16">
        <v>115</v>
      </c>
      <c r="M769" s="6" t="str" cm="1">
        <f t="array" ref="M769">_xlfn.IFS(L769&lt;100,"Economy",L769&lt;200,"Standard",L769&lt;350,"Powerful",L769&lt;500,"High Performance",L769&lt;800,"Sports Performance",L769&gt;=800,"Super Performance")</f>
        <v>Standard</v>
      </c>
    </row>
    <row r="770" spans="1:13" x14ac:dyDescent="0.25">
      <c r="A770" s="5" t="s">
        <v>93</v>
      </c>
      <c r="B770" s="3" t="s">
        <v>900</v>
      </c>
      <c r="C770" s="3" t="s">
        <v>909</v>
      </c>
      <c r="D770" s="4">
        <v>558602</v>
      </c>
      <c r="E770" s="3">
        <v>1197</v>
      </c>
      <c r="F770" s="3">
        <v>4</v>
      </c>
      <c r="G770" s="3" t="s">
        <v>10</v>
      </c>
      <c r="H770" s="3" t="s">
        <v>11</v>
      </c>
      <c r="I770" s="3">
        <v>5</v>
      </c>
      <c r="J770" s="3" t="s">
        <v>12</v>
      </c>
      <c r="K770" s="18">
        <v>83</v>
      </c>
      <c r="L770" s="16">
        <v>115</v>
      </c>
      <c r="M770" s="6" t="str" cm="1">
        <f t="array" ref="M770">_xlfn.IFS(L770&lt;100,"Economy",L770&lt;200,"Standard",L770&lt;350,"Powerful",L770&lt;500,"High Performance",L770&lt;800,"Sports Performance",L770&gt;=800,"Super Performance")</f>
        <v>Standard</v>
      </c>
    </row>
    <row r="771" spans="1:13" x14ac:dyDescent="0.25">
      <c r="A771" s="5" t="s">
        <v>93</v>
      </c>
      <c r="B771" s="3" t="s">
        <v>900</v>
      </c>
      <c r="C771" s="3" t="s">
        <v>910</v>
      </c>
      <c r="D771" s="4">
        <v>697912</v>
      </c>
      <c r="E771" s="3">
        <v>1197</v>
      </c>
      <c r="F771" s="3">
        <v>4</v>
      </c>
      <c r="G771" s="3" t="s">
        <v>10</v>
      </c>
      <c r="H771" s="3" t="s">
        <v>11</v>
      </c>
      <c r="I771" s="3">
        <v>5</v>
      </c>
      <c r="J771" s="3" t="s">
        <v>12</v>
      </c>
      <c r="K771" s="18">
        <v>83</v>
      </c>
      <c r="L771" s="16">
        <v>115</v>
      </c>
      <c r="M771" s="6" t="str" cm="1">
        <f t="array" ref="M771">_xlfn.IFS(L771&lt;100,"Economy",L771&lt;200,"Standard",L771&lt;350,"Powerful",L771&lt;500,"High Performance",L771&lt;800,"Sports Performance",L771&gt;=800,"Super Performance")</f>
        <v>Standard</v>
      </c>
    </row>
    <row r="772" spans="1:13" x14ac:dyDescent="0.25">
      <c r="A772" s="5" t="s">
        <v>93</v>
      </c>
      <c r="B772" s="3" t="s">
        <v>900</v>
      </c>
      <c r="C772" s="3" t="s">
        <v>911</v>
      </c>
      <c r="D772" s="4">
        <v>733412</v>
      </c>
      <c r="E772" s="3">
        <v>1197</v>
      </c>
      <c r="F772" s="3">
        <v>4</v>
      </c>
      <c r="G772" s="3" t="s">
        <v>10</v>
      </c>
      <c r="H772" s="3" t="s">
        <v>11</v>
      </c>
      <c r="I772" s="3">
        <v>5</v>
      </c>
      <c r="J772" s="3" t="s">
        <v>12</v>
      </c>
      <c r="K772" s="18">
        <v>83</v>
      </c>
      <c r="L772" s="16">
        <v>115</v>
      </c>
      <c r="M772" s="6" t="str" cm="1">
        <f t="array" ref="M772">_xlfn.IFS(L772&lt;100,"Economy",L772&lt;200,"Standard",L772&lt;350,"Powerful",L772&lt;500,"High Performance",L772&lt;800,"Sports Performance",L772&gt;=800,"Super Performance")</f>
        <v>Standard</v>
      </c>
    </row>
    <row r="773" spans="1:13" x14ac:dyDescent="0.25">
      <c r="A773" s="5" t="s">
        <v>93</v>
      </c>
      <c r="B773" s="3" t="s">
        <v>900</v>
      </c>
      <c r="C773" s="3" t="s">
        <v>912</v>
      </c>
      <c r="D773" s="4">
        <v>789912</v>
      </c>
      <c r="E773" s="3">
        <v>1197</v>
      </c>
      <c r="F773" s="3">
        <v>4</v>
      </c>
      <c r="G773" s="3" t="s">
        <v>10</v>
      </c>
      <c r="H773" s="3" t="s">
        <v>11</v>
      </c>
      <c r="I773" s="3">
        <v>5</v>
      </c>
      <c r="J773" s="3" t="s">
        <v>12</v>
      </c>
      <c r="K773" s="18">
        <v>83</v>
      </c>
      <c r="L773" s="16">
        <v>115</v>
      </c>
      <c r="M773" s="6" t="str" cm="1">
        <f t="array" ref="M773">_xlfn.IFS(L773&lt;100,"Economy",L773&lt;200,"Standard",L773&lt;350,"Powerful",L773&lt;500,"High Performance",L773&lt;800,"Sports Performance",L773&gt;=800,"Super Performance")</f>
        <v>Standard</v>
      </c>
    </row>
    <row r="774" spans="1:13" x14ac:dyDescent="0.25">
      <c r="A774" s="5" t="s">
        <v>93</v>
      </c>
      <c r="B774" s="3" t="s">
        <v>900</v>
      </c>
      <c r="C774" s="3" t="s">
        <v>913</v>
      </c>
      <c r="D774" s="4">
        <v>829912</v>
      </c>
      <c r="E774" s="3">
        <v>1197</v>
      </c>
      <c r="F774" s="3">
        <v>4</v>
      </c>
      <c r="G774" s="3" t="s">
        <v>10</v>
      </c>
      <c r="H774" s="3" t="s">
        <v>11</v>
      </c>
      <c r="I774" s="3">
        <v>5</v>
      </c>
      <c r="J774" s="3" t="s">
        <v>30</v>
      </c>
      <c r="K774" s="18">
        <v>83</v>
      </c>
      <c r="L774" s="16">
        <v>115</v>
      </c>
      <c r="M774" s="6" t="str" cm="1">
        <f t="array" ref="M774">_xlfn.IFS(L774&lt;100,"Economy",L774&lt;200,"Standard",L774&lt;350,"Powerful",L774&lt;500,"High Performance",L774&lt;800,"Sports Performance",L774&gt;=800,"Super Performance")</f>
        <v>Standard</v>
      </c>
    </row>
    <row r="775" spans="1:13" x14ac:dyDescent="0.25">
      <c r="A775" s="5" t="s">
        <v>93</v>
      </c>
      <c r="B775" s="3" t="s">
        <v>914</v>
      </c>
      <c r="C775" s="3" t="s">
        <v>915</v>
      </c>
      <c r="D775" s="4">
        <v>788913</v>
      </c>
      <c r="E775" s="3">
        <v>998</v>
      </c>
      <c r="F775" s="3">
        <v>3</v>
      </c>
      <c r="G775" s="3" t="s">
        <v>10</v>
      </c>
      <c r="H775" s="3" t="s">
        <v>11</v>
      </c>
      <c r="I775" s="3">
        <v>5</v>
      </c>
      <c r="J775" s="3" t="s">
        <v>12</v>
      </c>
      <c r="K775" s="18">
        <v>102</v>
      </c>
      <c r="L775" s="16">
        <v>150</v>
      </c>
      <c r="M775" s="6" t="str" cm="1">
        <f t="array" ref="M775">_xlfn.IFS(L775&lt;100,"Economy",L775&lt;200,"Standard",L775&lt;350,"Powerful",L775&lt;500,"High Performance",L775&lt;800,"Sports Performance",L775&gt;=800,"Super Performance")</f>
        <v>Standard</v>
      </c>
    </row>
    <row r="776" spans="1:13" x14ac:dyDescent="0.25">
      <c r="A776" s="5" t="s">
        <v>202</v>
      </c>
      <c r="B776" s="3" t="s">
        <v>916</v>
      </c>
      <c r="C776" s="3" t="s">
        <v>917</v>
      </c>
      <c r="D776" s="4">
        <v>854328</v>
      </c>
      <c r="E776" s="3">
        <v>1493</v>
      </c>
      <c r="F776" s="3">
        <v>3</v>
      </c>
      <c r="G776" s="3" t="s">
        <v>36</v>
      </c>
      <c r="H776" s="3" t="s">
        <v>66</v>
      </c>
      <c r="I776" s="3">
        <v>7</v>
      </c>
      <c r="J776" s="3" t="s">
        <v>12</v>
      </c>
      <c r="K776" s="18">
        <v>84</v>
      </c>
      <c r="L776" s="16">
        <v>240</v>
      </c>
      <c r="M776" s="6" t="str" cm="1">
        <f t="array" ref="M776">_xlfn.IFS(L776&lt;100,"Economy",L776&lt;200,"Standard",L776&lt;350,"Powerful",L776&lt;500,"High Performance",L776&lt;800,"Sports Performance",L776&gt;=800,"Super Performance")</f>
        <v>Powerful</v>
      </c>
    </row>
    <row r="777" spans="1:13" x14ac:dyDescent="0.25">
      <c r="A777" s="5" t="s">
        <v>202</v>
      </c>
      <c r="B777" s="3" t="s">
        <v>916</v>
      </c>
      <c r="C777" s="3" t="s">
        <v>918</v>
      </c>
      <c r="D777" s="4">
        <v>914328</v>
      </c>
      <c r="E777" s="3">
        <v>1493</v>
      </c>
      <c r="F777" s="3">
        <v>3</v>
      </c>
      <c r="G777" s="3" t="s">
        <v>36</v>
      </c>
      <c r="H777" s="3" t="s">
        <v>66</v>
      </c>
      <c r="I777" s="3">
        <v>7</v>
      </c>
      <c r="J777" s="3" t="s">
        <v>12</v>
      </c>
      <c r="K777" s="18">
        <v>84</v>
      </c>
      <c r="L777" s="16">
        <v>240</v>
      </c>
      <c r="M777" s="6" t="str" cm="1">
        <f t="array" ref="M777">_xlfn.IFS(L777&lt;100,"Economy",L777&lt;200,"Standard",L777&lt;350,"Powerful",L777&lt;500,"High Performance",L777&lt;800,"Sports Performance",L777&gt;=800,"Super Performance")</f>
        <v>Powerful</v>
      </c>
    </row>
    <row r="778" spans="1:13" x14ac:dyDescent="0.25">
      <c r="A778" s="5" t="s">
        <v>202</v>
      </c>
      <c r="B778" s="3" t="s">
        <v>916</v>
      </c>
      <c r="C778" s="3" t="s">
        <v>919</v>
      </c>
      <c r="D778" s="4">
        <v>976592</v>
      </c>
      <c r="E778" s="3">
        <v>1493</v>
      </c>
      <c r="F778" s="3">
        <v>3</v>
      </c>
      <c r="G778" s="3" t="s">
        <v>36</v>
      </c>
      <c r="H778" s="3" t="s">
        <v>66</v>
      </c>
      <c r="I778" s="3">
        <v>7</v>
      </c>
      <c r="J778" s="3" t="s">
        <v>12</v>
      </c>
      <c r="K778" s="18">
        <v>84</v>
      </c>
      <c r="L778" s="16">
        <v>240</v>
      </c>
      <c r="M778" s="6" t="str" cm="1">
        <f t="array" ref="M778">_xlfn.IFS(L778&lt;100,"Economy",L778&lt;200,"Standard",L778&lt;350,"Powerful",L778&lt;500,"High Performance",L778&lt;800,"Sports Performance",L778&gt;=800,"Super Performance")</f>
        <v>Powerful</v>
      </c>
    </row>
    <row r="779" spans="1:13" x14ac:dyDescent="0.25">
      <c r="A779" s="5" t="s">
        <v>202</v>
      </c>
      <c r="B779" s="3" t="s">
        <v>916</v>
      </c>
      <c r="C779" s="3" t="s">
        <v>920</v>
      </c>
      <c r="D779" s="4">
        <v>999614</v>
      </c>
      <c r="E779" s="3">
        <v>1493</v>
      </c>
      <c r="F779" s="3">
        <v>3</v>
      </c>
      <c r="G779" s="3" t="s">
        <v>36</v>
      </c>
      <c r="H779" s="3" t="s">
        <v>66</v>
      </c>
      <c r="I779" s="3">
        <v>7</v>
      </c>
      <c r="J779" s="3" t="s">
        <v>12</v>
      </c>
      <c r="K779" s="18">
        <v>100</v>
      </c>
      <c r="L779" s="16">
        <v>240</v>
      </c>
      <c r="M779" s="6" t="str" cm="1">
        <f t="array" ref="M779">_xlfn.IFS(L779&lt;100,"Economy",L779&lt;200,"Standard",L779&lt;350,"Powerful",L779&lt;500,"High Performance",L779&lt;800,"Sports Performance",L779&gt;=800,"Super Performance")</f>
        <v>Powerful</v>
      </c>
    </row>
    <row r="780" spans="1:13" x14ac:dyDescent="0.25">
      <c r="A780" s="5" t="s">
        <v>202</v>
      </c>
      <c r="B780" s="3" t="s">
        <v>916</v>
      </c>
      <c r="C780" s="3" t="s">
        <v>921</v>
      </c>
      <c r="D780" s="4">
        <v>1031943</v>
      </c>
      <c r="E780" s="3">
        <v>1493</v>
      </c>
      <c r="F780" s="3">
        <v>3</v>
      </c>
      <c r="G780" s="3" t="s">
        <v>36</v>
      </c>
      <c r="H780" s="3" t="s">
        <v>66</v>
      </c>
      <c r="I780" s="3">
        <v>7</v>
      </c>
      <c r="J780" s="3" t="s">
        <v>12</v>
      </c>
      <c r="K780" s="18">
        <v>100</v>
      </c>
      <c r="L780" s="16">
        <v>240</v>
      </c>
      <c r="M780" s="6" t="str" cm="1">
        <f t="array" ref="M780">_xlfn.IFS(L780&lt;100,"Economy",L780&lt;200,"Standard",L780&lt;350,"Powerful",L780&lt;500,"High Performance",L780&lt;800,"Sports Performance",L780&gt;=800,"Super Performance")</f>
        <v>Powerful</v>
      </c>
    </row>
    <row r="781" spans="1:13" x14ac:dyDescent="0.25">
      <c r="A781" s="5" t="s">
        <v>202</v>
      </c>
      <c r="B781" s="3" t="s">
        <v>916</v>
      </c>
      <c r="C781" s="3" t="s">
        <v>922</v>
      </c>
      <c r="D781" s="4">
        <v>1022930</v>
      </c>
      <c r="E781" s="3">
        <v>1493</v>
      </c>
      <c r="F781" s="3">
        <v>3</v>
      </c>
      <c r="G781" s="3" t="s">
        <v>36</v>
      </c>
      <c r="H781" s="3" t="s">
        <v>66</v>
      </c>
      <c r="I781" s="3">
        <v>7</v>
      </c>
      <c r="J781" s="3" t="s">
        <v>12</v>
      </c>
      <c r="K781" s="18">
        <v>100</v>
      </c>
      <c r="L781" s="16">
        <v>240</v>
      </c>
      <c r="M781" s="6" t="str" cm="1">
        <f t="array" ref="M781">_xlfn.IFS(L781&lt;100,"Economy",L781&lt;200,"Standard",L781&lt;350,"Powerful",L781&lt;500,"High Performance",L781&lt;800,"Sports Performance",L781&gt;=800,"Super Performance")</f>
        <v>Powerful</v>
      </c>
    </row>
    <row r="782" spans="1:13" x14ac:dyDescent="0.25">
      <c r="A782" s="5" t="s">
        <v>202</v>
      </c>
      <c r="B782" s="3" t="s">
        <v>916</v>
      </c>
      <c r="C782" s="3" t="s">
        <v>923</v>
      </c>
      <c r="D782" s="4">
        <v>1055259</v>
      </c>
      <c r="E782" s="3">
        <v>1493</v>
      </c>
      <c r="F782" s="3">
        <v>3</v>
      </c>
      <c r="G782" s="3" t="s">
        <v>36</v>
      </c>
      <c r="H782" s="3" t="s">
        <v>66</v>
      </c>
      <c r="I782" s="3">
        <v>7</v>
      </c>
      <c r="J782" s="3" t="s">
        <v>12</v>
      </c>
      <c r="K782" s="18">
        <v>100</v>
      </c>
      <c r="L782" s="16">
        <v>240</v>
      </c>
      <c r="M782" s="6" t="str" cm="1">
        <f t="array" ref="M782">_xlfn.IFS(L782&lt;100,"Economy",L782&lt;200,"Standard",L782&lt;350,"Powerful",L782&lt;500,"High Performance",L782&lt;800,"Sports Performance",L782&gt;=800,"Super Performance")</f>
        <v>Powerful</v>
      </c>
    </row>
    <row r="783" spans="1:13" x14ac:dyDescent="0.25">
      <c r="A783" s="5" t="s">
        <v>7</v>
      </c>
      <c r="B783" s="3" t="s">
        <v>924</v>
      </c>
      <c r="C783" s="3" t="s">
        <v>925</v>
      </c>
      <c r="D783" s="4">
        <v>643769</v>
      </c>
      <c r="E783" s="3">
        <v>1197</v>
      </c>
      <c r="F783" s="3">
        <v>4</v>
      </c>
      <c r="G783" s="3" t="s">
        <v>10</v>
      </c>
      <c r="H783" s="3" t="s">
        <v>27</v>
      </c>
      <c r="I783" s="3">
        <v>5</v>
      </c>
      <c r="J783" s="3" t="s">
        <v>12</v>
      </c>
      <c r="K783" s="18">
        <v>83</v>
      </c>
      <c r="L783" s="16">
        <v>114</v>
      </c>
      <c r="M783" s="6" t="str" cm="1">
        <f t="array" ref="M783">_xlfn.IFS(L783&lt;100,"Economy",L783&lt;200,"Standard",L783&lt;350,"Powerful",L783&lt;500,"High Performance",L783&lt;800,"Sports Performance",L783&gt;=800,"Super Performance")</f>
        <v>Standard</v>
      </c>
    </row>
    <row r="784" spans="1:13" x14ac:dyDescent="0.25">
      <c r="A784" s="5" t="s">
        <v>7</v>
      </c>
      <c r="B784" s="3" t="s">
        <v>924</v>
      </c>
      <c r="C784" s="3" t="s">
        <v>926</v>
      </c>
      <c r="D784" s="4">
        <v>733734</v>
      </c>
      <c r="E784" s="3">
        <v>1197</v>
      </c>
      <c r="F784" s="3">
        <v>4</v>
      </c>
      <c r="G784" s="3" t="s">
        <v>10</v>
      </c>
      <c r="H784" s="3" t="s">
        <v>27</v>
      </c>
      <c r="I784" s="3">
        <v>5</v>
      </c>
      <c r="J784" s="3" t="s">
        <v>30</v>
      </c>
      <c r="K784" s="18">
        <v>82</v>
      </c>
      <c r="L784" s="16">
        <v>114</v>
      </c>
      <c r="M784" s="6" t="str" cm="1">
        <f t="array" ref="M784">_xlfn.IFS(L784&lt;100,"Economy",L784&lt;200,"Standard",L784&lt;350,"Powerful",L784&lt;500,"High Performance",L784&lt;800,"Sports Performance",L784&gt;=800,"Super Performance")</f>
        <v>Standard</v>
      </c>
    </row>
    <row r="785" spans="1:13" x14ac:dyDescent="0.25">
      <c r="A785" s="5" t="s">
        <v>7</v>
      </c>
      <c r="B785" s="3" t="s">
        <v>924</v>
      </c>
      <c r="C785" s="3" t="s">
        <v>927</v>
      </c>
      <c r="D785" s="4">
        <v>705546</v>
      </c>
      <c r="E785" s="3">
        <v>1197</v>
      </c>
      <c r="F785" s="3">
        <v>4</v>
      </c>
      <c r="G785" s="3" t="s">
        <v>10</v>
      </c>
      <c r="H785" s="3" t="s">
        <v>27</v>
      </c>
      <c r="I785" s="3">
        <v>5</v>
      </c>
      <c r="J785" s="3" t="s">
        <v>12</v>
      </c>
      <c r="K785" s="18">
        <v>82</v>
      </c>
      <c r="L785" s="16">
        <v>114</v>
      </c>
      <c r="M785" s="6" t="str" cm="1">
        <f t="array" ref="M785">_xlfn.IFS(L785&lt;100,"Economy",L785&lt;200,"Standard",L785&lt;350,"Powerful",L785&lt;500,"High Performance",L785&lt;800,"Sports Performance",L785&gt;=800,"Super Performance")</f>
        <v>Standard</v>
      </c>
    </row>
    <row r="786" spans="1:13" x14ac:dyDescent="0.25">
      <c r="A786" s="5" t="s">
        <v>7</v>
      </c>
      <c r="B786" s="3" t="s">
        <v>924</v>
      </c>
      <c r="C786" s="3" t="s">
        <v>928</v>
      </c>
      <c r="D786" s="4">
        <v>782346</v>
      </c>
      <c r="E786" s="3">
        <v>1197</v>
      </c>
      <c r="F786" s="3">
        <v>4</v>
      </c>
      <c r="G786" s="3" t="s">
        <v>10</v>
      </c>
      <c r="H786" s="3" t="s">
        <v>27</v>
      </c>
      <c r="I786" s="3">
        <v>5</v>
      </c>
      <c r="J786" s="3" t="s">
        <v>12</v>
      </c>
      <c r="K786" s="18">
        <v>82</v>
      </c>
      <c r="L786" s="16">
        <v>114</v>
      </c>
      <c r="M786" s="6" t="str" cm="1">
        <f t="array" ref="M786">_xlfn.IFS(L786&lt;100,"Economy",L786&lt;200,"Standard",L786&lt;350,"Powerful",L786&lt;500,"High Performance",L786&lt;800,"Sports Performance",L786&gt;=800,"Super Performance")</f>
        <v>Standard</v>
      </c>
    </row>
    <row r="787" spans="1:13" x14ac:dyDescent="0.25">
      <c r="A787" s="5" t="s">
        <v>7</v>
      </c>
      <c r="B787" s="3" t="s">
        <v>924</v>
      </c>
      <c r="C787" s="3" t="s">
        <v>929</v>
      </c>
      <c r="D787" s="4">
        <v>742033</v>
      </c>
      <c r="E787" s="3">
        <v>1120</v>
      </c>
      <c r="F787" s="3">
        <v>3</v>
      </c>
      <c r="G787" s="3" t="s">
        <v>36</v>
      </c>
      <c r="H787" s="3" t="s">
        <v>27</v>
      </c>
      <c r="I787" s="3">
        <v>5</v>
      </c>
      <c r="J787" s="3" t="s">
        <v>12</v>
      </c>
      <c r="K787" s="18">
        <v>72</v>
      </c>
      <c r="L787" s="16">
        <v>180</v>
      </c>
      <c r="M787" s="6" t="str" cm="1">
        <f t="array" ref="M787">_xlfn.IFS(L787&lt;100,"Economy",L787&lt;200,"Standard",L787&lt;350,"Powerful",L787&lt;500,"High Performance",L787&lt;800,"Sports Performance",L787&gt;=800,"Super Performance")</f>
        <v>Standard</v>
      </c>
    </row>
    <row r="788" spans="1:13" x14ac:dyDescent="0.25">
      <c r="A788" s="5" t="s">
        <v>7</v>
      </c>
      <c r="B788" s="3" t="s">
        <v>924</v>
      </c>
      <c r="C788" s="3" t="s">
        <v>930</v>
      </c>
      <c r="D788" s="4">
        <v>581078</v>
      </c>
      <c r="E788" s="3">
        <v>1197</v>
      </c>
      <c r="F788" s="3">
        <v>4</v>
      </c>
      <c r="G788" s="3" t="s">
        <v>10</v>
      </c>
      <c r="H788" s="3" t="s">
        <v>27</v>
      </c>
      <c r="I788" s="3">
        <v>5</v>
      </c>
      <c r="J788" s="3" t="s">
        <v>12</v>
      </c>
      <c r="K788" s="18">
        <v>83</v>
      </c>
      <c r="L788" s="16">
        <v>114</v>
      </c>
      <c r="M788" s="6" t="str" cm="1">
        <f t="array" ref="M788">_xlfn.IFS(L788&lt;100,"Economy",L788&lt;200,"Standard",L788&lt;350,"Powerful",L788&lt;500,"High Performance",L788&lt;800,"Sports Performance",L788&gt;=800,"Super Performance")</f>
        <v>Standard</v>
      </c>
    </row>
    <row r="789" spans="1:13" x14ac:dyDescent="0.25">
      <c r="A789" s="5" t="s">
        <v>7</v>
      </c>
      <c r="B789" s="3" t="s">
        <v>924</v>
      </c>
      <c r="C789" s="3" t="s">
        <v>931</v>
      </c>
      <c r="D789" s="4">
        <v>798558</v>
      </c>
      <c r="E789" s="3">
        <v>1120</v>
      </c>
      <c r="F789" s="3">
        <v>3</v>
      </c>
      <c r="G789" s="3" t="s">
        <v>36</v>
      </c>
      <c r="H789" s="3" t="s">
        <v>27</v>
      </c>
      <c r="I789" s="3">
        <v>5</v>
      </c>
      <c r="J789" s="3" t="s">
        <v>12</v>
      </c>
      <c r="K789" s="18">
        <v>75</v>
      </c>
      <c r="L789" s="16">
        <v>190</v>
      </c>
      <c r="M789" s="6" t="str" cm="1">
        <f t="array" ref="M789">_xlfn.IFS(L789&lt;100,"Economy",L789&lt;200,"Standard",L789&lt;350,"Powerful",L789&lt;500,"High Performance",L789&lt;800,"Sports Performance",L789&gt;=800,"Super Performance")</f>
        <v>Standard</v>
      </c>
    </row>
    <row r="790" spans="1:13" x14ac:dyDescent="0.25">
      <c r="A790" s="5" t="s">
        <v>7</v>
      </c>
      <c r="B790" s="3" t="s">
        <v>924</v>
      </c>
      <c r="C790" s="3" t="s">
        <v>932</v>
      </c>
      <c r="D790" s="4">
        <v>875358</v>
      </c>
      <c r="E790" s="3">
        <v>1120</v>
      </c>
      <c r="F790" s="3">
        <v>3</v>
      </c>
      <c r="G790" s="3" t="s">
        <v>36</v>
      </c>
      <c r="H790" s="3" t="s">
        <v>27</v>
      </c>
      <c r="I790" s="3">
        <v>5</v>
      </c>
      <c r="J790" s="3" t="s">
        <v>12</v>
      </c>
      <c r="K790" s="18">
        <v>72</v>
      </c>
      <c r="L790" s="16">
        <v>190</v>
      </c>
      <c r="M790" s="6" t="str" cm="1">
        <f t="array" ref="M790">_xlfn.IFS(L790&lt;100,"Economy",L790&lt;200,"Standard",L790&lt;350,"Powerful",L790&lt;500,"High Performance",L790&lt;800,"Sports Performance",L790&gt;=800,"Super Performance")</f>
        <v>Standard</v>
      </c>
    </row>
    <row r="791" spans="1:13" x14ac:dyDescent="0.25">
      <c r="A791" s="5" t="s">
        <v>7</v>
      </c>
      <c r="B791" s="3" t="s">
        <v>924</v>
      </c>
      <c r="C791" s="3" t="s">
        <v>933</v>
      </c>
      <c r="D791" s="4">
        <v>673261</v>
      </c>
      <c r="E791" s="3">
        <v>1197</v>
      </c>
      <c r="F791" s="3">
        <v>4</v>
      </c>
      <c r="G791" s="3" t="s">
        <v>36</v>
      </c>
      <c r="H791" s="3" t="s">
        <v>27</v>
      </c>
      <c r="I791" s="3">
        <v>5</v>
      </c>
      <c r="J791" s="3" t="s">
        <v>12</v>
      </c>
      <c r="K791" s="18">
        <v>75</v>
      </c>
      <c r="L791" s="16">
        <v>190</v>
      </c>
      <c r="M791" s="6" t="str" cm="1">
        <f t="array" ref="M791">_xlfn.IFS(L791&lt;100,"Economy",L791&lt;200,"Standard",L791&lt;350,"Powerful",L791&lt;500,"High Performance",L791&lt;800,"Sports Performance",L791&gt;=800,"Super Performance")</f>
        <v>Standard</v>
      </c>
    </row>
    <row r="792" spans="1:13" x14ac:dyDescent="0.25">
      <c r="A792" s="5" t="s">
        <v>93</v>
      </c>
      <c r="B792" s="3" t="s">
        <v>699</v>
      </c>
      <c r="C792" s="3" t="s">
        <v>934</v>
      </c>
      <c r="D792" s="4">
        <v>380573</v>
      </c>
      <c r="E792" s="3">
        <v>1196</v>
      </c>
      <c r="F792" s="3">
        <v>4</v>
      </c>
      <c r="G792" s="3" t="s">
        <v>10</v>
      </c>
      <c r="H792" s="3" t="s">
        <v>226</v>
      </c>
      <c r="I792" s="3">
        <v>7</v>
      </c>
      <c r="J792" s="3" t="s">
        <v>12</v>
      </c>
      <c r="K792" s="18">
        <v>74</v>
      </c>
      <c r="L792" s="16">
        <v>101</v>
      </c>
      <c r="M792" s="6" t="str" cm="1">
        <f t="array" ref="M792">_xlfn.IFS(L792&lt;100,"Economy",L792&lt;200,"Standard",L792&lt;350,"Powerful",L792&lt;500,"High Performance",L792&lt;800,"Sports Performance",L792&gt;=800,"Super Performance")</f>
        <v>Standard</v>
      </c>
    </row>
    <row r="793" spans="1:13" x14ac:dyDescent="0.25">
      <c r="A793" s="5" t="s">
        <v>935</v>
      </c>
      <c r="B793" s="3" t="s">
        <v>936</v>
      </c>
      <c r="C793" s="3" t="s">
        <v>937</v>
      </c>
      <c r="D793" s="4">
        <v>3407407</v>
      </c>
      <c r="E793" s="3">
        <v>2000</v>
      </c>
      <c r="F793" s="3">
        <v>4</v>
      </c>
      <c r="G793" s="3" t="s">
        <v>10</v>
      </c>
      <c r="H793" s="3" t="s">
        <v>212</v>
      </c>
      <c r="I793" s="3">
        <v>2</v>
      </c>
      <c r="J793" s="3" t="s">
        <v>12</v>
      </c>
      <c r="K793" s="18">
        <v>250</v>
      </c>
      <c r="L793" s="16">
        <v>340</v>
      </c>
      <c r="M793" s="6" t="str" cm="1">
        <f t="array" ref="M793">_xlfn.IFS(L793&lt;100,"Economy",L793&lt;200,"Standard",L793&lt;350,"Powerful",L793&lt;500,"High Performance",L793&lt;800,"Sports Performance",L793&gt;=800,"Super Performance")</f>
        <v>Powerful</v>
      </c>
    </row>
    <row r="794" spans="1:13" x14ac:dyDescent="0.25">
      <c r="A794" s="5" t="s">
        <v>40</v>
      </c>
      <c r="B794" s="3" t="s">
        <v>938</v>
      </c>
      <c r="C794" s="3" t="s">
        <v>939</v>
      </c>
      <c r="D794" s="4">
        <v>7462000</v>
      </c>
      <c r="E794" s="3">
        <v>4951</v>
      </c>
      <c r="F794" s="3">
        <v>8</v>
      </c>
      <c r="G794" s="3" t="s">
        <v>10</v>
      </c>
      <c r="H794" s="3" t="s">
        <v>1391</v>
      </c>
      <c r="I794" s="3">
        <v>4</v>
      </c>
      <c r="J794" s="3" t="s">
        <v>30</v>
      </c>
      <c r="K794" s="18">
        <v>401</v>
      </c>
      <c r="L794" s="16">
        <v>515</v>
      </c>
      <c r="M794" s="6" t="str" cm="1">
        <f t="array" ref="M794">_xlfn.IFS(L794&lt;100,"Economy",L794&lt;200,"Standard",L794&lt;350,"Powerful",L794&lt;500,"High Performance",L794&lt;800,"Sports Performance",L794&gt;=800,"Super Performance")</f>
        <v>Sports Performance</v>
      </c>
    </row>
    <row r="795" spans="1:13" x14ac:dyDescent="0.25">
      <c r="A795" s="5" t="s">
        <v>90</v>
      </c>
      <c r="B795" s="3" t="s">
        <v>940</v>
      </c>
      <c r="C795" s="3" t="s">
        <v>941</v>
      </c>
      <c r="D795" s="4">
        <v>7711338</v>
      </c>
      <c r="E795" s="3">
        <v>2996</v>
      </c>
      <c r="F795" s="3">
        <v>6</v>
      </c>
      <c r="G795" s="3" t="s">
        <v>10</v>
      </c>
      <c r="H795" s="3" t="s">
        <v>206</v>
      </c>
      <c r="I795" s="3">
        <v>4</v>
      </c>
      <c r="J795" s="3" t="s">
        <v>30</v>
      </c>
      <c r="K795" s="18">
        <v>334</v>
      </c>
      <c r="L795" s="16">
        <v>480</v>
      </c>
      <c r="M795" s="6" t="str" cm="1">
        <f t="array" ref="M795">_xlfn.IFS(L795&lt;100,"Economy",L795&lt;200,"Standard",L795&lt;350,"Powerful",L795&lt;500,"High Performance",L795&lt;800,"Sports Performance",L795&gt;=800,"Super Performance")</f>
        <v>High Performance</v>
      </c>
    </row>
    <row r="796" spans="1:13" x14ac:dyDescent="0.25">
      <c r="A796" s="5" t="s">
        <v>78</v>
      </c>
      <c r="B796" s="3" t="s">
        <v>942</v>
      </c>
      <c r="C796" s="3" t="s">
        <v>212</v>
      </c>
      <c r="D796" s="4">
        <v>8180000</v>
      </c>
      <c r="E796" s="3">
        <v>2979</v>
      </c>
      <c r="F796" s="3">
        <v>6</v>
      </c>
      <c r="G796" s="3" t="s">
        <v>10</v>
      </c>
      <c r="H796" s="3" t="s">
        <v>212</v>
      </c>
      <c r="I796" s="3">
        <v>4</v>
      </c>
      <c r="J796" s="3" t="s">
        <v>30</v>
      </c>
      <c r="K796" s="18">
        <v>410</v>
      </c>
      <c r="L796" s="16">
        <v>550</v>
      </c>
      <c r="M796" s="6" t="str" cm="1">
        <f t="array" ref="M796">_xlfn.IFS(L796&lt;100,"Economy",L796&lt;200,"Standard",L796&lt;350,"Powerful",L796&lt;500,"High Performance",L796&lt;800,"Sports Performance",L796&gt;=800,"Super Performance")</f>
        <v>Sports Performance</v>
      </c>
    </row>
    <row r="797" spans="1:13" x14ac:dyDescent="0.25">
      <c r="A797" s="5" t="s">
        <v>297</v>
      </c>
      <c r="B797" s="3">
        <v>718</v>
      </c>
      <c r="C797" s="3" t="s">
        <v>943</v>
      </c>
      <c r="D797" s="4">
        <v>8995000</v>
      </c>
      <c r="E797" s="3">
        <v>1988</v>
      </c>
      <c r="F797" s="3">
        <v>4</v>
      </c>
      <c r="G797" s="3" t="s">
        <v>10</v>
      </c>
      <c r="H797" s="3" t="s">
        <v>206</v>
      </c>
      <c r="I797" s="3">
        <v>2</v>
      </c>
      <c r="J797" s="3" t="s">
        <v>30</v>
      </c>
      <c r="K797" s="18">
        <v>300</v>
      </c>
      <c r="L797" s="16">
        <v>380</v>
      </c>
      <c r="M797" s="6" t="str" cm="1">
        <f t="array" ref="M797">_xlfn.IFS(L797&lt;100,"Economy",L797&lt;200,"Standard",L797&lt;350,"Powerful",L797&lt;500,"High Performance",L797&lt;800,"Sports Performance",L797&gt;=800,"Super Performance")</f>
        <v>High Performance</v>
      </c>
    </row>
    <row r="798" spans="1:13" x14ac:dyDescent="0.25">
      <c r="A798" s="5" t="s">
        <v>297</v>
      </c>
      <c r="B798" s="3">
        <v>718</v>
      </c>
      <c r="C798" s="3" t="s">
        <v>944</v>
      </c>
      <c r="D798" s="4">
        <v>8595000</v>
      </c>
      <c r="E798" s="3">
        <v>1988</v>
      </c>
      <c r="F798" s="3">
        <v>4</v>
      </c>
      <c r="G798" s="3" t="s">
        <v>10</v>
      </c>
      <c r="H798" s="3" t="s">
        <v>212</v>
      </c>
      <c r="I798" s="3">
        <v>2</v>
      </c>
      <c r="J798" s="3" t="s">
        <v>30</v>
      </c>
      <c r="K798" s="18">
        <v>300</v>
      </c>
      <c r="L798" s="16">
        <v>380</v>
      </c>
      <c r="M798" s="6" t="str" cm="1">
        <f t="array" ref="M798">_xlfn.IFS(L798&lt;100,"Economy",L798&lt;200,"Standard",L798&lt;350,"Powerful",L798&lt;500,"High Performance",L798&lt;800,"Sports Performance",L798&gt;=800,"Super Performance")</f>
        <v>High Performance</v>
      </c>
    </row>
    <row r="799" spans="1:13" x14ac:dyDescent="0.25">
      <c r="A799" s="5" t="s">
        <v>78</v>
      </c>
      <c r="B799" s="3" t="s">
        <v>558</v>
      </c>
      <c r="C799" s="3" t="s">
        <v>945</v>
      </c>
      <c r="D799" s="4">
        <v>12290000</v>
      </c>
      <c r="E799" s="3">
        <v>2993</v>
      </c>
      <c r="F799" s="3">
        <v>6</v>
      </c>
      <c r="G799" s="3" t="s">
        <v>36</v>
      </c>
      <c r="H799" s="3" t="s">
        <v>27</v>
      </c>
      <c r="I799" s="3">
        <v>4</v>
      </c>
      <c r="J799" s="3" t="s">
        <v>30</v>
      </c>
      <c r="K799" s="18">
        <v>265</v>
      </c>
      <c r="L799" s="16">
        <v>620</v>
      </c>
      <c r="M799" s="6" t="str" cm="1">
        <f t="array" ref="M799">_xlfn.IFS(L799&lt;100,"Economy",L799&lt;200,"Standard",L799&lt;350,"Powerful",L799&lt;500,"High Performance",L799&lt;800,"Sports Performance",L799&gt;=800,"Super Performance")</f>
        <v>Sports Performance</v>
      </c>
    </row>
    <row r="800" spans="1:13" x14ac:dyDescent="0.25">
      <c r="A800" s="5" t="s">
        <v>78</v>
      </c>
      <c r="B800" s="3" t="s">
        <v>558</v>
      </c>
      <c r="C800" s="3" t="s">
        <v>946</v>
      </c>
      <c r="D800" s="4">
        <v>13200000</v>
      </c>
      <c r="E800" s="3">
        <v>2993</v>
      </c>
      <c r="F800" s="3">
        <v>6</v>
      </c>
      <c r="G800" s="3" t="s">
        <v>36</v>
      </c>
      <c r="H800" s="3" t="s">
        <v>27</v>
      </c>
      <c r="I800" s="3">
        <v>4</v>
      </c>
      <c r="J800" s="3" t="s">
        <v>30</v>
      </c>
      <c r="K800" s="18">
        <v>265</v>
      </c>
      <c r="L800" s="16">
        <v>620</v>
      </c>
      <c r="M800" s="6" t="str" cm="1">
        <f t="array" ref="M800">_xlfn.IFS(L800&lt;100,"Economy",L800&lt;200,"Standard",L800&lt;350,"Powerful",L800&lt;500,"High Performance",L800&lt;800,"Sports Performance",L800&gt;=800,"Super Performance")</f>
        <v>Sports Performance</v>
      </c>
    </row>
    <row r="801" spans="1:13" x14ac:dyDescent="0.25">
      <c r="A801" s="5" t="s">
        <v>78</v>
      </c>
      <c r="B801" s="3" t="s">
        <v>558</v>
      </c>
      <c r="C801" s="3" t="s">
        <v>947</v>
      </c>
      <c r="D801" s="4">
        <v>13510000</v>
      </c>
      <c r="E801" s="3">
        <v>2993</v>
      </c>
      <c r="F801" s="3">
        <v>6</v>
      </c>
      <c r="G801" s="3" t="s">
        <v>36</v>
      </c>
      <c r="H801" s="3" t="s">
        <v>27</v>
      </c>
      <c r="I801" s="3">
        <v>4</v>
      </c>
      <c r="J801" s="3" t="s">
        <v>30</v>
      </c>
      <c r="K801" s="18">
        <v>265</v>
      </c>
      <c r="L801" s="16">
        <v>620</v>
      </c>
      <c r="M801" s="6" t="str" cm="1">
        <f t="array" ref="M801">_xlfn.IFS(L801&lt;100,"Economy",L801&lt;200,"Standard",L801&lt;350,"Powerful",L801&lt;500,"High Performance",L801&lt;800,"Sports Performance",L801&gt;=800,"Super Performance")</f>
        <v>Sports Performance</v>
      </c>
    </row>
    <row r="802" spans="1:13" x14ac:dyDescent="0.25">
      <c r="A802" s="5" t="s">
        <v>90</v>
      </c>
      <c r="B802" s="3" t="s">
        <v>948</v>
      </c>
      <c r="C802" s="3" t="s">
        <v>949</v>
      </c>
      <c r="D802" s="4">
        <v>25500000</v>
      </c>
      <c r="E802" s="3">
        <v>3982</v>
      </c>
      <c r="F802" s="3">
        <v>8</v>
      </c>
      <c r="G802" s="3" t="s">
        <v>10</v>
      </c>
      <c r="H802" s="3" t="s">
        <v>212</v>
      </c>
      <c r="I802" s="3">
        <v>4</v>
      </c>
      <c r="J802" s="3" t="s">
        <v>30</v>
      </c>
      <c r="K802" s="18">
        <v>450</v>
      </c>
      <c r="L802" s="16">
        <v>900</v>
      </c>
      <c r="M802" s="6" t="str" cm="1">
        <f t="array" ref="M802">_xlfn.IFS(L802&lt;100,"Economy",L802&lt;200,"Standard",L802&lt;350,"Powerful",L802&lt;500,"High Performance",L802&lt;800,"Sports Performance",L802&gt;=800,"Super Performance")</f>
        <v>Super Performance</v>
      </c>
    </row>
    <row r="803" spans="1:13" x14ac:dyDescent="0.25">
      <c r="A803" s="5" t="s">
        <v>150</v>
      </c>
      <c r="B803" s="3" t="s">
        <v>950</v>
      </c>
      <c r="C803" s="3" t="s">
        <v>219</v>
      </c>
      <c r="D803" s="4">
        <v>17229579</v>
      </c>
      <c r="E803" s="3">
        <v>4691</v>
      </c>
      <c r="F803" s="3">
        <v>8</v>
      </c>
      <c r="G803" s="3" t="s">
        <v>10</v>
      </c>
      <c r="H803" s="3" t="s">
        <v>212</v>
      </c>
      <c r="I803" s="3">
        <v>4</v>
      </c>
      <c r="J803" s="3" t="s">
        <v>30</v>
      </c>
      <c r="K803" s="18">
        <v>460</v>
      </c>
      <c r="L803" s="16">
        <v>520</v>
      </c>
      <c r="M803" s="6" t="str" cm="1">
        <f t="array" ref="M803">_xlfn.IFS(L803&lt;100,"Economy",L803&lt;200,"Standard",L803&lt;350,"Powerful",L803&lt;500,"High Performance",L803&lt;800,"Sports Performance",L803&gt;=800,"Super Performance")</f>
        <v>Sports Performance</v>
      </c>
    </row>
    <row r="804" spans="1:13" x14ac:dyDescent="0.25">
      <c r="A804" s="5" t="s">
        <v>150</v>
      </c>
      <c r="B804" s="3" t="s">
        <v>951</v>
      </c>
      <c r="C804" s="3" t="s">
        <v>153</v>
      </c>
      <c r="D804" s="4">
        <v>17900000</v>
      </c>
      <c r="E804" s="3">
        <v>2987</v>
      </c>
      <c r="F804" s="3">
        <v>6</v>
      </c>
      <c r="G804" s="3" t="s">
        <v>36</v>
      </c>
      <c r="H804" s="3" t="s">
        <v>218</v>
      </c>
      <c r="I804" s="3">
        <v>4</v>
      </c>
      <c r="J804" s="3" t="s">
        <v>30</v>
      </c>
      <c r="K804" s="18">
        <v>275</v>
      </c>
      <c r="L804" s="16">
        <v>600</v>
      </c>
      <c r="M804" s="6" t="str" cm="1">
        <f t="array" ref="M804">_xlfn.IFS(L804&lt;100,"Economy",L804&lt;200,"Standard",L804&lt;350,"Powerful",L804&lt;500,"High Performance",L804&lt;800,"Sports Performance",L804&gt;=800,"Super Performance")</f>
        <v>Sports Performance</v>
      </c>
    </row>
    <row r="805" spans="1:13" x14ac:dyDescent="0.25">
      <c r="A805" s="5" t="s">
        <v>90</v>
      </c>
      <c r="B805" s="3" t="s">
        <v>213</v>
      </c>
      <c r="C805" s="3" t="s">
        <v>952</v>
      </c>
      <c r="D805" s="4">
        <v>19890000</v>
      </c>
      <c r="E805" s="3">
        <v>4663</v>
      </c>
      <c r="F805" s="3">
        <v>8</v>
      </c>
      <c r="G805" s="3" t="s">
        <v>10</v>
      </c>
      <c r="H805" s="3" t="s">
        <v>27</v>
      </c>
      <c r="I805" s="3">
        <v>4</v>
      </c>
      <c r="J805" s="3" t="s">
        <v>30</v>
      </c>
      <c r="K805" s="18">
        <v>453</v>
      </c>
      <c r="L805" s="16">
        <v>700</v>
      </c>
      <c r="M805" s="6" t="str" cm="1">
        <f t="array" ref="M805">_xlfn.IFS(L805&lt;100,"Economy",L805&lt;200,"Standard",L805&lt;350,"Powerful",L805&lt;500,"High Performance",L805&lt;800,"Sports Performance",L805&gt;=800,"Super Performance")</f>
        <v>Sports Performance</v>
      </c>
    </row>
    <row r="806" spans="1:13" x14ac:dyDescent="0.25">
      <c r="A806" s="5" t="s">
        <v>297</v>
      </c>
      <c r="B806" s="3" t="s">
        <v>953</v>
      </c>
      <c r="C806" s="3" t="s">
        <v>300</v>
      </c>
      <c r="D806" s="4">
        <v>21263000</v>
      </c>
      <c r="E806" s="3">
        <v>3996</v>
      </c>
      <c r="F806" s="3">
        <v>8</v>
      </c>
      <c r="G806" s="3" t="s">
        <v>10</v>
      </c>
      <c r="H806" s="3" t="s">
        <v>27</v>
      </c>
      <c r="I806" s="3">
        <v>4</v>
      </c>
      <c r="J806" s="3" t="s">
        <v>30</v>
      </c>
      <c r="K806" s="18">
        <v>550</v>
      </c>
      <c r="L806" s="16">
        <v>770</v>
      </c>
      <c r="M806" s="6" t="str" cm="1">
        <f t="array" ref="M806">_xlfn.IFS(L806&lt;100,"Economy",L806&lt;200,"Standard",L806&lt;350,"Powerful",L806&lt;500,"High Performance",L806&lt;800,"Sports Performance",L806&gt;=800,"Super Performance")</f>
        <v>Sports Performance</v>
      </c>
    </row>
    <row r="807" spans="1:13" x14ac:dyDescent="0.25">
      <c r="A807" s="5" t="s">
        <v>297</v>
      </c>
      <c r="B807" s="3" t="s">
        <v>953</v>
      </c>
      <c r="C807" s="3" t="s">
        <v>954</v>
      </c>
      <c r="D807" s="4">
        <v>22613000</v>
      </c>
      <c r="E807" s="3">
        <v>3996</v>
      </c>
      <c r="F807" s="3">
        <v>8</v>
      </c>
      <c r="G807" s="3" t="s">
        <v>10</v>
      </c>
      <c r="H807" s="3" t="s">
        <v>27</v>
      </c>
      <c r="I807" s="3">
        <v>4</v>
      </c>
      <c r="J807" s="3" t="s">
        <v>30</v>
      </c>
      <c r="K807" s="18">
        <v>550</v>
      </c>
      <c r="L807" s="16">
        <v>770</v>
      </c>
      <c r="M807" s="6" t="str" cm="1">
        <f t="array" ref="M807">_xlfn.IFS(L807&lt;100,"Economy",L807&lt;200,"Standard",L807&lt;350,"Powerful",L807&lt;500,"High Performance",L807&lt;800,"Sports Performance",L807&gt;=800,"Super Performance")</f>
        <v>Sports Performance</v>
      </c>
    </row>
    <row r="808" spans="1:13" x14ac:dyDescent="0.25">
      <c r="A808" s="5" t="s">
        <v>297</v>
      </c>
      <c r="B808" s="3" t="s">
        <v>953</v>
      </c>
      <c r="C808" s="3" t="s">
        <v>955</v>
      </c>
      <c r="D808" s="4">
        <v>21747000</v>
      </c>
      <c r="E808" s="3">
        <v>3996</v>
      </c>
      <c r="F808" s="3">
        <v>8</v>
      </c>
      <c r="G808" s="3" t="s">
        <v>10</v>
      </c>
      <c r="H808" s="3" t="s">
        <v>27</v>
      </c>
      <c r="I808" s="3">
        <v>4</v>
      </c>
      <c r="J808" s="3" t="s">
        <v>30</v>
      </c>
      <c r="K808" s="18">
        <v>550</v>
      </c>
      <c r="L808" s="16">
        <v>770</v>
      </c>
      <c r="M808" s="6" t="str" cm="1">
        <f t="array" ref="M808">_xlfn.IFS(L808&lt;100,"Economy",L808&lt;200,"Standard",L808&lt;350,"Powerful",L808&lt;500,"High Performance",L808&lt;800,"Sports Performance",L808&gt;=800,"Super Performance")</f>
        <v>Sports Performance</v>
      </c>
    </row>
    <row r="809" spans="1:13" x14ac:dyDescent="0.25">
      <c r="A809" s="5" t="s">
        <v>90</v>
      </c>
      <c r="B809" s="3" t="s">
        <v>956</v>
      </c>
      <c r="C809" s="3" t="s">
        <v>957</v>
      </c>
      <c r="D809" s="4">
        <v>23491293</v>
      </c>
      <c r="E809" s="3">
        <v>4663</v>
      </c>
      <c r="F809" s="3">
        <v>8</v>
      </c>
      <c r="G809" s="3" t="s">
        <v>10</v>
      </c>
      <c r="H809" s="3" t="s">
        <v>206</v>
      </c>
      <c r="I809" s="3">
        <v>4</v>
      </c>
      <c r="J809" s="3" t="s">
        <v>30</v>
      </c>
      <c r="K809" s="18">
        <v>455</v>
      </c>
      <c r="L809" s="16">
        <v>700</v>
      </c>
      <c r="M809" s="6" t="str" cm="1">
        <f t="array" ref="M809">_xlfn.IFS(L809&lt;100,"Economy",L809&lt;200,"Standard",L809&lt;350,"Powerful",L809&lt;500,"High Performance",L809&lt;800,"Sports Performance",L809&gt;=800,"Super Performance")</f>
        <v>Sports Performance</v>
      </c>
    </row>
    <row r="810" spans="1:13" x14ac:dyDescent="0.25">
      <c r="A810" s="5" t="s">
        <v>68</v>
      </c>
      <c r="B810" s="3" t="s">
        <v>958</v>
      </c>
      <c r="C810" s="3" t="s">
        <v>959</v>
      </c>
      <c r="D810" s="4">
        <v>27245000</v>
      </c>
      <c r="E810" s="3">
        <v>5204</v>
      </c>
      <c r="F810" s="3">
        <v>10</v>
      </c>
      <c r="G810" s="3" t="s">
        <v>10</v>
      </c>
      <c r="H810" s="3" t="s">
        <v>212</v>
      </c>
      <c r="I810" s="3">
        <v>2</v>
      </c>
      <c r="J810" s="3" t="s">
        <v>30</v>
      </c>
      <c r="K810" s="18">
        <v>610</v>
      </c>
      <c r="L810" s="16">
        <v>560</v>
      </c>
      <c r="M810" s="6" t="str" cm="1">
        <f t="array" ref="M810">_xlfn.IFS(L810&lt;100,"Economy",L810&lt;200,"Standard",L810&lt;350,"Powerful",L810&lt;500,"High Performance",L810&lt;800,"Sports Performance",L810&gt;=800,"Super Performance")</f>
        <v>Sports Performance</v>
      </c>
    </row>
    <row r="811" spans="1:13" x14ac:dyDescent="0.25">
      <c r="A811" s="5" t="s">
        <v>88</v>
      </c>
      <c r="B811" s="3" t="s">
        <v>960</v>
      </c>
      <c r="C811" s="3" t="s">
        <v>212</v>
      </c>
      <c r="D811" s="4">
        <v>33791059</v>
      </c>
      <c r="E811" s="3">
        <v>5998</v>
      </c>
      <c r="F811" s="3">
        <v>12</v>
      </c>
      <c r="G811" s="3" t="s">
        <v>10</v>
      </c>
      <c r="H811" s="3" t="s">
        <v>212</v>
      </c>
      <c r="I811" s="3">
        <v>4</v>
      </c>
      <c r="J811" s="3" t="s">
        <v>30</v>
      </c>
      <c r="K811" s="18">
        <v>590</v>
      </c>
      <c r="L811" s="16">
        <v>720</v>
      </c>
      <c r="M811" s="6" t="str" cm="1">
        <f t="array" ref="M811">_xlfn.IFS(L811&lt;100,"Economy",L811&lt;200,"Standard",L811&lt;350,"Powerful",L811&lt;500,"High Performance",L811&lt;800,"Sports Performance",L811&gt;=800,"Super Performance")</f>
        <v>Sports Performance</v>
      </c>
    </row>
    <row r="812" spans="1:13" x14ac:dyDescent="0.25">
      <c r="A812" s="5" t="s">
        <v>259</v>
      </c>
      <c r="B812" s="3" t="s">
        <v>961</v>
      </c>
      <c r="C812" s="3" t="s">
        <v>962</v>
      </c>
      <c r="D812" s="4">
        <v>35000000</v>
      </c>
      <c r="E812" s="3">
        <v>3855</v>
      </c>
      <c r="F812" s="3">
        <v>8</v>
      </c>
      <c r="G812" s="3" t="s">
        <v>10</v>
      </c>
      <c r="H812" s="3" t="s">
        <v>206</v>
      </c>
      <c r="I812" s="3">
        <v>2</v>
      </c>
      <c r="J812" s="3" t="s">
        <v>30</v>
      </c>
      <c r="K812" s="18">
        <v>560</v>
      </c>
      <c r="L812" s="16">
        <v>755</v>
      </c>
      <c r="M812" s="6" t="str" cm="1">
        <f t="array" ref="M812">_xlfn.IFS(L812&lt;100,"Economy",L812&lt;200,"Standard",L812&lt;350,"Powerful",L812&lt;500,"High Performance",L812&lt;800,"Sports Performance",L812&gt;=800,"Super Performance")</f>
        <v>Sports Performance</v>
      </c>
    </row>
    <row r="813" spans="1:13" x14ac:dyDescent="0.25">
      <c r="A813" s="5" t="s">
        <v>259</v>
      </c>
      <c r="B813" s="3" t="s">
        <v>963</v>
      </c>
      <c r="C813" s="3" t="s">
        <v>212</v>
      </c>
      <c r="D813" s="4">
        <v>42531500</v>
      </c>
      <c r="E813" s="3">
        <v>4497</v>
      </c>
      <c r="F813" s="3">
        <v>8</v>
      </c>
      <c r="G813" s="3" t="s">
        <v>10</v>
      </c>
      <c r="H813" s="3" t="s">
        <v>212</v>
      </c>
      <c r="I813" s="3">
        <v>2</v>
      </c>
      <c r="J813" s="3" t="s">
        <v>30</v>
      </c>
      <c r="K813" s="18">
        <v>605</v>
      </c>
      <c r="L813" s="16">
        <v>540</v>
      </c>
      <c r="M813" s="6" t="str" cm="1">
        <f t="array" ref="M813">_xlfn.IFS(L813&lt;100,"Economy",L813&lt;200,"Standard",L813&lt;350,"Powerful",L813&lt;500,"High Performance",L813&lt;800,"Sports Performance",L813&gt;=800,"Super Performance")</f>
        <v>Sports Performance</v>
      </c>
    </row>
    <row r="814" spans="1:13" x14ac:dyDescent="0.25">
      <c r="A814" s="5" t="s">
        <v>90</v>
      </c>
      <c r="B814" s="3" t="s">
        <v>964</v>
      </c>
      <c r="C814" s="3" t="s">
        <v>212</v>
      </c>
      <c r="D814" s="4">
        <v>50025840</v>
      </c>
      <c r="E814" s="3">
        <v>6592</v>
      </c>
      <c r="F814" s="3">
        <v>12</v>
      </c>
      <c r="G814" s="3" t="s">
        <v>10</v>
      </c>
      <c r="H814" s="3" t="s">
        <v>212</v>
      </c>
      <c r="I814" s="3">
        <v>4</v>
      </c>
      <c r="J814" s="3" t="s">
        <v>30</v>
      </c>
      <c r="K814" s="18">
        <v>625</v>
      </c>
      <c r="L814" s="16">
        <v>800</v>
      </c>
      <c r="M814" s="6" t="str" cm="1">
        <f t="array" ref="M814">_xlfn.IFS(L814&lt;100,"Economy",L814&lt;200,"Standard",L814&lt;350,"Powerful",L814&lt;500,"High Performance",L814&lt;800,"Sports Performance",L814&gt;=800,"Super Performance")</f>
        <v>Super Performance</v>
      </c>
    </row>
    <row r="815" spans="1:13" x14ac:dyDescent="0.25">
      <c r="A815" s="5" t="s">
        <v>88</v>
      </c>
      <c r="B815" s="3" t="s">
        <v>965</v>
      </c>
      <c r="C815" s="3" t="s">
        <v>27</v>
      </c>
      <c r="D815" s="4">
        <v>52571294</v>
      </c>
      <c r="E815" s="3">
        <v>6752</v>
      </c>
      <c r="F815" s="3">
        <v>8</v>
      </c>
      <c r="G815" s="3" t="s">
        <v>10</v>
      </c>
      <c r="H815" s="3" t="s">
        <v>27</v>
      </c>
      <c r="I815" s="3">
        <v>4</v>
      </c>
      <c r="J815" s="3" t="s">
        <v>30</v>
      </c>
      <c r="K815" s="18">
        <v>512</v>
      </c>
      <c r="L815" s="16">
        <v>1020</v>
      </c>
      <c r="M815" s="6" t="str" cm="1">
        <f t="array" ref="M815">_xlfn.IFS(L815&lt;100,"Economy",L815&lt;200,"Standard",L815&lt;350,"Powerful",L815&lt;500,"High Performance",L815&lt;800,"Sports Performance",L815&gt;=800,"Super Performance")</f>
        <v>Super Performance</v>
      </c>
    </row>
    <row r="816" spans="1:13" x14ac:dyDescent="0.25">
      <c r="A816" s="5" t="s">
        <v>90</v>
      </c>
      <c r="B816" s="3" t="s">
        <v>966</v>
      </c>
      <c r="C816" s="3" t="s">
        <v>967</v>
      </c>
      <c r="D816" s="4">
        <v>77312661</v>
      </c>
      <c r="E816" s="3">
        <v>6749</v>
      </c>
      <c r="F816" s="3">
        <v>12</v>
      </c>
      <c r="G816" s="3" t="s">
        <v>10</v>
      </c>
      <c r="H816" s="3" t="s">
        <v>212</v>
      </c>
      <c r="I816" s="3">
        <v>4</v>
      </c>
      <c r="J816" s="3" t="s">
        <v>30</v>
      </c>
      <c r="K816" s="18">
        <v>460</v>
      </c>
      <c r="L816" s="16">
        <v>720</v>
      </c>
      <c r="M816" s="6" t="str" cm="1">
        <f t="array" ref="M816">_xlfn.IFS(L816&lt;100,"Economy",L816&lt;200,"Standard",L816&lt;350,"Powerful",L816&lt;500,"High Performance",L816&lt;800,"Sports Performance",L816&gt;=800,"Super Performance")</f>
        <v>Sports Performance</v>
      </c>
    </row>
    <row r="817" spans="1:13" x14ac:dyDescent="0.25">
      <c r="A817" s="5" t="s">
        <v>202</v>
      </c>
      <c r="B817" s="3" t="s">
        <v>968</v>
      </c>
      <c r="C817" s="3" t="s">
        <v>969</v>
      </c>
      <c r="D817" s="4">
        <v>488194</v>
      </c>
      <c r="E817" s="3">
        <v>1198</v>
      </c>
      <c r="F817" s="3">
        <v>3</v>
      </c>
      <c r="G817" s="3" t="s">
        <v>10</v>
      </c>
      <c r="H817" s="3" t="s">
        <v>11</v>
      </c>
      <c r="I817" s="3">
        <v>6</v>
      </c>
      <c r="J817" s="3" t="s">
        <v>12</v>
      </c>
      <c r="K817" s="18">
        <v>82</v>
      </c>
      <c r="L817" s="16">
        <v>115</v>
      </c>
      <c r="M817" s="6" t="str" cm="1">
        <f t="array" ref="M817">_xlfn.IFS(L817&lt;100,"Economy",L817&lt;200,"Standard",L817&lt;350,"Powerful",L817&lt;500,"High Performance",L817&lt;800,"Sports Performance",L817&gt;=800,"Super Performance")</f>
        <v>Standard</v>
      </c>
    </row>
    <row r="818" spans="1:13" x14ac:dyDescent="0.25">
      <c r="A818" s="5" t="s">
        <v>202</v>
      </c>
      <c r="B818" s="3" t="s">
        <v>968</v>
      </c>
      <c r="C818" s="3" t="s">
        <v>970</v>
      </c>
      <c r="D818" s="4">
        <v>532184</v>
      </c>
      <c r="E818" s="3">
        <v>1198</v>
      </c>
      <c r="F818" s="3">
        <v>3</v>
      </c>
      <c r="G818" s="3" t="s">
        <v>10</v>
      </c>
      <c r="H818" s="3" t="s">
        <v>11</v>
      </c>
      <c r="I818" s="3">
        <v>6</v>
      </c>
      <c r="J818" s="3" t="s">
        <v>12</v>
      </c>
      <c r="K818" s="18">
        <v>82</v>
      </c>
      <c r="L818" s="16">
        <v>115</v>
      </c>
      <c r="M818" s="6" t="str" cm="1">
        <f t="array" ref="M818">_xlfn.IFS(L818&lt;100,"Economy",L818&lt;200,"Standard",L818&lt;350,"Powerful",L818&lt;500,"High Performance",L818&lt;800,"Sports Performance",L818&gt;=800,"Super Performance")</f>
        <v>Standard</v>
      </c>
    </row>
    <row r="819" spans="1:13" x14ac:dyDescent="0.25">
      <c r="A819" s="5" t="s">
        <v>202</v>
      </c>
      <c r="B819" s="3" t="s">
        <v>968</v>
      </c>
      <c r="C819" s="3" t="s">
        <v>971</v>
      </c>
      <c r="D819" s="4">
        <v>590798</v>
      </c>
      <c r="E819" s="3">
        <v>1198</v>
      </c>
      <c r="F819" s="3">
        <v>3</v>
      </c>
      <c r="G819" s="3" t="s">
        <v>36</v>
      </c>
      <c r="H819" s="3" t="s">
        <v>11</v>
      </c>
      <c r="I819" s="3">
        <v>6</v>
      </c>
      <c r="J819" s="3" t="s">
        <v>12</v>
      </c>
      <c r="K819" s="18">
        <v>77</v>
      </c>
      <c r="L819" s="16">
        <v>190</v>
      </c>
      <c r="M819" s="6" t="str" cm="1">
        <f t="array" ref="M819">_xlfn.IFS(L819&lt;100,"Economy",L819&lt;200,"Standard",L819&lt;350,"Powerful",L819&lt;500,"High Performance",L819&lt;800,"Sports Performance",L819&gt;=800,"Super Performance")</f>
        <v>Standard</v>
      </c>
    </row>
    <row r="820" spans="1:13" x14ac:dyDescent="0.25">
      <c r="A820" s="5" t="s">
        <v>202</v>
      </c>
      <c r="B820" s="3" t="s">
        <v>968</v>
      </c>
      <c r="C820" s="3" t="s">
        <v>972</v>
      </c>
      <c r="D820" s="4">
        <v>619243</v>
      </c>
      <c r="E820" s="3">
        <v>1198</v>
      </c>
      <c r="F820" s="3">
        <v>3</v>
      </c>
      <c r="G820" s="3" t="s">
        <v>36</v>
      </c>
      <c r="H820" s="3" t="s">
        <v>11</v>
      </c>
      <c r="I820" s="3">
        <v>6</v>
      </c>
      <c r="J820" s="3" t="s">
        <v>12</v>
      </c>
      <c r="K820" s="18">
        <v>77</v>
      </c>
      <c r="L820" s="16">
        <v>190</v>
      </c>
      <c r="M820" s="6" t="str" cm="1">
        <f t="array" ref="M820">_xlfn.IFS(L820&lt;100,"Economy",L820&lt;200,"Standard",L820&lt;350,"Powerful",L820&lt;500,"High Performance",L820&lt;800,"Sports Performance",L820&gt;=800,"Super Performance")</f>
        <v>Standard</v>
      </c>
    </row>
    <row r="821" spans="1:13" x14ac:dyDescent="0.25">
      <c r="A821" s="5" t="s">
        <v>202</v>
      </c>
      <c r="B821" s="3" t="s">
        <v>968</v>
      </c>
      <c r="C821" s="3" t="s">
        <v>973</v>
      </c>
      <c r="D821" s="4">
        <v>667273</v>
      </c>
      <c r="E821" s="3">
        <v>1198</v>
      </c>
      <c r="F821" s="3">
        <v>3</v>
      </c>
      <c r="G821" s="3" t="s">
        <v>36</v>
      </c>
      <c r="H821" s="3" t="s">
        <v>11</v>
      </c>
      <c r="I821" s="3">
        <v>6</v>
      </c>
      <c r="J821" s="3" t="s">
        <v>12</v>
      </c>
      <c r="K821" s="18">
        <v>77</v>
      </c>
      <c r="L821" s="16">
        <v>190</v>
      </c>
      <c r="M821" s="6" t="str" cm="1">
        <f t="array" ref="M821">_xlfn.IFS(L821&lt;100,"Economy",L821&lt;200,"Standard",L821&lt;350,"Powerful",L821&lt;500,"High Performance",L821&lt;800,"Sports Performance",L821&gt;=800,"Super Performance")</f>
        <v>Standard</v>
      </c>
    </row>
    <row r="822" spans="1:13" x14ac:dyDescent="0.25">
      <c r="A822" s="5" t="s">
        <v>202</v>
      </c>
      <c r="B822" s="3" t="s">
        <v>968</v>
      </c>
      <c r="C822" s="3" t="s">
        <v>974</v>
      </c>
      <c r="D822" s="4">
        <v>579645</v>
      </c>
      <c r="E822" s="3">
        <v>1198</v>
      </c>
      <c r="F822" s="3">
        <v>3</v>
      </c>
      <c r="G822" s="3" t="s">
        <v>10</v>
      </c>
      <c r="H822" s="3" t="s">
        <v>11</v>
      </c>
      <c r="I822" s="3">
        <v>6</v>
      </c>
      <c r="J822" s="3" t="s">
        <v>12</v>
      </c>
      <c r="K822" s="18">
        <v>82</v>
      </c>
      <c r="L822" s="16">
        <v>115</v>
      </c>
      <c r="M822" s="6" t="str" cm="1">
        <f t="array" ref="M822">_xlfn.IFS(L822&lt;100,"Economy",L822&lt;200,"Standard",L822&lt;350,"Powerful",L822&lt;500,"High Performance",L822&lt;800,"Sports Performance",L822&gt;=800,"Super Performance")</f>
        <v>Standard</v>
      </c>
    </row>
    <row r="823" spans="1:13" x14ac:dyDescent="0.25">
      <c r="A823" s="5" t="s">
        <v>202</v>
      </c>
      <c r="B823" s="3" t="s">
        <v>968</v>
      </c>
      <c r="C823" s="3" t="s">
        <v>975</v>
      </c>
      <c r="D823" s="4">
        <v>631144</v>
      </c>
      <c r="E823" s="3">
        <v>1198</v>
      </c>
      <c r="F823" s="3">
        <v>3</v>
      </c>
      <c r="G823" s="3" t="s">
        <v>10</v>
      </c>
      <c r="H823" s="3" t="s">
        <v>11</v>
      </c>
      <c r="I823" s="3">
        <v>6</v>
      </c>
      <c r="J823" s="3" t="s">
        <v>12</v>
      </c>
      <c r="K823" s="18">
        <v>82</v>
      </c>
      <c r="L823" s="16">
        <v>115</v>
      </c>
      <c r="M823" s="6" t="str" cm="1">
        <f t="array" ref="M823">_xlfn.IFS(L823&lt;100,"Economy",L823&lt;200,"Standard",L823&lt;350,"Powerful",L823&lt;500,"High Performance",L823&lt;800,"Sports Performance",L823&gt;=800,"Super Performance")</f>
        <v>Standard</v>
      </c>
    </row>
    <row r="824" spans="1:13" x14ac:dyDescent="0.25">
      <c r="A824" s="5" t="s">
        <v>202</v>
      </c>
      <c r="B824" s="3" t="s">
        <v>968</v>
      </c>
      <c r="C824" s="3" t="s">
        <v>976</v>
      </c>
      <c r="D824" s="4">
        <v>754548</v>
      </c>
      <c r="E824" s="3">
        <v>1198</v>
      </c>
      <c r="F824" s="3">
        <v>3</v>
      </c>
      <c r="G824" s="3" t="s">
        <v>36</v>
      </c>
      <c r="H824" s="3" t="s">
        <v>11</v>
      </c>
      <c r="I824" s="3">
        <v>6</v>
      </c>
      <c r="J824" s="3" t="s">
        <v>12</v>
      </c>
      <c r="K824" s="18">
        <v>77</v>
      </c>
      <c r="L824" s="16">
        <v>190</v>
      </c>
      <c r="M824" s="6" t="str" cm="1">
        <f t="array" ref="M824">_xlfn.IFS(L824&lt;100,"Economy",L824&lt;200,"Standard",L824&lt;350,"Powerful",L824&lt;500,"High Performance",L824&lt;800,"Sports Performance",L824&gt;=800,"Super Performance")</f>
        <v>Standard</v>
      </c>
    </row>
    <row r="825" spans="1:13" x14ac:dyDescent="0.25">
      <c r="A825" s="5" t="s">
        <v>202</v>
      </c>
      <c r="B825" s="3" t="s">
        <v>968</v>
      </c>
      <c r="C825" s="3" t="s">
        <v>977</v>
      </c>
      <c r="D825" s="4">
        <v>693550</v>
      </c>
      <c r="E825" s="3">
        <v>1198</v>
      </c>
      <c r="F825" s="3">
        <v>3</v>
      </c>
      <c r="G825" s="3" t="s">
        <v>10</v>
      </c>
      <c r="H825" s="3" t="s">
        <v>11</v>
      </c>
      <c r="I825" s="3">
        <v>6</v>
      </c>
      <c r="J825" s="3" t="s">
        <v>12</v>
      </c>
      <c r="K825" s="18">
        <v>82</v>
      </c>
      <c r="L825" s="16">
        <v>115</v>
      </c>
      <c r="M825" s="6" t="str" cm="1">
        <f t="array" ref="M825">_xlfn.IFS(L825&lt;100,"Economy",L825&lt;200,"Standard",L825&lt;350,"Powerful",L825&lt;500,"High Performance",L825&lt;800,"Sports Performance",L825&gt;=800,"Super Performance")</f>
        <v>Standard</v>
      </c>
    </row>
    <row r="826" spans="1:13" x14ac:dyDescent="0.25">
      <c r="A826" s="5" t="s">
        <v>202</v>
      </c>
      <c r="B826" s="3" t="s">
        <v>968</v>
      </c>
      <c r="C826" s="3" t="s">
        <v>978</v>
      </c>
      <c r="D826" s="4">
        <v>787304</v>
      </c>
      <c r="E826" s="3">
        <v>1198</v>
      </c>
      <c r="F826" s="3">
        <v>3</v>
      </c>
      <c r="G826" s="3" t="s">
        <v>36</v>
      </c>
      <c r="H826" s="3" t="s">
        <v>11</v>
      </c>
      <c r="I826" s="3">
        <v>6</v>
      </c>
      <c r="J826" s="3" t="s">
        <v>12</v>
      </c>
      <c r="K826" s="18">
        <v>77</v>
      </c>
      <c r="L826" s="16">
        <v>190</v>
      </c>
      <c r="M826" s="6" t="str" cm="1">
        <f t="array" ref="M826">_xlfn.IFS(L826&lt;100,"Economy",L826&lt;200,"Standard",L826&lt;350,"Powerful",L826&lt;500,"High Performance",L826&lt;800,"Sports Performance",L826&gt;=800,"Super Performance")</f>
        <v>Standard</v>
      </c>
    </row>
    <row r="827" spans="1:13" x14ac:dyDescent="0.25">
      <c r="A827" s="5" t="s">
        <v>202</v>
      </c>
      <c r="B827" s="3" t="s">
        <v>968</v>
      </c>
      <c r="C827" s="3" t="s">
        <v>979</v>
      </c>
      <c r="D827" s="4">
        <v>701045</v>
      </c>
      <c r="E827" s="3">
        <v>1198</v>
      </c>
      <c r="F827" s="3">
        <v>3</v>
      </c>
      <c r="G827" s="3" t="s">
        <v>10</v>
      </c>
      <c r="H827" s="3" t="s">
        <v>11</v>
      </c>
      <c r="I827" s="3">
        <v>6</v>
      </c>
      <c r="J827" s="3" t="s">
        <v>12</v>
      </c>
      <c r="K827" s="18">
        <v>82</v>
      </c>
      <c r="L827" s="16">
        <v>115</v>
      </c>
      <c r="M827" s="6" t="str" cm="1">
        <f t="array" ref="M827">_xlfn.IFS(L827&lt;100,"Economy",L827&lt;200,"Standard",L827&lt;350,"Powerful",L827&lt;500,"High Performance",L827&lt;800,"Sports Performance",L827&gt;=800,"Super Performance")</f>
        <v>Standard</v>
      </c>
    </row>
    <row r="828" spans="1:13" x14ac:dyDescent="0.25">
      <c r="A828" s="5" t="s">
        <v>202</v>
      </c>
      <c r="B828" s="3" t="s">
        <v>968</v>
      </c>
      <c r="C828" s="3" t="s">
        <v>980</v>
      </c>
      <c r="D828" s="4">
        <v>794800</v>
      </c>
      <c r="E828" s="3">
        <v>1198</v>
      </c>
      <c r="F828" s="3">
        <v>3</v>
      </c>
      <c r="G828" s="3" t="s">
        <v>36</v>
      </c>
      <c r="H828" s="3" t="s">
        <v>11</v>
      </c>
      <c r="I828" s="3">
        <v>6</v>
      </c>
      <c r="J828" s="3" t="s">
        <v>12</v>
      </c>
      <c r="K828" s="18">
        <v>77</v>
      </c>
      <c r="L828" s="16">
        <v>190</v>
      </c>
      <c r="M828" s="6" t="str" cm="1">
        <f t="array" ref="M828">_xlfn.IFS(L828&lt;100,"Economy",L828&lt;200,"Standard",L828&lt;350,"Powerful",L828&lt;500,"High Performance",L828&lt;800,"Sports Performance",L828&gt;=800,"Super Performance")</f>
        <v>Standard</v>
      </c>
    </row>
    <row r="829" spans="1:13" x14ac:dyDescent="0.25">
      <c r="A829" s="5" t="s">
        <v>202</v>
      </c>
      <c r="B829" s="3" t="s">
        <v>968</v>
      </c>
      <c r="C829" s="3" t="s">
        <v>981</v>
      </c>
      <c r="D829" s="4">
        <v>559741</v>
      </c>
      <c r="E829" s="3">
        <v>1198</v>
      </c>
      <c r="F829" s="3">
        <v>3</v>
      </c>
      <c r="G829" s="3" t="s">
        <v>36</v>
      </c>
      <c r="H829" s="3" t="s">
        <v>11</v>
      </c>
      <c r="I829" s="3">
        <v>6</v>
      </c>
      <c r="J829" s="3" t="s">
        <v>12</v>
      </c>
      <c r="K829" s="18">
        <v>77</v>
      </c>
      <c r="L829" s="16">
        <v>190</v>
      </c>
      <c r="M829" s="6" t="str" cm="1">
        <f t="array" ref="M829">_xlfn.IFS(L829&lt;100,"Economy",L829&lt;200,"Standard",L829&lt;350,"Powerful",L829&lt;500,"High Performance",L829&lt;800,"Sports Performance",L829&gt;=800,"Super Performance")</f>
        <v>Standard</v>
      </c>
    </row>
    <row r="830" spans="1:13" x14ac:dyDescent="0.25">
      <c r="A830" s="5" t="s">
        <v>202</v>
      </c>
      <c r="B830" s="3" t="s">
        <v>968</v>
      </c>
      <c r="C830" s="3" t="s">
        <v>982</v>
      </c>
      <c r="D830" s="4">
        <v>542913</v>
      </c>
      <c r="E830" s="3">
        <v>1198</v>
      </c>
      <c r="F830" s="3">
        <v>3</v>
      </c>
      <c r="G830" s="3" t="s">
        <v>10</v>
      </c>
      <c r="H830" s="3" t="s">
        <v>11</v>
      </c>
      <c r="I830" s="3">
        <v>6</v>
      </c>
      <c r="J830" s="3" t="s">
        <v>12</v>
      </c>
      <c r="K830" s="18">
        <v>82</v>
      </c>
      <c r="L830" s="16">
        <v>115</v>
      </c>
      <c r="M830" s="6" t="str" cm="1">
        <f t="array" ref="M830">_xlfn.IFS(L830&lt;100,"Economy",L830&lt;200,"Standard",L830&lt;350,"Powerful",L830&lt;500,"High Performance",L830&lt;800,"Sports Performance",L830&gt;=800,"Super Performance")</f>
        <v>Standard</v>
      </c>
    </row>
    <row r="831" spans="1:13" x14ac:dyDescent="0.25">
      <c r="A831" s="5" t="s">
        <v>382</v>
      </c>
      <c r="B831" s="3" t="s">
        <v>983</v>
      </c>
      <c r="C831" s="3" t="s">
        <v>315</v>
      </c>
      <c r="D831" s="4">
        <v>4426500</v>
      </c>
      <c r="E831" s="3">
        <v>2400</v>
      </c>
      <c r="F831" s="3">
        <v>5</v>
      </c>
      <c r="G831" s="3" t="s">
        <v>36</v>
      </c>
      <c r="H831" s="3" t="s">
        <v>1392</v>
      </c>
      <c r="I831" s="3">
        <v>4</v>
      </c>
      <c r="J831" s="3" t="s">
        <v>30</v>
      </c>
      <c r="K831" s="18">
        <v>190</v>
      </c>
      <c r="L831" s="16">
        <v>420</v>
      </c>
      <c r="M831" s="6" t="str" cm="1">
        <f t="array" ref="M831">_xlfn.IFS(L831&lt;100,"Economy",L831&lt;200,"Standard",L831&lt;350,"Powerful",L831&lt;500,"High Performance",L831&lt;800,"Sports Performance",L831&gt;=800,"Super Performance")</f>
        <v>High Performance</v>
      </c>
    </row>
    <row r="832" spans="1:13" x14ac:dyDescent="0.25">
      <c r="A832" s="5" t="s">
        <v>90</v>
      </c>
      <c r="B832" s="3" t="s">
        <v>386</v>
      </c>
      <c r="C832" s="3" t="s">
        <v>984</v>
      </c>
      <c r="D832" s="4">
        <v>15000000</v>
      </c>
      <c r="E832" s="3">
        <v>5461</v>
      </c>
      <c r="F832" s="3">
        <v>8</v>
      </c>
      <c r="G832" s="3" t="s">
        <v>10</v>
      </c>
      <c r="H832" s="3" t="s">
        <v>27</v>
      </c>
      <c r="I832" s="3">
        <v>4</v>
      </c>
      <c r="J832" s="3" t="s">
        <v>30</v>
      </c>
      <c r="K832" s="18">
        <v>549</v>
      </c>
      <c r="L832" s="16">
        <v>720</v>
      </c>
      <c r="M832" s="6" t="str" cm="1">
        <f t="array" ref="M832">_xlfn.IFS(L832&lt;100,"Economy",L832&lt;200,"Standard",L832&lt;350,"Powerful",L832&lt;500,"High Performance",L832&lt;800,"Sports Performance",L832&gt;=800,"Super Performance")</f>
        <v>Sports Performance</v>
      </c>
    </row>
    <row r="833" spans="1:13" x14ac:dyDescent="0.25">
      <c r="A833" s="5" t="s">
        <v>68</v>
      </c>
      <c r="B833" s="3" t="s">
        <v>985</v>
      </c>
      <c r="C833" s="3" t="s">
        <v>77</v>
      </c>
      <c r="D833" s="4">
        <v>17072000</v>
      </c>
      <c r="E833" s="3">
        <v>3993</v>
      </c>
      <c r="F833" s="3">
        <v>8</v>
      </c>
      <c r="G833" s="3" t="s">
        <v>10</v>
      </c>
      <c r="H833" s="3" t="s">
        <v>1391</v>
      </c>
      <c r="I833" s="3">
        <v>4</v>
      </c>
      <c r="J833" s="3" t="s">
        <v>30</v>
      </c>
      <c r="K833" s="18">
        <v>560</v>
      </c>
      <c r="L833" s="16">
        <v>700</v>
      </c>
      <c r="M833" s="6" t="str" cm="1">
        <f t="array" ref="M833">_xlfn.IFS(L833&lt;100,"Economy",L833&lt;200,"Standard",L833&lt;350,"Powerful",L833&lt;500,"High Performance",L833&lt;800,"Sports Performance",L833&gt;=800,"Super Performance")</f>
        <v>Sports Performance</v>
      </c>
    </row>
    <row r="834" spans="1:13" x14ac:dyDescent="0.25">
      <c r="A834" s="5" t="s">
        <v>150</v>
      </c>
      <c r="B834" s="3" t="s">
        <v>986</v>
      </c>
      <c r="C834" s="3" t="s">
        <v>937</v>
      </c>
      <c r="D834" s="4">
        <v>19865675</v>
      </c>
      <c r="E834" s="3">
        <v>4691</v>
      </c>
      <c r="F834" s="3">
        <v>8</v>
      </c>
      <c r="G834" s="3" t="s">
        <v>10</v>
      </c>
      <c r="H834" s="3" t="s">
        <v>206</v>
      </c>
      <c r="I834" s="3">
        <v>4</v>
      </c>
      <c r="J834" s="3" t="s">
        <v>30</v>
      </c>
      <c r="K834" s="18">
        <v>450</v>
      </c>
      <c r="L834" s="16">
        <v>510</v>
      </c>
      <c r="M834" s="6" t="str" cm="1">
        <f t="array" ref="M834">_xlfn.IFS(L834&lt;100,"Economy",L834&lt;200,"Standard",L834&lt;350,"Powerful",L834&lt;500,"High Performance",L834&lt;800,"Sports Performance",L834&gt;=800,"Super Performance")</f>
        <v>Sports Performance</v>
      </c>
    </row>
    <row r="835" spans="1:13" x14ac:dyDescent="0.25">
      <c r="A835" s="5" t="s">
        <v>259</v>
      </c>
      <c r="B835" s="3" t="s">
        <v>987</v>
      </c>
      <c r="C835" s="3" t="s">
        <v>95</v>
      </c>
      <c r="D835" s="4">
        <v>36761413</v>
      </c>
      <c r="E835" s="3">
        <v>3902</v>
      </c>
      <c r="F835" s="3">
        <v>8</v>
      </c>
      <c r="G835" s="3" t="s">
        <v>10</v>
      </c>
      <c r="H835" s="3" t="s">
        <v>212</v>
      </c>
      <c r="I835" s="3">
        <v>2</v>
      </c>
      <c r="J835" s="3" t="s">
        <v>30</v>
      </c>
      <c r="K835" s="18">
        <v>670</v>
      </c>
      <c r="L835" s="16">
        <v>760</v>
      </c>
      <c r="M835" s="6" t="str" cm="1">
        <f t="array" ref="M835">_xlfn.IFS(L835&lt;100,"Economy",L835&lt;200,"Standard",L835&lt;350,"Powerful",L835&lt;500,"High Performance",L835&lt;800,"Sports Performance",L835&gt;=800,"Super Performance")</f>
        <v>Sports Performance</v>
      </c>
    </row>
    <row r="836" spans="1:13" x14ac:dyDescent="0.25">
      <c r="A836" s="5" t="s">
        <v>259</v>
      </c>
      <c r="B836" s="3" t="s">
        <v>987</v>
      </c>
      <c r="C836" s="3" t="s">
        <v>988</v>
      </c>
      <c r="D836" s="4">
        <v>39319552</v>
      </c>
      <c r="E836" s="3">
        <v>3902</v>
      </c>
      <c r="F836" s="3">
        <v>8</v>
      </c>
      <c r="G836" s="3" t="s">
        <v>10</v>
      </c>
      <c r="H836" s="3" t="s">
        <v>212</v>
      </c>
      <c r="I836" s="3">
        <v>2</v>
      </c>
      <c r="J836" s="3" t="s">
        <v>30</v>
      </c>
      <c r="K836" s="18">
        <v>670</v>
      </c>
      <c r="L836" s="16">
        <v>760</v>
      </c>
      <c r="M836" s="6" t="str" cm="1">
        <f t="array" ref="M836">_xlfn.IFS(L836&lt;100,"Economy",L836&lt;200,"Standard",L836&lt;350,"Powerful",L836&lt;500,"High Performance",L836&lt;800,"Sports Performance",L836&gt;=800,"Super Performance")</f>
        <v>Sports Performance</v>
      </c>
    </row>
    <row r="837" spans="1:13" x14ac:dyDescent="0.25">
      <c r="A837" s="5" t="s">
        <v>85</v>
      </c>
      <c r="B837" s="3" t="s">
        <v>989</v>
      </c>
      <c r="C837" s="3" t="s">
        <v>990</v>
      </c>
      <c r="D837" s="4">
        <v>47893943</v>
      </c>
      <c r="E837" s="3">
        <v>6498</v>
      </c>
      <c r="F837" s="3">
        <v>12</v>
      </c>
      <c r="G837" s="3" t="s">
        <v>10</v>
      </c>
      <c r="H837" s="3" t="s">
        <v>206</v>
      </c>
      <c r="I837" s="3">
        <v>2</v>
      </c>
      <c r="J837" s="3" t="s">
        <v>30</v>
      </c>
      <c r="K837" s="18">
        <v>700</v>
      </c>
      <c r="L837" s="16">
        <v>690</v>
      </c>
      <c r="M837" s="6" t="str" cm="1">
        <f t="array" ref="M837">_xlfn.IFS(L837&lt;100,"Economy",L837&lt;200,"Standard",L837&lt;350,"Powerful",L837&lt;500,"High Performance",L837&lt;800,"Sports Performance",L837&gt;=800,"Super Performance")</f>
        <v>Sports Performance</v>
      </c>
    </row>
    <row r="838" spans="1:13" x14ac:dyDescent="0.25">
      <c r="A838" s="5" t="s">
        <v>85</v>
      </c>
      <c r="B838" s="3" t="s">
        <v>989</v>
      </c>
      <c r="C838" s="3" t="s">
        <v>991</v>
      </c>
      <c r="D838" s="4">
        <v>53210327</v>
      </c>
      <c r="E838" s="3">
        <v>6498</v>
      </c>
      <c r="F838" s="3">
        <v>12</v>
      </c>
      <c r="G838" s="3" t="s">
        <v>10</v>
      </c>
      <c r="H838" s="3" t="s">
        <v>206</v>
      </c>
      <c r="I838" s="3">
        <v>2</v>
      </c>
      <c r="J838" s="3" t="s">
        <v>30</v>
      </c>
      <c r="K838" s="18">
        <v>700</v>
      </c>
      <c r="L838" s="16">
        <v>690</v>
      </c>
      <c r="M838" s="6" t="str" cm="1">
        <f t="array" ref="M838">_xlfn.IFS(L838&lt;100,"Economy",L838&lt;200,"Standard",L838&lt;350,"Powerful",L838&lt;500,"High Performance",L838&lt;800,"Sports Performance",L838&gt;=800,"Super Performance")</f>
        <v>Sports Performance</v>
      </c>
    </row>
    <row r="839" spans="1:13" x14ac:dyDescent="0.25">
      <c r="A839" s="5" t="s">
        <v>85</v>
      </c>
      <c r="B839" s="3" t="s">
        <v>989</v>
      </c>
      <c r="C839" s="3" t="s">
        <v>323</v>
      </c>
      <c r="D839" s="4">
        <v>47467700</v>
      </c>
      <c r="E839" s="3">
        <v>6498</v>
      </c>
      <c r="F839" s="3">
        <v>12</v>
      </c>
      <c r="G839" s="3" t="s">
        <v>10</v>
      </c>
      <c r="H839" s="3" t="s">
        <v>212</v>
      </c>
      <c r="I839" s="3">
        <v>2</v>
      </c>
      <c r="J839" s="3" t="s">
        <v>30</v>
      </c>
      <c r="K839" s="18">
        <v>740</v>
      </c>
      <c r="L839" s="16">
        <v>690</v>
      </c>
      <c r="M839" s="6" t="str" cm="1">
        <f t="array" ref="M839">_xlfn.IFS(L839&lt;100,"Economy",L839&lt;200,"Standard",L839&lt;350,"Powerful",L839&lt;500,"High Performance",L839&lt;800,"Sports Performance",L839&gt;=800,"Super Performance")</f>
        <v>Sports Performance</v>
      </c>
    </row>
    <row r="840" spans="1:13" x14ac:dyDescent="0.25">
      <c r="A840" s="5" t="s">
        <v>90</v>
      </c>
      <c r="B840" s="3" t="s">
        <v>992</v>
      </c>
      <c r="C840" s="3" t="s">
        <v>206</v>
      </c>
      <c r="D840" s="4">
        <v>59216193</v>
      </c>
      <c r="E840" s="3">
        <v>6598</v>
      </c>
      <c r="F840" s="3">
        <v>12</v>
      </c>
      <c r="G840" s="3" t="s">
        <v>10</v>
      </c>
      <c r="H840" s="3" t="s">
        <v>206</v>
      </c>
      <c r="I840" s="3">
        <v>4</v>
      </c>
      <c r="J840" s="3" t="s">
        <v>30</v>
      </c>
      <c r="K840" s="18">
        <v>571</v>
      </c>
      <c r="L840" s="16">
        <v>780</v>
      </c>
      <c r="M840" s="6" t="str" cm="1">
        <f t="array" ref="M840">_xlfn.IFS(L840&lt;100,"Economy",L840&lt;200,"Standard",L840&lt;350,"Powerful",L840&lt;500,"High Performance",L840&lt;800,"Sports Performance",L840&gt;=800,"Super Performance")</f>
        <v>Sports Performance</v>
      </c>
    </row>
    <row r="841" spans="1:13" x14ac:dyDescent="0.25">
      <c r="A841" s="5" t="s">
        <v>90</v>
      </c>
      <c r="B841" s="3" t="s">
        <v>993</v>
      </c>
      <c r="C841" s="3" t="s">
        <v>994</v>
      </c>
      <c r="D841" s="4">
        <v>83755383</v>
      </c>
      <c r="E841" s="3">
        <v>6749</v>
      </c>
      <c r="F841" s="3">
        <v>12</v>
      </c>
      <c r="G841" s="3" t="s">
        <v>10</v>
      </c>
      <c r="H841" s="3" t="s">
        <v>206</v>
      </c>
      <c r="I841" s="3">
        <v>4</v>
      </c>
      <c r="J841" s="3" t="s">
        <v>30</v>
      </c>
      <c r="K841" s="18">
        <v>453</v>
      </c>
      <c r="L841" s="16">
        <v>720</v>
      </c>
      <c r="M841" s="6" t="str" cm="1">
        <f t="array" ref="M841">_xlfn.IFS(L841&lt;100,"Economy",L841&lt;200,"Standard",L841&lt;350,"Powerful",L841&lt;500,"High Performance",L841&lt;800,"Sports Performance",L841&gt;=800,"Super Performance")</f>
        <v>Sports Performance</v>
      </c>
    </row>
    <row r="842" spans="1:13" x14ac:dyDescent="0.25">
      <c r="A842" s="5" t="s">
        <v>93</v>
      </c>
      <c r="B842" s="3" t="s">
        <v>995</v>
      </c>
      <c r="C842" s="3" t="s">
        <v>996</v>
      </c>
      <c r="D842" s="4">
        <v>284485</v>
      </c>
      <c r="E842" s="3">
        <v>796</v>
      </c>
      <c r="F842" s="3">
        <v>3</v>
      </c>
      <c r="G842" s="3" t="s">
        <v>10</v>
      </c>
      <c r="H842" s="3" t="s">
        <v>226</v>
      </c>
      <c r="I842" s="3">
        <v>8</v>
      </c>
      <c r="J842" s="3" t="s">
        <v>12</v>
      </c>
      <c r="K842" s="18">
        <v>34.700000000000003</v>
      </c>
      <c r="L842" s="16">
        <v>59</v>
      </c>
      <c r="M842" s="6" t="str" cm="1">
        <f t="array" ref="M842">_xlfn.IFS(L842&lt;100,"Economy",L842&lt;200,"Standard",L842&lt;350,"Powerful",L842&lt;500,"High Performance",L842&lt;800,"Sports Performance",L842&gt;=800,"Super Performance")</f>
        <v>Economy</v>
      </c>
    </row>
    <row r="843" spans="1:13" x14ac:dyDescent="0.25">
      <c r="A843" s="5" t="s">
        <v>90</v>
      </c>
      <c r="B843" s="3" t="s">
        <v>897</v>
      </c>
      <c r="C843" s="3" t="s">
        <v>997</v>
      </c>
      <c r="D843" s="4">
        <v>412292</v>
      </c>
      <c r="E843" s="3">
        <v>1198</v>
      </c>
      <c r="F843" s="3">
        <v>3</v>
      </c>
      <c r="G843" s="3" t="s">
        <v>10</v>
      </c>
      <c r="H843" s="3" t="s">
        <v>226</v>
      </c>
      <c r="I843" s="3">
        <v>7</v>
      </c>
      <c r="J843" s="3" t="s">
        <v>12</v>
      </c>
      <c r="K843" s="18">
        <v>68</v>
      </c>
      <c r="L843" s="16">
        <v>104</v>
      </c>
      <c r="M843" s="6" t="str" cm="1">
        <f t="array" ref="M843">_xlfn.IFS(L843&lt;100,"Economy",L843&lt;200,"Standard",L843&lt;350,"Powerful",L843&lt;500,"High Performance",L843&lt;800,"Sports Performance",L843&gt;=800,"Super Performance")</f>
        <v>Standard</v>
      </c>
    </row>
    <row r="844" spans="1:13" x14ac:dyDescent="0.25">
      <c r="A844" s="5" t="s">
        <v>90</v>
      </c>
      <c r="B844" s="3" t="s">
        <v>897</v>
      </c>
      <c r="C844" s="3" t="s">
        <v>998</v>
      </c>
      <c r="D844" s="4">
        <v>552656</v>
      </c>
      <c r="E844" s="3">
        <v>1198</v>
      </c>
      <c r="F844" s="3">
        <v>3</v>
      </c>
      <c r="G844" s="3" t="s">
        <v>10</v>
      </c>
      <c r="H844" s="3" t="s">
        <v>226</v>
      </c>
      <c r="I844" s="3">
        <v>7</v>
      </c>
      <c r="J844" s="3" t="s">
        <v>12</v>
      </c>
      <c r="K844" s="18">
        <v>68</v>
      </c>
      <c r="L844" s="16">
        <v>104</v>
      </c>
      <c r="M844" s="6" t="str" cm="1">
        <f t="array" ref="M844">_xlfn.IFS(L844&lt;100,"Economy",L844&lt;200,"Standard",L844&lt;350,"Powerful",L844&lt;500,"High Performance",L844&lt;800,"Sports Performance",L844&gt;=800,"Super Performance")</f>
        <v>Standard</v>
      </c>
    </row>
    <row r="845" spans="1:13" x14ac:dyDescent="0.25">
      <c r="A845" s="5" t="s">
        <v>90</v>
      </c>
      <c r="B845" s="3" t="s">
        <v>897</v>
      </c>
      <c r="C845" s="3" t="s">
        <v>999</v>
      </c>
      <c r="D845" s="4">
        <v>574448</v>
      </c>
      <c r="E845" s="3">
        <v>1198</v>
      </c>
      <c r="F845" s="3">
        <v>3</v>
      </c>
      <c r="G845" s="3" t="s">
        <v>10</v>
      </c>
      <c r="H845" s="3" t="s">
        <v>226</v>
      </c>
      <c r="I845" s="3">
        <v>7</v>
      </c>
      <c r="J845" s="3" t="s">
        <v>12</v>
      </c>
      <c r="K845" s="18">
        <v>68</v>
      </c>
      <c r="L845" s="16">
        <v>104</v>
      </c>
      <c r="M845" s="6" t="str" cm="1">
        <f t="array" ref="M845">_xlfn.IFS(L845&lt;100,"Economy",L845&lt;200,"Standard",L845&lt;350,"Powerful",L845&lt;500,"High Performance",L845&lt;800,"Sports Performance",L845&gt;=800,"Super Performance")</f>
        <v>Standard</v>
      </c>
    </row>
    <row r="846" spans="1:13" x14ac:dyDescent="0.25">
      <c r="A846" s="5" t="s">
        <v>90</v>
      </c>
      <c r="B846" s="3" t="s">
        <v>897</v>
      </c>
      <c r="C846" s="3" t="s">
        <v>1000</v>
      </c>
      <c r="D846" s="4">
        <v>593361</v>
      </c>
      <c r="E846" s="3">
        <v>1198</v>
      </c>
      <c r="F846" s="3">
        <v>3</v>
      </c>
      <c r="G846" s="3" t="s">
        <v>10</v>
      </c>
      <c r="H846" s="3" t="s">
        <v>226</v>
      </c>
      <c r="I846" s="3">
        <v>7</v>
      </c>
      <c r="J846" s="3" t="s">
        <v>12</v>
      </c>
      <c r="K846" s="18">
        <v>68</v>
      </c>
      <c r="L846" s="16">
        <v>104</v>
      </c>
      <c r="M846" s="6" t="str" cm="1">
        <f t="array" ref="M846">_xlfn.IFS(L846&lt;100,"Economy",L846&lt;200,"Standard",L846&lt;350,"Powerful",L846&lt;500,"High Performance",L846&lt;800,"Sports Performance",L846&gt;=800,"Super Performance")</f>
        <v>Standard</v>
      </c>
    </row>
    <row r="847" spans="1:13" x14ac:dyDescent="0.25">
      <c r="A847" s="5" t="s">
        <v>90</v>
      </c>
      <c r="B847" s="3" t="s">
        <v>897</v>
      </c>
      <c r="C847" s="3" t="s">
        <v>1001</v>
      </c>
      <c r="D847" s="4">
        <v>615153</v>
      </c>
      <c r="E847" s="3">
        <v>1198</v>
      </c>
      <c r="F847" s="3">
        <v>3</v>
      </c>
      <c r="G847" s="3" t="s">
        <v>10</v>
      </c>
      <c r="H847" s="3" t="s">
        <v>226</v>
      </c>
      <c r="I847" s="3">
        <v>7</v>
      </c>
      <c r="J847" s="3" t="s">
        <v>12</v>
      </c>
      <c r="K847" s="18">
        <v>68</v>
      </c>
      <c r="L847" s="16">
        <v>104</v>
      </c>
      <c r="M847" s="6" t="str" cm="1">
        <f t="array" ref="M847">_xlfn.IFS(L847&lt;100,"Economy",L847&lt;200,"Standard",L847&lt;350,"Powerful",L847&lt;500,"High Performance",L847&lt;800,"Sports Performance",L847&gt;=800,"Super Performance")</f>
        <v>Standard</v>
      </c>
    </row>
    <row r="848" spans="1:13" x14ac:dyDescent="0.25">
      <c r="A848" s="5" t="s">
        <v>90</v>
      </c>
      <c r="B848" s="3" t="s">
        <v>897</v>
      </c>
      <c r="C848" s="3" t="s">
        <v>1002</v>
      </c>
      <c r="D848" s="4">
        <v>658361</v>
      </c>
      <c r="E848" s="3">
        <v>1198</v>
      </c>
      <c r="F848" s="3">
        <v>3</v>
      </c>
      <c r="G848" s="3" t="s">
        <v>10</v>
      </c>
      <c r="H848" s="3" t="s">
        <v>226</v>
      </c>
      <c r="I848" s="3">
        <v>7</v>
      </c>
      <c r="J848" s="3" t="s">
        <v>12</v>
      </c>
      <c r="K848" s="18">
        <v>78</v>
      </c>
      <c r="L848" s="16">
        <v>104</v>
      </c>
      <c r="M848" s="6" t="str" cm="1">
        <f t="array" ref="M848">_xlfn.IFS(L848&lt;100,"Economy",L848&lt;200,"Standard",L848&lt;350,"Powerful",L848&lt;500,"High Performance",L848&lt;800,"Sports Performance",L848&gt;=800,"Super Performance")</f>
        <v>Standard</v>
      </c>
    </row>
    <row r="849" spans="1:13" x14ac:dyDescent="0.25">
      <c r="A849" s="5" t="s">
        <v>90</v>
      </c>
      <c r="B849" s="3" t="s">
        <v>897</v>
      </c>
      <c r="C849" s="3" t="s">
        <v>1003</v>
      </c>
      <c r="D849" s="4">
        <v>680153</v>
      </c>
      <c r="E849" s="3">
        <v>1198</v>
      </c>
      <c r="F849" s="3">
        <v>3</v>
      </c>
      <c r="G849" s="3" t="s">
        <v>10</v>
      </c>
      <c r="H849" s="3" t="s">
        <v>226</v>
      </c>
      <c r="I849" s="3">
        <v>7</v>
      </c>
      <c r="J849" s="3" t="s">
        <v>12</v>
      </c>
      <c r="K849" s="18">
        <v>78</v>
      </c>
      <c r="L849" s="16">
        <v>104</v>
      </c>
      <c r="M849" s="6" t="str" cm="1">
        <f t="array" ref="M849">_xlfn.IFS(L849&lt;100,"Economy",L849&lt;200,"Standard",L849&lt;350,"Powerful",L849&lt;500,"High Performance",L849&lt;800,"Sports Performance",L849&gt;=800,"Super Performance")</f>
        <v>Standard</v>
      </c>
    </row>
    <row r="850" spans="1:13" x14ac:dyDescent="0.25">
      <c r="A850" s="5" t="s">
        <v>78</v>
      </c>
      <c r="B850" s="3" t="s">
        <v>1004</v>
      </c>
      <c r="C850" s="3" t="s">
        <v>212</v>
      </c>
      <c r="D850" s="4">
        <v>13590000</v>
      </c>
      <c r="E850" s="3">
        <v>2979</v>
      </c>
      <c r="F850" s="3">
        <v>6</v>
      </c>
      <c r="G850" s="3" t="s">
        <v>10</v>
      </c>
      <c r="H850" s="3" t="s">
        <v>212</v>
      </c>
      <c r="I850" s="3">
        <v>4</v>
      </c>
      <c r="J850" s="3" t="s">
        <v>30</v>
      </c>
      <c r="K850" s="18">
        <v>431</v>
      </c>
      <c r="L850" s="16">
        <v>550</v>
      </c>
      <c r="M850" s="6" t="str" cm="1">
        <f t="array" ref="M850">_xlfn.IFS(L850&lt;100,"Economy",L850&lt;200,"Standard",L850&lt;350,"Powerful",L850&lt;500,"High Performance",L850&lt;800,"Sports Performance",L850&gt;=800,"Super Performance")</f>
        <v>Sports Performance</v>
      </c>
    </row>
    <row r="851" spans="1:13" x14ac:dyDescent="0.25">
      <c r="A851" s="5" t="s">
        <v>297</v>
      </c>
      <c r="B851" s="3">
        <v>911</v>
      </c>
      <c r="C851" s="3" t="s">
        <v>1005</v>
      </c>
      <c r="D851" s="4">
        <v>17420000</v>
      </c>
      <c r="E851" s="3">
        <v>2981</v>
      </c>
      <c r="F851" s="3">
        <v>6</v>
      </c>
      <c r="G851" s="3" t="s">
        <v>10</v>
      </c>
      <c r="H851" s="3" t="s">
        <v>212</v>
      </c>
      <c r="I851" s="3">
        <v>4</v>
      </c>
      <c r="J851" s="3" t="s">
        <v>30</v>
      </c>
      <c r="K851" s="18">
        <v>450</v>
      </c>
      <c r="L851" s="16">
        <v>530</v>
      </c>
      <c r="M851" s="6" t="str" cm="1">
        <f t="array" ref="M851">_xlfn.IFS(L851&lt;100,"Economy",L851&lt;200,"Standard",L851&lt;350,"Powerful",L851&lt;500,"High Performance",L851&lt;800,"Sports Performance",L851&gt;=800,"Super Performance")</f>
        <v>Sports Performance</v>
      </c>
    </row>
    <row r="852" spans="1:13" x14ac:dyDescent="0.25">
      <c r="A852" s="5" t="s">
        <v>297</v>
      </c>
      <c r="B852" s="3">
        <v>911</v>
      </c>
      <c r="C852" s="3" t="s">
        <v>1006</v>
      </c>
      <c r="D852" s="4">
        <v>18844000</v>
      </c>
      <c r="E852" s="3">
        <v>2981</v>
      </c>
      <c r="F852" s="3">
        <v>6</v>
      </c>
      <c r="G852" s="3" t="s">
        <v>10</v>
      </c>
      <c r="H852" s="3" t="s">
        <v>206</v>
      </c>
      <c r="I852" s="3">
        <v>4</v>
      </c>
      <c r="J852" s="3" t="s">
        <v>30</v>
      </c>
      <c r="K852" s="18">
        <v>450</v>
      </c>
      <c r="L852" s="16">
        <v>530</v>
      </c>
      <c r="M852" s="6" t="str" cm="1">
        <f t="array" ref="M852">_xlfn.IFS(L852&lt;100,"Economy",L852&lt;200,"Standard",L852&lt;350,"Powerful",L852&lt;500,"High Performance",L852&lt;800,"Sports Performance",L852&gt;=800,"Super Performance")</f>
        <v>Sports Performance</v>
      </c>
    </row>
    <row r="853" spans="1:13" x14ac:dyDescent="0.25">
      <c r="A853" s="5" t="s">
        <v>377</v>
      </c>
      <c r="B853" s="3" t="s">
        <v>1007</v>
      </c>
      <c r="C853" s="3" t="s">
        <v>212</v>
      </c>
      <c r="D853" s="4">
        <v>29500000</v>
      </c>
      <c r="E853" s="3">
        <v>3982</v>
      </c>
      <c r="F853" s="3">
        <v>8</v>
      </c>
      <c r="G853" s="3" t="s">
        <v>10</v>
      </c>
      <c r="H853" s="3" t="s">
        <v>212</v>
      </c>
      <c r="I853" s="3">
        <v>2</v>
      </c>
      <c r="J853" s="3" t="s">
        <v>30</v>
      </c>
      <c r="K853" s="18">
        <v>505</v>
      </c>
      <c r="L853" s="16">
        <v>685</v>
      </c>
      <c r="M853" s="6" t="str" cm="1">
        <f t="array" ref="M853">_xlfn.IFS(L853&lt;100,"Economy",L853&lt;200,"Standard",L853&lt;350,"Powerful",L853&lt;500,"High Performance",L853&lt;800,"Sports Performance",L853&gt;=800,"Super Performance")</f>
        <v>Sports Performance</v>
      </c>
    </row>
    <row r="854" spans="1:13" x14ac:dyDescent="0.25">
      <c r="A854" s="5" t="s">
        <v>377</v>
      </c>
      <c r="B854" s="3" t="s">
        <v>1008</v>
      </c>
      <c r="C854" s="3" t="s">
        <v>1009</v>
      </c>
      <c r="D854" s="4">
        <v>38845823</v>
      </c>
      <c r="E854" s="3">
        <v>5935</v>
      </c>
      <c r="F854" s="3">
        <v>12</v>
      </c>
      <c r="G854" s="3" t="s">
        <v>10</v>
      </c>
      <c r="H854" s="3" t="s">
        <v>27</v>
      </c>
      <c r="I854" s="3">
        <v>4</v>
      </c>
      <c r="J854" s="3" t="s">
        <v>30</v>
      </c>
      <c r="K854" s="18">
        <v>560</v>
      </c>
      <c r="L854" s="16">
        <v>630</v>
      </c>
      <c r="M854" s="6" t="str" cm="1">
        <f t="array" ref="M854">_xlfn.IFS(L854&lt;100,"Economy",L854&lt;200,"Standard",L854&lt;350,"Powerful",L854&lt;500,"High Performance",L854&lt;800,"Sports Performance",L854&gt;=800,"Super Performance")</f>
        <v>Sports Performance</v>
      </c>
    </row>
    <row r="855" spans="1:13" x14ac:dyDescent="0.25">
      <c r="A855" s="5" t="s">
        <v>78</v>
      </c>
      <c r="B855" s="3" t="s">
        <v>592</v>
      </c>
      <c r="C855" s="3" t="s">
        <v>1010</v>
      </c>
      <c r="D855" s="4">
        <v>6440000</v>
      </c>
      <c r="E855" s="3">
        <v>4395</v>
      </c>
      <c r="F855" s="3">
        <v>8</v>
      </c>
      <c r="G855" s="3" t="s">
        <v>10</v>
      </c>
      <c r="H855" s="3" t="s">
        <v>212</v>
      </c>
      <c r="I855" s="3">
        <v>4</v>
      </c>
      <c r="J855" s="3" t="s">
        <v>30</v>
      </c>
      <c r="K855" s="18">
        <v>450</v>
      </c>
      <c r="L855" s="16">
        <v>0</v>
      </c>
      <c r="M855" s="6" t="str" cm="1">
        <f t="array" ref="M855">_xlfn.IFS(L855&lt;100,"Economy",L855&lt;200,"Standard",L855&lt;350,"Powerful",L855&lt;500,"High Performance",L855&lt;800,"Sports Performance",L855&gt;=800,"Super Performance")</f>
        <v>Economy</v>
      </c>
    </row>
    <row r="856" spans="1:13" x14ac:dyDescent="0.25">
      <c r="A856" s="5" t="s">
        <v>280</v>
      </c>
      <c r="B856" s="3" t="s">
        <v>281</v>
      </c>
      <c r="C856" s="3" t="s">
        <v>1011</v>
      </c>
      <c r="D856" s="4">
        <v>22155390</v>
      </c>
      <c r="E856" s="3">
        <v>5000</v>
      </c>
      <c r="F856" s="3">
        <v>6</v>
      </c>
      <c r="G856" s="3" t="s">
        <v>10</v>
      </c>
      <c r="H856" s="3" t="s">
        <v>212</v>
      </c>
      <c r="I856" s="3">
        <v>2</v>
      </c>
      <c r="J856" s="3" t="s">
        <v>30</v>
      </c>
      <c r="K856" s="18">
        <v>550</v>
      </c>
      <c r="L856" s="16">
        <v>680</v>
      </c>
      <c r="M856" s="6" t="str" cm="1">
        <f t="array" ref="M856">_xlfn.IFS(L856&lt;100,"Economy",L856&lt;200,"Standard",L856&lt;350,"Powerful",L856&lt;500,"High Performance",L856&lt;800,"Sports Performance",L856&gt;=800,"Super Performance")</f>
        <v>Sports Performance</v>
      </c>
    </row>
    <row r="857" spans="1:13" x14ac:dyDescent="0.25">
      <c r="A857" s="5" t="s">
        <v>259</v>
      </c>
      <c r="B857" s="3" t="s">
        <v>1012</v>
      </c>
      <c r="C857" s="3" t="s">
        <v>87</v>
      </c>
      <c r="D857" s="4">
        <v>43367500</v>
      </c>
      <c r="E857" s="3">
        <v>3902</v>
      </c>
      <c r="F857" s="3">
        <v>8</v>
      </c>
      <c r="G857" s="3" t="s">
        <v>10</v>
      </c>
      <c r="H857" s="3" t="s">
        <v>1393</v>
      </c>
      <c r="I857" s="3">
        <v>2</v>
      </c>
      <c r="J857" s="3" t="s">
        <v>30</v>
      </c>
      <c r="K857" s="18">
        <v>669</v>
      </c>
      <c r="L857" s="16">
        <v>760</v>
      </c>
      <c r="M857" s="6" t="str" cm="1">
        <f t="array" ref="M857">_xlfn.IFS(L857&lt;100,"Economy",L857&lt;200,"Standard",L857&lt;350,"Powerful",L857&lt;500,"High Performance",L857&lt;800,"Sports Performance",L857&gt;=800,"Super Performance")</f>
        <v>Sports Performance</v>
      </c>
    </row>
    <row r="858" spans="1:13" x14ac:dyDescent="0.25">
      <c r="A858" s="5" t="s">
        <v>88</v>
      </c>
      <c r="B858" s="3" t="s">
        <v>1013</v>
      </c>
      <c r="C858" s="3" t="s">
        <v>87</v>
      </c>
      <c r="D858" s="4">
        <v>34167064</v>
      </c>
      <c r="E858" s="3">
        <v>3993</v>
      </c>
      <c r="F858" s="3">
        <v>8</v>
      </c>
      <c r="G858" s="3" t="s">
        <v>10</v>
      </c>
      <c r="H858" s="3" t="s">
        <v>27</v>
      </c>
      <c r="I858" s="3">
        <v>4</v>
      </c>
      <c r="J858" s="3" t="s">
        <v>30</v>
      </c>
      <c r="K858" s="18">
        <v>507</v>
      </c>
      <c r="L858" s="16">
        <v>660</v>
      </c>
      <c r="M858" s="6" t="str" cm="1">
        <f t="array" ref="M858">_xlfn.IFS(L858&lt;100,"Economy",L858&lt;200,"Standard",L858&lt;350,"Powerful",L858&lt;500,"High Performance",L858&lt;800,"Sports Performance",L858&gt;=800,"Super Performance")</f>
        <v>Sports Performance</v>
      </c>
    </row>
    <row r="859" spans="1:13" x14ac:dyDescent="0.25">
      <c r="A859" s="5" t="s">
        <v>88</v>
      </c>
      <c r="B859" s="3" t="s">
        <v>1013</v>
      </c>
      <c r="C859" s="3" t="s">
        <v>1014</v>
      </c>
      <c r="D859" s="4">
        <v>39382083</v>
      </c>
      <c r="E859" s="3">
        <v>5998</v>
      </c>
      <c r="F859" s="3">
        <v>12</v>
      </c>
      <c r="G859" s="3" t="s">
        <v>10</v>
      </c>
      <c r="H859" s="3" t="s">
        <v>27</v>
      </c>
      <c r="I859" s="3">
        <v>4</v>
      </c>
      <c r="J859" s="3" t="s">
        <v>30</v>
      </c>
      <c r="K859" s="18">
        <v>616</v>
      </c>
      <c r="L859" s="16">
        <v>800</v>
      </c>
      <c r="M859" s="6" t="str" cm="1">
        <f t="array" ref="M859">_xlfn.IFS(L859&lt;100,"Economy",L859&lt;200,"Standard",L859&lt;350,"Powerful",L859&lt;500,"High Performance",L859&lt;800,"Sports Performance",L859&gt;=800,"Super Performance")</f>
        <v>Super Performance</v>
      </c>
    </row>
    <row r="860" spans="1:13" x14ac:dyDescent="0.25">
      <c r="A860" s="5" t="s">
        <v>90</v>
      </c>
      <c r="B860" s="3" t="s">
        <v>1015</v>
      </c>
      <c r="C860" s="3" t="s">
        <v>1016</v>
      </c>
      <c r="D860" s="4">
        <v>19199181</v>
      </c>
      <c r="E860" s="3">
        <v>5461</v>
      </c>
      <c r="F860" s="3">
        <v>8</v>
      </c>
      <c r="G860" s="3" t="s">
        <v>10</v>
      </c>
      <c r="H860" s="3" t="s">
        <v>66</v>
      </c>
      <c r="I860" s="3">
        <v>7</v>
      </c>
      <c r="J860" s="3" t="s">
        <v>30</v>
      </c>
      <c r="K860" s="18">
        <v>557</v>
      </c>
      <c r="L860" s="16">
        <v>760</v>
      </c>
      <c r="M860" s="6" t="str" cm="1">
        <f t="array" ref="M860">_xlfn.IFS(L860&lt;100,"Economy",L860&lt;200,"Standard",L860&lt;350,"Powerful",L860&lt;500,"High Performance",L860&lt;800,"Sports Performance",L860&gt;=800,"Super Performance")</f>
        <v>Sports Performance</v>
      </c>
    </row>
    <row r="861" spans="1:13" x14ac:dyDescent="0.25">
      <c r="A861" s="5" t="s">
        <v>90</v>
      </c>
      <c r="B861" s="3" t="s">
        <v>1015</v>
      </c>
      <c r="C861" s="3" t="s">
        <v>1017</v>
      </c>
      <c r="D861" s="4">
        <v>8776900</v>
      </c>
      <c r="E861" s="3">
        <v>2996</v>
      </c>
      <c r="F861" s="3">
        <v>8</v>
      </c>
      <c r="G861" s="3" t="s">
        <v>10</v>
      </c>
      <c r="H861" s="3" t="s">
        <v>66</v>
      </c>
      <c r="I861" s="3">
        <v>7</v>
      </c>
      <c r="J861" s="3" t="s">
        <v>30</v>
      </c>
      <c r="K861" s="18">
        <v>333</v>
      </c>
      <c r="L861" s="16">
        <v>480</v>
      </c>
      <c r="M861" s="6" t="str" cm="1">
        <f t="array" ref="M861">_xlfn.IFS(L861&lt;100,"Economy",L861&lt;200,"Standard",L861&lt;350,"Powerful",L861&lt;500,"High Performance",L861&lt;800,"Sports Performance",L861&gt;=800,"Super Performance")</f>
        <v>High Performance</v>
      </c>
    </row>
    <row r="862" spans="1:13" x14ac:dyDescent="0.25">
      <c r="A862" s="5" t="s">
        <v>90</v>
      </c>
      <c r="B862" s="3" t="s">
        <v>1015</v>
      </c>
      <c r="C862" s="3" t="s">
        <v>1018</v>
      </c>
      <c r="D862" s="4">
        <v>8690000</v>
      </c>
      <c r="E862" s="3">
        <v>2996</v>
      </c>
      <c r="F862" s="3">
        <v>8</v>
      </c>
      <c r="G862" s="3" t="s">
        <v>10</v>
      </c>
      <c r="H862" s="3" t="s">
        <v>66</v>
      </c>
      <c r="I862" s="3">
        <v>7</v>
      </c>
      <c r="J862" s="3" t="s">
        <v>30</v>
      </c>
      <c r="K862" s="18">
        <v>333</v>
      </c>
      <c r="L862" s="16">
        <v>480</v>
      </c>
      <c r="M862" s="6" t="str" cm="1">
        <f t="array" ref="M862">_xlfn.IFS(L862&lt;100,"Economy",L862&lt;200,"Standard",L862&lt;350,"Powerful",L862&lt;500,"High Performance",L862&lt;800,"Sports Performance",L862&gt;=800,"Super Performance")</f>
        <v>High Performance</v>
      </c>
    </row>
    <row r="863" spans="1:13" x14ac:dyDescent="0.25">
      <c r="A863" s="5" t="s">
        <v>150</v>
      </c>
      <c r="B863" s="3" t="s">
        <v>1019</v>
      </c>
      <c r="C863" s="3" t="s">
        <v>36</v>
      </c>
      <c r="D863" s="4">
        <v>14512054</v>
      </c>
      <c r="E863" s="3">
        <v>2987</v>
      </c>
      <c r="F863" s="3">
        <v>6</v>
      </c>
      <c r="G863" s="3" t="s">
        <v>36</v>
      </c>
      <c r="H863" s="3" t="s">
        <v>66</v>
      </c>
      <c r="I863" s="3">
        <v>4</v>
      </c>
      <c r="J863" s="3" t="s">
        <v>30</v>
      </c>
      <c r="K863" s="18">
        <v>275</v>
      </c>
      <c r="L863" s="16">
        <v>600</v>
      </c>
      <c r="M863" s="6" t="str" cm="1">
        <f t="array" ref="M863">_xlfn.IFS(L863&lt;100,"Economy",L863&lt;200,"Standard",L863&lt;350,"Powerful",L863&lt;500,"High Performance",L863&lt;800,"Sports Performance",L863&gt;=800,"Super Performance")</f>
        <v>Sports Performance</v>
      </c>
    </row>
    <row r="864" spans="1:13" x14ac:dyDescent="0.25">
      <c r="A864" s="5" t="s">
        <v>150</v>
      </c>
      <c r="B864" s="3" t="s">
        <v>1019</v>
      </c>
      <c r="C864" s="3" t="s">
        <v>152</v>
      </c>
      <c r="D864" s="4">
        <v>14863774</v>
      </c>
      <c r="E864" s="3">
        <v>2979</v>
      </c>
      <c r="F864" s="3">
        <v>6</v>
      </c>
      <c r="G864" s="3" t="s">
        <v>36</v>
      </c>
      <c r="H864" s="3" t="s">
        <v>66</v>
      </c>
      <c r="I864" s="3">
        <v>4</v>
      </c>
      <c r="J864" s="3" t="s">
        <v>30</v>
      </c>
      <c r="K864" s="18">
        <v>350</v>
      </c>
      <c r="L864" s="16">
        <v>500</v>
      </c>
      <c r="M864" s="6" t="str" cm="1">
        <f t="array" ref="M864">_xlfn.IFS(L864&lt;100,"Economy",L864&lt;200,"Standard",L864&lt;350,"Powerful",L864&lt;500,"High Performance",L864&lt;800,"Sports Performance",L864&gt;=800,"Super Performance")</f>
        <v>Sports Performance</v>
      </c>
    </row>
    <row r="865" spans="1:13" x14ac:dyDescent="0.25">
      <c r="A865" s="5" t="s">
        <v>150</v>
      </c>
      <c r="B865" s="3" t="s">
        <v>1019</v>
      </c>
      <c r="C865" s="3" t="s">
        <v>1020</v>
      </c>
      <c r="D865" s="4">
        <v>15383399</v>
      </c>
      <c r="E865" s="3">
        <v>2979</v>
      </c>
      <c r="F865" s="3">
        <v>6</v>
      </c>
      <c r="G865" s="3" t="s">
        <v>36</v>
      </c>
      <c r="H865" s="3" t="s">
        <v>66</v>
      </c>
      <c r="I865" s="3">
        <v>4</v>
      </c>
      <c r="J865" s="3" t="s">
        <v>30</v>
      </c>
      <c r="K865" s="18">
        <v>430</v>
      </c>
      <c r="L865" s="16">
        <v>580</v>
      </c>
      <c r="M865" s="6" t="str" cm="1">
        <f t="array" ref="M865">_xlfn.IFS(L865&lt;100,"Economy",L865&lt;200,"Standard",L865&lt;350,"Powerful",L865&lt;500,"High Performance",L865&lt;800,"Sports Performance",L865&gt;=800,"Super Performance")</f>
        <v>Sports Performance</v>
      </c>
    </row>
    <row r="866" spans="1:13" x14ac:dyDescent="0.25">
      <c r="A866" s="5" t="s">
        <v>22</v>
      </c>
      <c r="B866" s="3" t="s">
        <v>1021</v>
      </c>
      <c r="C866" s="3" t="s">
        <v>1022</v>
      </c>
      <c r="D866" s="4">
        <v>1929417</v>
      </c>
      <c r="E866" s="3">
        <v>2179</v>
      </c>
      <c r="F866" s="3">
        <v>0</v>
      </c>
      <c r="G866" s="3" t="s">
        <v>36</v>
      </c>
      <c r="H866" s="3" t="s">
        <v>66</v>
      </c>
      <c r="I866" s="3">
        <v>6</v>
      </c>
      <c r="J866" s="3" t="s">
        <v>12</v>
      </c>
      <c r="K866" s="18">
        <v>156</v>
      </c>
      <c r="L866" s="16">
        <v>320</v>
      </c>
      <c r="M866" s="6" t="str" cm="1">
        <f t="array" ref="M866">_xlfn.IFS(L866&lt;100,"Economy",L866&lt;200,"Standard",L866&lt;350,"Powerful",L866&lt;500,"High Performance",L866&lt;800,"Sports Performance",L866&gt;=800,"Super Performance")</f>
        <v>Powerful</v>
      </c>
    </row>
    <row r="867" spans="1:13" x14ac:dyDescent="0.25">
      <c r="A867" s="5" t="s">
        <v>40</v>
      </c>
      <c r="B867" s="3" t="s">
        <v>1023</v>
      </c>
      <c r="C867" s="3" t="s">
        <v>1024</v>
      </c>
      <c r="D867" s="4">
        <v>3470000</v>
      </c>
      <c r="E867" s="3">
        <v>3198</v>
      </c>
      <c r="F867" s="3">
        <v>5</v>
      </c>
      <c r="G867" s="3" t="s">
        <v>36</v>
      </c>
      <c r="H867" s="3" t="s">
        <v>66</v>
      </c>
      <c r="I867" s="3">
        <v>7</v>
      </c>
      <c r="J867" s="3" t="s">
        <v>30</v>
      </c>
      <c r="K867" s="18">
        <v>200</v>
      </c>
      <c r="L867" s="16">
        <v>470</v>
      </c>
      <c r="M867" s="6" t="str" cm="1">
        <f t="array" ref="M867">_xlfn.IFS(L867&lt;100,"Economy",L867&lt;200,"Standard",L867&lt;350,"Powerful",L867&lt;500,"High Performance",L867&lt;800,"Sports Performance",L867&gt;=800,"Super Performance")</f>
        <v>High Performance</v>
      </c>
    </row>
    <row r="868" spans="1:13" x14ac:dyDescent="0.25">
      <c r="A868" s="5" t="s">
        <v>68</v>
      </c>
      <c r="B868" s="3" t="s">
        <v>575</v>
      </c>
      <c r="C868" s="3" t="s">
        <v>1025</v>
      </c>
      <c r="D868" s="4">
        <v>7221500</v>
      </c>
      <c r="E868" s="3">
        <v>2967</v>
      </c>
      <c r="F868" s="3">
        <v>6</v>
      </c>
      <c r="G868" s="3" t="s">
        <v>36</v>
      </c>
      <c r="H868" s="3" t="s">
        <v>66</v>
      </c>
      <c r="I868" s="3">
        <v>7</v>
      </c>
      <c r="J868" s="3" t="s">
        <v>30</v>
      </c>
      <c r="K868" s="18">
        <v>249</v>
      </c>
      <c r="L868" s="16">
        <v>600</v>
      </c>
      <c r="M868" s="6" t="str" cm="1">
        <f t="array" ref="M868">_xlfn.IFS(L868&lt;100,"Economy",L868&lt;200,"Standard",L868&lt;350,"Powerful",L868&lt;500,"High Performance",L868&lt;800,"Sports Performance",L868&gt;=800,"Super Performance")</f>
        <v>Sports Performance</v>
      </c>
    </row>
    <row r="869" spans="1:13" x14ac:dyDescent="0.25">
      <c r="A869" s="5" t="s">
        <v>68</v>
      </c>
      <c r="B869" s="3" t="s">
        <v>575</v>
      </c>
      <c r="C869" s="3" t="s">
        <v>1026</v>
      </c>
      <c r="D869" s="4">
        <v>8021500</v>
      </c>
      <c r="E869" s="3">
        <v>2967</v>
      </c>
      <c r="F869" s="3">
        <v>6</v>
      </c>
      <c r="G869" s="3" t="s">
        <v>36</v>
      </c>
      <c r="H869" s="3" t="s">
        <v>66</v>
      </c>
      <c r="I869" s="3">
        <v>7</v>
      </c>
      <c r="J869" s="3" t="s">
        <v>30</v>
      </c>
      <c r="K869" s="18">
        <v>249</v>
      </c>
      <c r="L869" s="16">
        <v>600</v>
      </c>
      <c r="M869" s="6" t="str" cm="1">
        <f t="array" ref="M869">_xlfn.IFS(L869&lt;100,"Economy",L869&lt;200,"Standard",L869&lt;350,"Powerful",L869&lt;500,"High Performance",L869&lt;800,"Sports Performance",L869&gt;=800,"Super Performance")</f>
        <v>Sports Performance</v>
      </c>
    </row>
    <row r="870" spans="1:13" x14ac:dyDescent="0.25">
      <c r="A870" s="5" t="s">
        <v>68</v>
      </c>
      <c r="B870" s="3" t="s">
        <v>575</v>
      </c>
      <c r="C870" s="3" t="s">
        <v>1027</v>
      </c>
      <c r="D870" s="4">
        <v>8111500</v>
      </c>
      <c r="E870" s="3">
        <v>2967</v>
      </c>
      <c r="F870" s="3">
        <v>6</v>
      </c>
      <c r="G870" s="3" t="s">
        <v>36</v>
      </c>
      <c r="H870" s="3" t="s">
        <v>66</v>
      </c>
      <c r="I870" s="3">
        <v>7</v>
      </c>
      <c r="J870" s="3" t="s">
        <v>30</v>
      </c>
      <c r="K870" s="18">
        <v>249</v>
      </c>
      <c r="L870" s="16">
        <v>600</v>
      </c>
      <c r="M870" s="6" t="str" cm="1">
        <f t="array" ref="M870">_xlfn.IFS(L870&lt;100,"Economy",L870&lt;200,"Standard",L870&lt;350,"Powerful",L870&lt;500,"High Performance",L870&lt;800,"Sports Performance",L870&gt;=800,"Super Performance")</f>
        <v>Sports Performance</v>
      </c>
    </row>
    <row r="871" spans="1:13" x14ac:dyDescent="0.25">
      <c r="A871" s="5" t="s">
        <v>146</v>
      </c>
      <c r="B871" s="3" t="s">
        <v>147</v>
      </c>
      <c r="C871" s="3" t="s">
        <v>1028</v>
      </c>
      <c r="D871" s="4">
        <v>14908985</v>
      </c>
      <c r="E871" s="3">
        <v>4367</v>
      </c>
      <c r="F871" s="3">
        <v>8</v>
      </c>
      <c r="G871" s="3" t="s">
        <v>36</v>
      </c>
      <c r="H871" s="3" t="s">
        <v>66</v>
      </c>
      <c r="I871" s="3">
        <v>7</v>
      </c>
      <c r="J871" s="3" t="s">
        <v>30</v>
      </c>
      <c r="K871" s="18">
        <v>335</v>
      </c>
      <c r="L871" s="16">
        <v>740</v>
      </c>
      <c r="M871" s="6" t="str" cm="1">
        <f t="array" ref="M871">_xlfn.IFS(L871&lt;100,"Economy",L871&lt;200,"Standard",L871&lt;350,"Powerful",L871&lt;500,"High Performance",L871&lt;800,"Sports Performance",L871&gt;=800,"Super Performance")</f>
        <v>Sports Performance</v>
      </c>
    </row>
    <row r="872" spans="1:13" x14ac:dyDescent="0.25">
      <c r="A872" s="5" t="s">
        <v>55</v>
      </c>
      <c r="B872" s="3" t="s">
        <v>1029</v>
      </c>
      <c r="C872" s="3" t="s">
        <v>816</v>
      </c>
      <c r="D872" s="4">
        <v>14699000</v>
      </c>
      <c r="E872" s="3">
        <v>4461</v>
      </c>
      <c r="F872" s="3">
        <v>8</v>
      </c>
      <c r="G872" s="3" t="s">
        <v>36</v>
      </c>
      <c r="H872" s="3" t="s">
        <v>66</v>
      </c>
      <c r="I872" s="3">
        <v>7</v>
      </c>
      <c r="J872" s="3" t="s">
        <v>30</v>
      </c>
      <c r="K872" s="18">
        <v>265</v>
      </c>
      <c r="L872" s="16">
        <v>650</v>
      </c>
      <c r="M872" s="6" t="str" cm="1">
        <f t="array" ref="M872">_xlfn.IFS(L872&lt;100,"Economy",L872&lt;200,"Standard",L872&lt;350,"Powerful",L872&lt;500,"High Performance",L872&lt;800,"Sports Performance",L872&gt;=800,"Super Performance")</f>
        <v>Sports Performance</v>
      </c>
    </row>
    <row r="873" spans="1:13" x14ac:dyDescent="0.25">
      <c r="A873" s="5" t="s">
        <v>146</v>
      </c>
      <c r="B873" s="3" t="s">
        <v>585</v>
      </c>
      <c r="C873" s="3" t="s">
        <v>1030</v>
      </c>
      <c r="D873" s="4">
        <v>26037526</v>
      </c>
      <c r="E873" s="3">
        <v>4999</v>
      </c>
      <c r="F873" s="3">
        <v>8</v>
      </c>
      <c r="G873" s="3" t="s">
        <v>10</v>
      </c>
      <c r="H873" s="3" t="s">
        <v>66</v>
      </c>
      <c r="I873" s="3">
        <v>7</v>
      </c>
      <c r="J873" s="3" t="s">
        <v>30</v>
      </c>
      <c r="K873" s="18">
        <v>518</v>
      </c>
      <c r="L873" s="16">
        <v>625</v>
      </c>
      <c r="M873" s="6" t="str" cm="1">
        <f t="array" ref="M873">_xlfn.IFS(L873&lt;100,"Economy",L873&lt;200,"Standard",L873&lt;350,"Powerful",L873&lt;500,"High Performance",L873&lt;800,"Sports Performance",L873&gt;=800,"Super Performance")</f>
        <v>Sports Performance</v>
      </c>
    </row>
    <row r="874" spans="1:13" x14ac:dyDescent="0.25">
      <c r="A874" s="5" t="s">
        <v>146</v>
      </c>
      <c r="B874" s="3" t="s">
        <v>585</v>
      </c>
      <c r="C874" s="3" t="s">
        <v>1031</v>
      </c>
      <c r="D874" s="4">
        <v>19527130</v>
      </c>
      <c r="E874" s="3">
        <v>2995</v>
      </c>
      <c r="F874" s="3">
        <v>6</v>
      </c>
      <c r="G874" s="3" t="s">
        <v>10</v>
      </c>
      <c r="H874" s="3" t="s">
        <v>66</v>
      </c>
      <c r="I874" s="3">
        <v>7</v>
      </c>
      <c r="J874" s="3" t="s">
        <v>30</v>
      </c>
      <c r="K874" s="18">
        <v>335</v>
      </c>
      <c r="L874" s="16">
        <v>450</v>
      </c>
      <c r="M874" s="6" t="str" cm="1">
        <f t="array" ref="M874">_xlfn.IFS(L874&lt;100,"Economy",L874&lt;200,"Standard",L874&lt;350,"Powerful",L874&lt;500,"High Performance",L874&lt;800,"Sports Performance",L874&gt;=800,"Super Performance")</f>
        <v>High Performance</v>
      </c>
    </row>
    <row r="875" spans="1:13" x14ac:dyDescent="0.25">
      <c r="A875" s="5" t="s">
        <v>146</v>
      </c>
      <c r="B875" s="3" t="s">
        <v>585</v>
      </c>
      <c r="C875" s="3" t="s">
        <v>1032</v>
      </c>
      <c r="D875" s="4">
        <v>39294685</v>
      </c>
      <c r="E875" s="3">
        <v>4367</v>
      </c>
      <c r="F875" s="3">
        <v>8</v>
      </c>
      <c r="G875" s="3" t="s">
        <v>36</v>
      </c>
      <c r="H875" s="3" t="s">
        <v>66</v>
      </c>
      <c r="I875" s="3">
        <v>4</v>
      </c>
      <c r="J875" s="3" t="s">
        <v>30</v>
      </c>
      <c r="K875" s="18">
        <v>335</v>
      </c>
      <c r="L875" s="16">
        <v>740</v>
      </c>
      <c r="M875" s="6" t="str" cm="1">
        <f t="array" ref="M875">_xlfn.IFS(L875&lt;100,"Economy",L875&lt;200,"Standard",L875&lt;350,"Powerful",L875&lt;500,"High Performance",L875&lt;800,"Sports Performance",L875&gt;=800,"Super Performance")</f>
        <v>Sports Performance</v>
      </c>
    </row>
    <row r="876" spans="1:13" x14ac:dyDescent="0.25">
      <c r="A876" s="5" t="s">
        <v>146</v>
      </c>
      <c r="B876" s="3" t="s">
        <v>585</v>
      </c>
      <c r="C876" s="3" t="s">
        <v>1033</v>
      </c>
      <c r="D876" s="4">
        <v>21398758</v>
      </c>
      <c r="E876" s="3">
        <v>2995</v>
      </c>
      <c r="F876" s="3">
        <v>6</v>
      </c>
      <c r="G876" s="3" t="s">
        <v>10</v>
      </c>
      <c r="H876" s="3" t="s">
        <v>66</v>
      </c>
      <c r="I876" s="3">
        <v>7</v>
      </c>
      <c r="J876" s="3" t="s">
        <v>30</v>
      </c>
      <c r="K876" s="18">
        <v>335</v>
      </c>
      <c r="L876" s="16">
        <v>450</v>
      </c>
      <c r="M876" s="6" t="str" cm="1">
        <f t="array" ref="M876">_xlfn.IFS(L876&lt;100,"Economy",L876&lt;200,"Standard",L876&lt;350,"Powerful",L876&lt;500,"High Performance",L876&lt;800,"Sports Performance",L876&gt;=800,"Super Performance")</f>
        <v>High Performance</v>
      </c>
    </row>
    <row r="877" spans="1:13" x14ac:dyDescent="0.25">
      <c r="A877" s="5" t="s">
        <v>202</v>
      </c>
      <c r="B877" s="3" t="s">
        <v>1034</v>
      </c>
      <c r="C877" s="3" t="s">
        <v>1035</v>
      </c>
      <c r="D877" s="4">
        <v>797802</v>
      </c>
      <c r="E877" s="3">
        <v>1493</v>
      </c>
      <c r="F877" s="3">
        <v>3</v>
      </c>
      <c r="G877" s="3" t="s">
        <v>36</v>
      </c>
      <c r="H877" s="3" t="s">
        <v>66</v>
      </c>
      <c r="I877" s="3">
        <v>7</v>
      </c>
      <c r="J877" s="3" t="s">
        <v>12</v>
      </c>
      <c r="K877" s="18">
        <v>100</v>
      </c>
      <c r="L877" s="16">
        <v>240</v>
      </c>
      <c r="M877" s="6" t="str" cm="1">
        <f t="array" ref="M877">_xlfn.IFS(L877&lt;100,"Economy",L877&lt;200,"Standard",L877&lt;350,"Powerful",L877&lt;500,"High Performance",L877&lt;800,"Sports Performance",L877&gt;=800,"Super Performance")</f>
        <v>Powerful</v>
      </c>
    </row>
    <row r="878" spans="1:13" x14ac:dyDescent="0.25">
      <c r="A878" s="5" t="s">
        <v>202</v>
      </c>
      <c r="B878" s="3" t="s">
        <v>1034</v>
      </c>
      <c r="C878" s="3" t="s">
        <v>1036</v>
      </c>
      <c r="D878" s="4">
        <v>905642</v>
      </c>
      <c r="E878" s="3">
        <v>1493</v>
      </c>
      <c r="F878" s="3">
        <v>3</v>
      </c>
      <c r="G878" s="3" t="s">
        <v>36</v>
      </c>
      <c r="H878" s="3" t="s">
        <v>66</v>
      </c>
      <c r="I878" s="3">
        <v>7</v>
      </c>
      <c r="J878" s="3" t="s">
        <v>12</v>
      </c>
      <c r="K878" s="18">
        <v>100</v>
      </c>
      <c r="L878" s="16">
        <v>240</v>
      </c>
      <c r="M878" s="6" t="str" cm="1">
        <f t="array" ref="M878">_xlfn.IFS(L878&lt;100,"Economy",L878&lt;200,"Standard",L878&lt;350,"Powerful",L878&lt;500,"High Performance",L878&lt;800,"Sports Performance",L878&gt;=800,"Super Performance")</f>
        <v>Powerful</v>
      </c>
    </row>
    <row r="879" spans="1:13" x14ac:dyDescent="0.25">
      <c r="A879" s="5" t="s">
        <v>202</v>
      </c>
      <c r="B879" s="3" t="s">
        <v>1034</v>
      </c>
      <c r="C879" s="3" t="s">
        <v>1037</v>
      </c>
      <c r="D879" s="4">
        <v>984818</v>
      </c>
      <c r="E879" s="3">
        <v>1493</v>
      </c>
      <c r="F879" s="3">
        <v>3</v>
      </c>
      <c r="G879" s="3" t="s">
        <v>36</v>
      </c>
      <c r="H879" s="3" t="s">
        <v>66</v>
      </c>
      <c r="I879" s="3">
        <v>7</v>
      </c>
      <c r="J879" s="3" t="s">
        <v>12</v>
      </c>
      <c r="K879" s="18">
        <v>100</v>
      </c>
      <c r="L879" s="16">
        <v>240</v>
      </c>
      <c r="M879" s="6" t="str" cm="1">
        <f t="array" ref="M879">_xlfn.IFS(L879&lt;100,"Economy",L879&lt;200,"Standard",L879&lt;350,"Powerful",L879&lt;500,"High Performance",L879&lt;800,"Sports Performance",L879&gt;=800,"Super Performance")</f>
        <v>Powerful</v>
      </c>
    </row>
    <row r="880" spans="1:13" x14ac:dyDescent="0.25">
      <c r="A880" s="5" t="s">
        <v>202</v>
      </c>
      <c r="B880" s="3" t="s">
        <v>1034</v>
      </c>
      <c r="C880" s="3" t="s">
        <v>1038</v>
      </c>
      <c r="D880" s="4">
        <v>832415</v>
      </c>
      <c r="E880" s="3">
        <v>1493</v>
      </c>
      <c r="F880" s="3">
        <v>3</v>
      </c>
      <c r="G880" s="3" t="s">
        <v>36</v>
      </c>
      <c r="H880" s="3" t="s">
        <v>66</v>
      </c>
      <c r="I880" s="3">
        <v>7</v>
      </c>
      <c r="J880" s="3" t="s">
        <v>12</v>
      </c>
      <c r="K880" s="18">
        <v>100</v>
      </c>
      <c r="L880" s="16">
        <v>240</v>
      </c>
      <c r="M880" s="6" t="str" cm="1">
        <f t="array" ref="M880">_xlfn.IFS(L880&lt;100,"Economy",L880&lt;200,"Standard",L880&lt;350,"Powerful",L880&lt;500,"High Performance",L880&lt;800,"Sports Performance",L880&gt;=800,"Super Performance")</f>
        <v>Powerful</v>
      </c>
    </row>
    <row r="881" spans="1:13" x14ac:dyDescent="0.25">
      <c r="A881" s="5" t="s">
        <v>202</v>
      </c>
      <c r="B881" s="3" t="s">
        <v>1034</v>
      </c>
      <c r="C881" s="3" t="s">
        <v>1039</v>
      </c>
      <c r="D881" s="4">
        <v>972359</v>
      </c>
      <c r="E881" s="3">
        <v>1493</v>
      </c>
      <c r="F881" s="3">
        <v>3</v>
      </c>
      <c r="G881" s="3" t="s">
        <v>36</v>
      </c>
      <c r="H881" s="3" t="s">
        <v>66</v>
      </c>
      <c r="I881" s="3">
        <v>7</v>
      </c>
      <c r="J881" s="3" t="s">
        <v>30</v>
      </c>
      <c r="K881" s="18">
        <v>100</v>
      </c>
      <c r="L881" s="16">
        <v>240</v>
      </c>
      <c r="M881" s="6" t="str" cm="1">
        <f t="array" ref="M881">_xlfn.IFS(L881&lt;100,"Economy",L881&lt;200,"Standard",L881&lt;350,"Powerful",L881&lt;500,"High Performance",L881&lt;800,"Sports Performance",L881&gt;=800,"Super Performance")</f>
        <v>Powerful</v>
      </c>
    </row>
    <row r="882" spans="1:13" x14ac:dyDescent="0.25">
      <c r="A882" s="5" t="s">
        <v>202</v>
      </c>
      <c r="B882" s="3" t="s">
        <v>1034</v>
      </c>
      <c r="C882" s="3" t="s">
        <v>1040</v>
      </c>
      <c r="D882" s="4">
        <v>1048603</v>
      </c>
      <c r="E882" s="3">
        <v>1493</v>
      </c>
      <c r="F882" s="3">
        <v>3</v>
      </c>
      <c r="G882" s="3" t="s">
        <v>36</v>
      </c>
      <c r="H882" s="3" t="s">
        <v>66</v>
      </c>
      <c r="I882" s="3">
        <v>7</v>
      </c>
      <c r="J882" s="3" t="s">
        <v>30</v>
      </c>
      <c r="K882" s="18">
        <v>100</v>
      </c>
      <c r="L882" s="16">
        <v>240</v>
      </c>
      <c r="M882" s="6" t="str" cm="1">
        <f t="array" ref="M882">_xlfn.IFS(L882&lt;100,"Economy",L882&lt;200,"Standard",L882&lt;350,"Powerful",L882&lt;500,"High Performance",L882&lt;800,"Sports Performance",L882&gt;=800,"Super Performance")</f>
        <v>Powerful</v>
      </c>
    </row>
    <row r="883" spans="1:13" x14ac:dyDescent="0.25">
      <c r="A883" s="5" t="s">
        <v>1041</v>
      </c>
      <c r="B883" s="3" t="s">
        <v>1042</v>
      </c>
      <c r="C883" s="3" t="s">
        <v>1043</v>
      </c>
      <c r="D883" s="4">
        <v>2734834</v>
      </c>
      <c r="E883" s="3">
        <v>2999</v>
      </c>
      <c r="F883" s="3">
        <v>4</v>
      </c>
      <c r="G883" s="3" t="s">
        <v>36</v>
      </c>
      <c r="H883" s="3" t="s">
        <v>66</v>
      </c>
      <c r="I883" s="3">
        <v>7</v>
      </c>
      <c r="J883" s="3" t="s">
        <v>30</v>
      </c>
      <c r="K883" s="18">
        <v>177</v>
      </c>
      <c r="L883" s="16">
        <v>380</v>
      </c>
      <c r="M883" s="6" t="str" cm="1">
        <f t="array" ref="M883">_xlfn.IFS(L883&lt;100,"Economy",L883&lt;200,"Standard",L883&lt;350,"Powerful",L883&lt;500,"High Performance",L883&lt;800,"Sports Performance",L883&gt;=800,"Super Performance")</f>
        <v>High Performance</v>
      </c>
    </row>
    <row r="884" spans="1:13" x14ac:dyDescent="0.25">
      <c r="A884" s="5" t="s">
        <v>1041</v>
      </c>
      <c r="B884" s="3" t="s">
        <v>1042</v>
      </c>
      <c r="C884" s="3" t="s">
        <v>1044</v>
      </c>
      <c r="D884" s="4">
        <v>2931534</v>
      </c>
      <c r="E884" s="3">
        <v>2999</v>
      </c>
      <c r="F884" s="3">
        <v>4</v>
      </c>
      <c r="G884" s="3" t="s">
        <v>36</v>
      </c>
      <c r="H884" s="3" t="s">
        <v>66</v>
      </c>
      <c r="I884" s="3">
        <v>7</v>
      </c>
      <c r="J884" s="3" t="s">
        <v>30</v>
      </c>
      <c r="K884" s="18">
        <v>177</v>
      </c>
      <c r="L884" s="16">
        <v>380</v>
      </c>
      <c r="M884" s="6" t="str" cm="1">
        <f t="array" ref="M884">_xlfn.IFS(L884&lt;100,"Economy",L884&lt;200,"Standard",L884&lt;350,"Powerful",L884&lt;500,"High Performance",L884&lt;800,"Sports Performance",L884&gt;=800,"Super Performance")</f>
        <v>High Performance</v>
      </c>
    </row>
    <row r="885" spans="1:13" x14ac:dyDescent="0.25">
      <c r="A885" s="5" t="s">
        <v>55</v>
      </c>
      <c r="B885" s="3" t="s">
        <v>1045</v>
      </c>
      <c r="C885" s="3" t="s">
        <v>1046</v>
      </c>
      <c r="D885" s="4">
        <v>9630000</v>
      </c>
      <c r="E885" s="3">
        <v>2982</v>
      </c>
      <c r="F885" s="3">
        <v>4</v>
      </c>
      <c r="G885" s="3" t="s">
        <v>36</v>
      </c>
      <c r="H885" s="3" t="s">
        <v>66</v>
      </c>
      <c r="I885" s="3">
        <v>7</v>
      </c>
      <c r="J885" s="3" t="s">
        <v>30</v>
      </c>
      <c r="K885" s="18">
        <v>173</v>
      </c>
      <c r="L885" s="16">
        <v>410</v>
      </c>
      <c r="M885" s="6" t="str" cm="1">
        <f t="array" ref="M885">_xlfn.IFS(L885&lt;100,"Economy",L885&lt;200,"Standard",L885&lt;350,"Powerful",L885&lt;500,"High Performance",L885&lt;800,"Sports Performance",L885&gt;=800,"Super Performance")</f>
        <v>High Performance</v>
      </c>
    </row>
    <row r="886" spans="1:13" x14ac:dyDescent="0.25">
      <c r="A886" s="5" t="s">
        <v>1047</v>
      </c>
      <c r="B886" s="3" t="s">
        <v>1048</v>
      </c>
      <c r="C886" s="3" t="s">
        <v>1049</v>
      </c>
      <c r="D886" s="4">
        <v>642478</v>
      </c>
      <c r="E886" s="3">
        <v>1994</v>
      </c>
      <c r="F886" s="3">
        <v>4</v>
      </c>
      <c r="G886" s="3" t="s">
        <v>36</v>
      </c>
      <c r="H886" s="3" t="s">
        <v>66</v>
      </c>
      <c r="I886" s="3">
        <v>9</v>
      </c>
      <c r="J886" s="3" t="s">
        <v>12</v>
      </c>
      <c r="K886" s="18">
        <v>101.4</v>
      </c>
      <c r="L886" s="16">
        <v>240</v>
      </c>
      <c r="M886" s="6" t="str" cm="1">
        <f t="array" ref="M886">_xlfn.IFS(L886&lt;100,"Economy",L886&lt;200,"Standard",L886&lt;350,"Powerful",L886&lt;500,"High Performance",L886&lt;800,"Sports Performance",L886&gt;=800,"Super Performance")</f>
        <v>Powerful</v>
      </c>
    </row>
    <row r="887" spans="1:13" x14ac:dyDescent="0.25">
      <c r="A887" s="5" t="s">
        <v>1047</v>
      </c>
      <c r="B887" s="3" t="s">
        <v>1048</v>
      </c>
      <c r="C887" s="3" t="s">
        <v>1050</v>
      </c>
      <c r="D887" s="4">
        <v>589678</v>
      </c>
      <c r="E887" s="3">
        <v>1994</v>
      </c>
      <c r="F887" s="3">
        <v>4</v>
      </c>
      <c r="G887" s="3" t="s">
        <v>36</v>
      </c>
      <c r="H887" s="3" t="s">
        <v>66</v>
      </c>
      <c r="I887" s="3">
        <v>9</v>
      </c>
      <c r="J887" s="3" t="s">
        <v>12</v>
      </c>
      <c r="K887" s="18">
        <v>122</v>
      </c>
      <c r="L887" s="16">
        <v>270</v>
      </c>
      <c r="M887" s="6" t="str" cm="1">
        <f t="array" ref="M887">_xlfn.IFS(L887&lt;100,"Economy",L887&lt;200,"Standard",L887&lt;350,"Powerful",L887&lt;500,"High Performance",L887&lt;800,"Sports Performance",L887&gt;=800,"Super Performance")</f>
        <v>Powerful</v>
      </c>
    </row>
    <row r="888" spans="1:13" x14ac:dyDescent="0.25">
      <c r="A888" s="5" t="s">
        <v>1047</v>
      </c>
      <c r="B888" s="3" t="s">
        <v>1048</v>
      </c>
      <c r="C888" s="3" t="s">
        <v>1051</v>
      </c>
      <c r="D888" s="4">
        <v>689761</v>
      </c>
      <c r="E888" s="3">
        <v>1994</v>
      </c>
      <c r="F888" s="3">
        <v>4</v>
      </c>
      <c r="G888" s="3" t="s">
        <v>36</v>
      </c>
      <c r="H888" s="3" t="s">
        <v>66</v>
      </c>
      <c r="I888" s="3">
        <v>9</v>
      </c>
      <c r="J888" s="3" t="s">
        <v>12</v>
      </c>
      <c r="K888" s="18">
        <v>122</v>
      </c>
      <c r="L888" s="16">
        <v>270</v>
      </c>
      <c r="M888" s="6" t="str" cm="1">
        <f t="array" ref="M888">_xlfn.IFS(L888&lt;100,"Economy",L888&lt;200,"Standard",L888&lt;350,"Powerful",L888&lt;500,"High Performance",L888&lt;800,"Sports Performance",L888&gt;=800,"Super Performance")</f>
        <v>Powerful</v>
      </c>
    </row>
    <row r="889" spans="1:13" x14ac:dyDescent="0.25">
      <c r="A889" s="5" t="s">
        <v>1047</v>
      </c>
      <c r="B889" s="3" t="s">
        <v>1048</v>
      </c>
      <c r="C889" s="3" t="s">
        <v>1052</v>
      </c>
      <c r="D889" s="4">
        <v>788177</v>
      </c>
      <c r="E889" s="3">
        <v>1994</v>
      </c>
      <c r="F889" s="3">
        <v>4</v>
      </c>
      <c r="G889" s="3" t="s">
        <v>36</v>
      </c>
      <c r="H889" s="3" t="s">
        <v>66</v>
      </c>
      <c r="I889" s="3">
        <v>9</v>
      </c>
      <c r="J889" s="3" t="s">
        <v>12</v>
      </c>
      <c r="K889" s="18">
        <v>122</v>
      </c>
      <c r="L889" s="16">
        <v>270</v>
      </c>
      <c r="M889" s="6" t="str" cm="1">
        <f t="array" ref="M889">_xlfn.IFS(L889&lt;100,"Economy",L889&lt;200,"Standard",L889&lt;350,"Powerful",L889&lt;500,"High Performance",L889&lt;800,"Sports Performance",L889&gt;=800,"Super Performance")</f>
        <v>Powerful</v>
      </c>
    </row>
    <row r="890" spans="1:13" x14ac:dyDescent="0.25">
      <c r="A890" s="5" t="s">
        <v>1047</v>
      </c>
      <c r="B890" s="3" t="s">
        <v>1048</v>
      </c>
      <c r="C890" s="3" t="s">
        <v>1053</v>
      </c>
      <c r="D890" s="4">
        <v>2650777</v>
      </c>
      <c r="E890" s="3">
        <v>1994</v>
      </c>
      <c r="F890" s="3">
        <v>4</v>
      </c>
      <c r="G890" s="3" t="s">
        <v>36</v>
      </c>
      <c r="H890" s="3" t="s">
        <v>66</v>
      </c>
      <c r="I890" s="3">
        <v>9</v>
      </c>
      <c r="J890" s="3" t="s">
        <v>12</v>
      </c>
      <c r="K890" s="18">
        <v>101.4</v>
      </c>
      <c r="L890" s="16">
        <v>240</v>
      </c>
      <c r="M890" s="6" t="str" cm="1">
        <f t="array" ref="M890">_xlfn.IFS(L890&lt;100,"Economy",L890&lt;200,"Standard",L890&lt;350,"Powerful",L890&lt;500,"High Performance",L890&lt;800,"Sports Performance",L890&gt;=800,"Super Performance")</f>
        <v>Powerful</v>
      </c>
    </row>
    <row r="891" spans="1:13" x14ac:dyDescent="0.25">
      <c r="A891" s="5" t="s">
        <v>1047</v>
      </c>
      <c r="B891" s="3" t="s">
        <v>1048</v>
      </c>
      <c r="C891" s="3" t="s">
        <v>1054</v>
      </c>
      <c r="D891" s="4">
        <v>628072</v>
      </c>
      <c r="E891" s="3">
        <v>1994</v>
      </c>
      <c r="F891" s="3">
        <v>4</v>
      </c>
      <c r="G891" s="3" t="s">
        <v>36</v>
      </c>
      <c r="H891" s="3" t="s">
        <v>66</v>
      </c>
      <c r="I891" s="3">
        <v>9</v>
      </c>
      <c r="J891" s="3" t="s">
        <v>12</v>
      </c>
      <c r="K891" s="18">
        <v>122</v>
      </c>
      <c r="L891" s="16">
        <v>270</v>
      </c>
      <c r="M891" s="6" t="str" cm="1">
        <f t="array" ref="M891">_xlfn.IFS(L891&lt;100,"Economy",L891&lt;200,"Standard",L891&lt;350,"Powerful",L891&lt;500,"High Performance",L891&lt;800,"Sports Performance",L891&gt;=800,"Super Performance")</f>
        <v>Powerful</v>
      </c>
    </row>
    <row r="892" spans="1:13" x14ac:dyDescent="0.25">
      <c r="A892" s="5" t="s">
        <v>1047</v>
      </c>
      <c r="B892" s="3" t="s">
        <v>1048</v>
      </c>
      <c r="C892" s="3" t="s">
        <v>1055</v>
      </c>
      <c r="D892" s="4">
        <v>900967</v>
      </c>
      <c r="E892" s="3">
        <v>1994</v>
      </c>
      <c r="F892" s="3">
        <v>4</v>
      </c>
      <c r="G892" s="3" t="s">
        <v>36</v>
      </c>
      <c r="H892" s="3" t="s">
        <v>66</v>
      </c>
      <c r="I892" s="3">
        <v>7</v>
      </c>
      <c r="J892" s="3" t="s">
        <v>12</v>
      </c>
      <c r="K892" s="18">
        <v>122</v>
      </c>
      <c r="L892" s="16">
        <v>270</v>
      </c>
      <c r="M892" s="6" t="str" cm="1">
        <f t="array" ref="M892">_xlfn.IFS(L892&lt;100,"Economy",L892&lt;200,"Standard",L892&lt;350,"Powerful",L892&lt;500,"High Performance",L892&lt;800,"Sports Performance",L892&gt;=800,"Super Performance")</f>
        <v>Powerful</v>
      </c>
    </row>
    <row r="893" spans="1:13" x14ac:dyDescent="0.25">
      <c r="A893" s="5" t="s">
        <v>1047</v>
      </c>
      <c r="B893" s="3" t="s">
        <v>1048</v>
      </c>
      <c r="C893" s="3" t="s">
        <v>1056</v>
      </c>
      <c r="D893" s="4">
        <v>1465148</v>
      </c>
      <c r="E893" s="3">
        <v>1994</v>
      </c>
      <c r="F893" s="3">
        <v>4</v>
      </c>
      <c r="G893" s="3" t="s">
        <v>36</v>
      </c>
      <c r="H893" s="3" t="s">
        <v>66</v>
      </c>
      <c r="I893" s="3">
        <v>7</v>
      </c>
      <c r="J893" s="3" t="s">
        <v>12</v>
      </c>
      <c r="K893" s="18">
        <v>101.4</v>
      </c>
      <c r="L893" s="16">
        <v>240</v>
      </c>
      <c r="M893" s="6" t="str" cm="1">
        <f t="array" ref="M893">_xlfn.IFS(L893&lt;100,"Economy",L893&lt;200,"Standard",L893&lt;350,"Powerful",L893&lt;500,"High Performance",L893&lt;800,"Sports Performance",L893&gt;=800,"Super Performance")</f>
        <v>Powerful</v>
      </c>
    </row>
    <row r="894" spans="1:13" x14ac:dyDescent="0.25">
      <c r="A894" s="5" t="s">
        <v>1047</v>
      </c>
      <c r="B894" s="3" t="s">
        <v>1048</v>
      </c>
      <c r="C894" s="3" t="s">
        <v>1057</v>
      </c>
      <c r="D894" s="4">
        <v>552890</v>
      </c>
      <c r="E894" s="3">
        <v>1994</v>
      </c>
      <c r="F894" s="3">
        <v>4</v>
      </c>
      <c r="G894" s="3" t="s">
        <v>36</v>
      </c>
      <c r="H894" s="3" t="s">
        <v>66</v>
      </c>
      <c r="I894" s="3">
        <v>9</v>
      </c>
      <c r="J894" s="3" t="s">
        <v>12</v>
      </c>
      <c r="K894" s="18">
        <v>122</v>
      </c>
      <c r="L894" s="16">
        <v>270</v>
      </c>
      <c r="M894" s="6" t="str" cm="1">
        <f t="array" ref="M894">_xlfn.IFS(L894&lt;100,"Economy",L894&lt;200,"Standard",L894&lt;350,"Powerful",L894&lt;500,"High Performance",L894&lt;800,"Sports Performance",L894&gt;=800,"Super Performance")</f>
        <v>Powerful</v>
      </c>
    </row>
    <row r="895" spans="1:13" x14ac:dyDescent="0.25">
      <c r="A895" s="5" t="s">
        <v>1047</v>
      </c>
      <c r="B895" s="3" t="s">
        <v>1048</v>
      </c>
      <c r="C895" s="3" t="s">
        <v>1058</v>
      </c>
      <c r="D895" s="4">
        <v>927689</v>
      </c>
      <c r="E895" s="3">
        <v>1994</v>
      </c>
      <c r="F895" s="3">
        <v>4</v>
      </c>
      <c r="G895" s="3" t="s">
        <v>36</v>
      </c>
      <c r="H895" s="3" t="s">
        <v>66</v>
      </c>
      <c r="I895" s="3">
        <v>7</v>
      </c>
      <c r="J895" s="3" t="s">
        <v>12</v>
      </c>
      <c r="K895" s="18">
        <v>122</v>
      </c>
      <c r="L895" s="16">
        <v>270</v>
      </c>
      <c r="M895" s="6" t="str" cm="1">
        <f t="array" ref="M895">_xlfn.IFS(L895&lt;100,"Economy",L895&lt;200,"Standard",L895&lt;350,"Powerful",L895&lt;500,"High Performance",L895&lt;800,"Sports Performance",L895&gt;=800,"Super Performance")</f>
        <v>Powerful</v>
      </c>
    </row>
    <row r="896" spans="1:13" x14ac:dyDescent="0.25">
      <c r="A896" s="5" t="s">
        <v>1047</v>
      </c>
      <c r="B896" s="3" t="s">
        <v>1048</v>
      </c>
      <c r="C896" s="3" t="s">
        <v>1059</v>
      </c>
      <c r="D896" s="4">
        <v>835275</v>
      </c>
      <c r="E896" s="3">
        <v>1994</v>
      </c>
      <c r="F896" s="3">
        <v>4</v>
      </c>
      <c r="G896" s="3" t="s">
        <v>36</v>
      </c>
      <c r="H896" s="3" t="s">
        <v>66</v>
      </c>
      <c r="I896" s="3">
        <v>9</v>
      </c>
      <c r="J896" s="3" t="s">
        <v>12</v>
      </c>
      <c r="K896" s="18">
        <v>122</v>
      </c>
      <c r="L896" s="16">
        <v>270</v>
      </c>
      <c r="M896" s="6" t="str" cm="1">
        <f t="array" ref="M896">_xlfn.IFS(L896&lt;100,"Economy",L896&lt;200,"Standard",L896&lt;350,"Powerful",L896&lt;500,"High Performance",L896&lt;800,"Sports Performance",L896&gt;=800,"Super Performance")</f>
        <v>Powerful</v>
      </c>
    </row>
    <row r="897" spans="1:13" x14ac:dyDescent="0.25">
      <c r="A897" s="5" t="s">
        <v>93</v>
      </c>
      <c r="B897" s="3" t="s">
        <v>1060</v>
      </c>
      <c r="C897" s="3" t="s">
        <v>1061</v>
      </c>
      <c r="D897" s="4">
        <v>637343</v>
      </c>
      <c r="E897" s="3">
        <v>1298</v>
      </c>
      <c r="F897" s="3">
        <v>4</v>
      </c>
      <c r="G897" s="3" t="s">
        <v>10</v>
      </c>
      <c r="H897" s="3" t="s">
        <v>66</v>
      </c>
      <c r="I897" s="3">
        <v>8</v>
      </c>
      <c r="J897" s="3" t="s">
        <v>12</v>
      </c>
      <c r="K897" s="18">
        <v>80</v>
      </c>
      <c r="L897" s="16">
        <v>103</v>
      </c>
      <c r="M897" s="6" t="str" cm="1">
        <f t="array" ref="M897">_xlfn.IFS(L897&lt;100,"Economy",L897&lt;200,"Standard",L897&lt;350,"Powerful",L897&lt;500,"High Performance",L897&lt;800,"Sports Performance",L897&gt;=800,"Super Performance")</f>
        <v>Standard</v>
      </c>
    </row>
    <row r="898" spans="1:13" x14ac:dyDescent="0.25">
      <c r="A898" s="5" t="s">
        <v>93</v>
      </c>
      <c r="B898" s="3" t="s">
        <v>1060</v>
      </c>
      <c r="C898" s="3" t="s">
        <v>1062</v>
      </c>
      <c r="D898" s="4">
        <v>622730</v>
      </c>
      <c r="E898" s="3">
        <v>1298</v>
      </c>
      <c r="F898" s="3">
        <v>4</v>
      </c>
      <c r="G898" s="3" t="s">
        <v>10</v>
      </c>
      <c r="H898" s="3" t="s">
        <v>66</v>
      </c>
      <c r="I898" s="3">
        <v>8</v>
      </c>
      <c r="J898" s="3" t="s">
        <v>12</v>
      </c>
      <c r="K898" s="18">
        <v>80</v>
      </c>
      <c r="L898" s="16">
        <v>103</v>
      </c>
      <c r="M898" s="6" t="str" cm="1">
        <f t="array" ref="M898">_xlfn.IFS(L898&lt;100,"Economy",L898&lt;200,"Standard",L898&lt;350,"Powerful",L898&lt;500,"High Performance",L898&lt;800,"Sports Performance",L898&gt;=800,"Super Performance")</f>
        <v>Standard</v>
      </c>
    </row>
    <row r="899" spans="1:13" x14ac:dyDescent="0.25">
      <c r="A899" s="5" t="s">
        <v>202</v>
      </c>
      <c r="B899" s="3" t="s">
        <v>877</v>
      </c>
      <c r="C899" s="3" t="s">
        <v>1063</v>
      </c>
      <c r="D899" s="4">
        <v>859497</v>
      </c>
      <c r="E899" s="3">
        <v>2523</v>
      </c>
      <c r="F899" s="3">
        <v>4</v>
      </c>
      <c r="G899" s="3" t="s">
        <v>36</v>
      </c>
      <c r="H899" s="3" t="s">
        <v>66</v>
      </c>
      <c r="I899" s="3">
        <v>7</v>
      </c>
      <c r="J899" s="3" t="s">
        <v>12</v>
      </c>
      <c r="K899" s="18">
        <v>63</v>
      </c>
      <c r="L899" s="16">
        <v>0</v>
      </c>
      <c r="M899" s="6" t="str" cm="1">
        <f t="array" ref="M899">_xlfn.IFS(L899&lt;100,"Economy",L899&lt;200,"Standard",L899&lt;350,"Powerful",L899&lt;500,"High Performance",L899&lt;800,"Sports Performance",L899&gt;=800,"Super Performance")</f>
        <v>Economy</v>
      </c>
    </row>
    <row r="900" spans="1:13" x14ac:dyDescent="0.25">
      <c r="A900" s="5" t="s">
        <v>202</v>
      </c>
      <c r="B900" s="3" t="s">
        <v>877</v>
      </c>
      <c r="C900" s="3" t="s">
        <v>1064</v>
      </c>
      <c r="D900" s="4">
        <v>819117</v>
      </c>
      <c r="E900" s="3">
        <v>2523</v>
      </c>
      <c r="F900" s="3">
        <v>4</v>
      </c>
      <c r="G900" s="3" t="s">
        <v>36</v>
      </c>
      <c r="H900" s="3" t="s">
        <v>66</v>
      </c>
      <c r="I900" s="3">
        <v>9</v>
      </c>
      <c r="J900" s="3" t="s">
        <v>12</v>
      </c>
      <c r="K900" s="18">
        <v>63.9</v>
      </c>
      <c r="L900" s="16">
        <v>195</v>
      </c>
      <c r="M900" s="6" t="str" cm="1">
        <f t="array" ref="M900">_xlfn.IFS(L900&lt;100,"Economy",L900&lt;200,"Standard",L900&lt;350,"Powerful",L900&lt;500,"High Performance",L900&lt;800,"Sports Performance",L900&gt;=800,"Super Performance")</f>
        <v>Standard</v>
      </c>
    </row>
    <row r="901" spans="1:13" x14ac:dyDescent="0.25">
      <c r="A901" s="5" t="s">
        <v>131</v>
      </c>
      <c r="B901" s="3" t="s">
        <v>1065</v>
      </c>
      <c r="C901" s="3" t="s">
        <v>1066</v>
      </c>
      <c r="D901" s="4">
        <v>952900</v>
      </c>
      <c r="E901" s="3">
        <v>1497</v>
      </c>
      <c r="F901" s="3">
        <v>4</v>
      </c>
      <c r="G901" s="3" t="s">
        <v>10</v>
      </c>
      <c r="H901" s="3" t="s">
        <v>66</v>
      </c>
      <c r="I901" s="3">
        <v>7</v>
      </c>
      <c r="J901" s="3" t="s">
        <v>12</v>
      </c>
      <c r="K901" s="18">
        <v>119</v>
      </c>
      <c r="L901" s="16">
        <v>145</v>
      </c>
      <c r="M901" s="6" t="str" cm="1">
        <f t="array" ref="M901">_xlfn.IFS(L901&lt;100,"Economy",L901&lt;200,"Standard",L901&lt;350,"Powerful",L901&lt;500,"High Performance",L901&lt;800,"Sports Performance",L901&gt;=800,"Super Performance")</f>
        <v>Standard</v>
      </c>
    </row>
    <row r="902" spans="1:13" x14ac:dyDescent="0.25">
      <c r="A902" s="5" t="s">
        <v>131</v>
      </c>
      <c r="B902" s="3" t="s">
        <v>1065</v>
      </c>
      <c r="C902" s="3" t="s">
        <v>498</v>
      </c>
      <c r="D902" s="4">
        <v>1052900</v>
      </c>
      <c r="E902" s="3">
        <v>1497</v>
      </c>
      <c r="F902" s="3">
        <v>4</v>
      </c>
      <c r="G902" s="3" t="s">
        <v>10</v>
      </c>
      <c r="H902" s="3" t="s">
        <v>66</v>
      </c>
      <c r="I902" s="3">
        <v>7</v>
      </c>
      <c r="J902" s="3" t="s">
        <v>12</v>
      </c>
      <c r="K902" s="18">
        <v>119</v>
      </c>
      <c r="L902" s="16">
        <v>145</v>
      </c>
      <c r="M902" s="6" t="str" cm="1">
        <f t="array" ref="M902">_xlfn.IFS(L902&lt;100,"Economy",L902&lt;200,"Standard",L902&lt;350,"Powerful",L902&lt;500,"High Performance",L902&lt;800,"Sports Performance",L902&gt;=800,"Super Performance")</f>
        <v>Standard</v>
      </c>
    </row>
    <row r="903" spans="1:13" x14ac:dyDescent="0.25">
      <c r="A903" s="5" t="s">
        <v>131</v>
      </c>
      <c r="B903" s="3" t="s">
        <v>1065</v>
      </c>
      <c r="C903" s="3" t="s">
        <v>470</v>
      </c>
      <c r="D903" s="4">
        <v>1167900</v>
      </c>
      <c r="E903" s="3">
        <v>1497</v>
      </c>
      <c r="F903" s="3">
        <v>4</v>
      </c>
      <c r="G903" s="3" t="s">
        <v>10</v>
      </c>
      <c r="H903" s="3" t="s">
        <v>66</v>
      </c>
      <c r="I903" s="3">
        <v>7</v>
      </c>
      <c r="J903" s="3" t="s">
        <v>12</v>
      </c>
      <c r="K903" s="18">
        <v>119</v>
      </c>
      <c r="L903" s="16">
        <v>145</v>
      </c>
      <c r="M903" s="6" t="str" cm="1">
        <f t="array" ref="M903">_xlfn.IFS(L903&lt;100,"Economy",L903&lt;200,"Standard",L903&lt;350,"Powerful",L903&lt;500,"High Performance",L903&lt;800,"Sports Performance",L903&gt;=800,"Super Performance")</f>
        <v>Standard</v>
      </c>
    </row>
    <row r="904" spans="1:13" x14ac:dyDescent="0.25">
      <c r="A904" s="5" t="s">
        <v>131</v>
      </c>
      <c r="B904" s="3" t="s">
        <v>1065</v>
      </c>
      <c r="C904" s="3" t="s">
        <v>472</v>
      </c>
      <c r="D904" s="4">
        <v>1271900</v>
      </c>
      <c r="E904" s="3">
        <v>1497</v>
      </c>
      <c r="F904" s="3">
        <v>4</v>
      </c>
      <c r="G904" s="3" t="s">
        <v>10</v>
      </c>
      <c r="H904" s="3" t="s">
        <v>66</v>
      </c>
      <c r="I904" s="3">
        <v>7</v>
      </c>
      <c r="J904" s="3" t="s">
        <v>12</v>
      </c>
      <c r="K904" s="18">
        <v>119</v>
      </c>
      <c r="L904" s="16">
        <v>145</v>
      </c>
      <c r="M904" s="6" t="str" cm="1">
        <f t="array" ref="M904">_xlfn.IFS(L904&lt;100,"Economy",L904&lt;200,"Standard",L904&lt;350,"Powerful",L904&lt;500,"High Performance",L904&lt;800,"Sports Performance",L904&gt;=800,"Super Performance")</f>
        <v>Standard</v>
      </c>
    </row>
    <row r="905" spans="1:13" x14ac:dyDescent="0.25">
      <c r="A905" s="5" t="s">
        <v>131</v>
      </c>
      <c r="B905" s="3" t="s">
        <v>1065</v>
      </c>
      <c r="C905" s="3" t="s">
        <v>849</v>
      </c>
      <c r="D905" s="4">
        <v>1285900</v>
      </c>
      <c r="E905" s="3">
        <v>1497</v>
      </c>
      <c r="F905" s="3">
        <v>4</v>
      </c>
      <c r="G905" s="3" t="s">
        <v>10</v>
      </c>
      <c r="H905" s="3" t="s">
        <v>66</v>
      </c>
      <c r="I905" s="3">
        <v>7</v>
      </c>
      <c r="J905" s="3" t="s">
        <v>30</v>
      </c>
      <c r="K905" s="18">
        <v>119</v>
      </c>
      <c r="L905" s="16">
        <v>145</v>
      </c>
      <c r="M905" s="6" t="str" cm="1">
        <f t="array" ref="M905">_xlfn.IFS(L905&lt;100,"Economy",L905&lt;200,"Standard",L905&lt;350,"Powerful",L905&lt;500,"High Performance",L905&lt;800,"Sports Performance",L905&gt;=800,"Super Performance")</f>
        <v>Standard</v>
      </c>
    </row>
    <row r="906" spans="1:13" x14ac:dyDescent="0.25">
      <c r="A906" s="5" t="s">
        <v>131</v>
      </c>
      <c r="B906" s="3" t="s">
        <v>1065</v>
      </c>
      <c r="C906" s="3" t="s">
        <v>473</v>
      </c>
      <c r="D906" s="4">
        <v>1187900</v>
      </c>
      <c r="E906" s="3">
        <v>1498</v>
      </c>
      <c r="F906" s="3">
        <v>4</v>
      </c>
      <c r="G906" s="3" t="s">
        <v>36</v>
      </c>
      <c r="H906" s="3" t="s">
        <v>66</v>
      </c>
      <c r="I906" s="3">
        <v>7</v>
      </c>
      <c r="J906" s="3" t="s">
        <v>12</v>
      </c>
      <c r="K906" s="18">
        <v>100</v>
      </c>
      <c r="L906" s="16">
        <v>200</v>
      </c>
      <c r="M906" s="6" t="str" cm="1">
        <f t="array" ref="M906">_xlfn.IFS(L906&lt;100,"Economy",L906&lt;200,"Standard",L906&lt;350,"Powerful",L906&lt;500,"High Performance",L906&lt;800,"Sports Performance",L906&gt;=800,"Super Performance")</f>
        <v>Powerful</v>
      </c>
    </row>
    <row r="907" spans="1:13" x14ac:dyDescent="0.25">
      <c r="A907" s="5" t="s">
        <v>131</v>
      </c>
      <c r="B907" s="3" t="s">
        <v>1065</v>
      </c>
      <c r="C907" s="3" t="s">
        <v>398</v>
      </c>
      <c r="D907" s="4">
        <v>1273900</v>
      </c>
      <c r="E907" s="3">
        <v>1498</v>
      </c>
      <c r="F907" s="3">
        <v>4</v>
      </c>
      <c r="G907" s="3" t="s">
        <v>36</v>
      </c>
      <c r="H907" s="3" t="s">
        <v>66</v>
      </c>
      <c r="I907" s="3">
        <v>7</v>
      </c>
      <c r="J907" s="3" t="s">
        <v>12</v>
      </c>
      <c r="K907" s="18">
        <v>100</v>
      </c>
      <c r="L907" s="16">
        <v>200</v>
      </c>
      <c r="M907" s="6" t="str" cm="1">
        <f t="array" ref="M907">_xlfn.IFS(L907&lt;100,"Economy",L907&lt;200,"Standard",L907&lt;350,"Powerful",L907&lt;500,"High Performance",L907&lt;800,"Sports Performance",L907&gt;=800,"Super Performance")</f>
        <v>Powerful</v>
      </c>
    </row>
    <row r="908" spans="1:13" x14ac:dyDescent="0.25">
      <c r="A908" s="5" t="s">
        <v>131</v>
      </c>
      <c r="B908" s="3" t="s">
        <v>1065</v>
      </c>
      <c r="C908" s="3" t="s">
        <v>396</v>
      </c>
      <c r="D908" s="4">
        <v>1382900</v>
      </c>
      <c r="E908" s="3">
        <v>1498</v>
      </c>
      <c r="F908" s="3">
        <v>4</v>
      </c>
      <c r="G908" s="3" t="s">
        <v>36</v>
      </c>
      <c r="H908" s="3" t="s">
        <v>66</v>
      </c>
      <c r="I908" s="3">
        <v>7</v>
      </c>
      <c r="J908" s="3" t="s">
        <v>12</v>
      </c>
      <c r="K908" s="18">
        <v>100</v>
      </c>
      <c r="L908" s="16">
        <v>200</v>
      </c>
      <c r="M908" s="6" t="str" cm="1">
        <f t="array" ref="M908">_xlfn.IFS(L908&lt;100,"Economy",L908&lt;200,"Standard",L908&lt;350,"Powerful",L908&lt;500,"High Performance",L908&lt;800,"Sports Performance",L908&gt;=800,"Super Performance")</f>
        <v>Powerful</v>
      </c>
    </row>
    <row r="909" spans="1:13" x14ac:dyDescent="0.25">
      <c r="A909" s="5" t="s">
        <v>105</v>
      </c>
      <c r="B909" s="3" t="s">
        <v>106</v>
      </c>
      <c r="C909" s="3" t="s">
        <v>1067</v>
      </c>
      <c r="D909" s="4">
        <v>999000</v>
      </c>
      <c r="E909" s="3">
        <v>2596</v>
      </c>
      <c r="F909" s="3">
        <v>4</v>
      </c>
      <c r="G909" s="3" t="s">
        <v>36</v>
      </c>
      <c r="H909" s="3" t="s">
        <v>66</v>
      </c>
      <c r="I909" s="3">
        <v>7</v>
      </c>
      <c r="J909" s="3" t="s">
        <v>12</v>
      </c>
      <c r="K909" s="18">
        <v>85</v>
      </c>
      <c r="L909" s="16">
        <v>230</v>
      </c>
      <c r="M909" s="6" t="str" cm="1">
        <f t="array" ref="M909">_xlfn.IFS(L909&lt;100,"Economy",L909&lt;200,"Standard",L909&lt;350,"Powerful",L909&lt;500,"High Performance",L909&lt;800,"Sports Performance",L909&gt;=800,"Super Performance")</f>
        <v>Powerful</v>
      </c>
    </row>
    <row r="910" spans="1:13" x14ac:dyDescent="0.25">
      <c r="A910" s="5" t="s">
        <v>105</v>
      </c>
      <c r="B910" s="3" t="s">
        <v>106</v>
      </c>
      <c r="C910" s="3" t="s">
        <v>1068</v>
      </c>
      <c r="D910" s="4">
        <v>975000</v>
      </c>
      <c r="E910" s="3">
        <v>2596</v>
      </c>
      <c r="F910" s="3">
        <v>4</v>
      </c>
      <c r="G910" s="3" t="s">
        <v>36</v>
      </c>
      <c r="H910" s="3" t="s">
        <v>66</v>
      </c>
      <c r="I910" s="3">
        <v>7</v>
      </c>
      <c r="J910" s="3" t="s">
        <v>12</v>
      </c>
      <c r="K910" s="18">
        <v>85</v>
      </c>
      <c r="L910" s="16">
        <v>230</v>
      </c>
      <c r="M910" s="6" t="str" cm="1">
        <f t="array" ref="M910">_xlfn.IFS(L910&lt;100,"Economy",L910&lt;200,"Standard",L910&lt;350,"Powerful",L910&lt;500,"High Performance",L910&lt;800,"Sports Performance",L910&gt;=800,"Super Performance")</f>
        <v>Powerful</v>
      </c>
    </row>
    <row r="911" spans="1:13" x14ac:dyDescent="0.25">
      <c r="A911" s="5" t="s">
        <v>202</v>
      </c>
      <c r="B911" s="3" t="s">
        <v>1069</v>
      </c>
      <c r="C911" s="3" t="s">
        <v>1070</v>
      </c>
      <c r="D911" s="4">
        <v>999994</v>
      </c>
      <c r="E911" s="3">
        <v>2523</v>
      </c>
      <c r="F911" s="3">
        <v>4</v>
      </c>
      <c r="G911" s="3" t="s">
        <v>36</v>
      </c>
      <c r="H911" s="3" t="s">
        <v>66</v>
      </c>
      <c r="I911" s="3">
        <v>9</v>
      </c>
      <c r="J911" s="3" t="s">
        <v>12</v>
      </c>
      <c r="K911" s="18">
        <v>75</v>
      </c>
      <c r="L911" s="16">
        <v>200</v>
      </c>
      <c r="M911" s="6" t="str" cm="1">
        <f t="array" ref="M911">_xlfn.IFS(L911&lt;100,"Economy",L911&lt;200,"Standard",L911&lt;350,"Powerful",L911&lt;500,"High Performance",L911&lt;800,"Sports Performance",L911&gt;=800,"Super Performance")</f>
        <v>Powerful</v>
      </c>
    </row>
    <row r="912" spans="1:13" x14ac:dyDescent="0.25">
      <c r="A912" s="5" t="s">
        <v>202</v>
      </c>
      <c r="B912" s="3" t="s">
        <v>1069</v>
      </c>
      <c r="C912" s="3" t="s">
        <v>1071</v>
      </c>
      <c r="D912" s="4">
        <v>1220030</v>
      </c>
      <c r="E912" s="3">
        <v>2179</v>
      </c>
      <c r="F912" s="3">
        <v>4</v>
      </c>
      <c r="G912" s="3" t="s">
        <v>36</v>
      </c>
      <c r="H912" s="3" t="s">
        <v>66</v>
      </c>
      <c r="I912" s="3">
        <v>9</v>
      </c>
      <c r="J912" s="3" t="s">
        <v>12</v>
      </c>
      <c r="K912" s="18">
        <v>120</v>
      </c>
      <c r="L912" s="16">
        <v>280</v>
      </c>
      <c r="M912" s="6" t="str" cm="1">
        <f t="array" ref="M912">_xlfn.IFS(L912&lt;100,"Economy",L912&lt;200,"Standard",L912&lt;350,"Powerful",L912&lt;500,"High Performance",L912&lt;800,"Sports Performance",L912&gt;=800,"Super Performance")</f>
        <v>Powerful</v>
      </c>
    </row>
    <row r="913" spans="1:13" x14ac:dyDescent="0.25">
      <c r="A913" s="5" t="s">
        <v>202</v>
      </c>
      <c r="B913" s="3" t="s">
        <v>1069</v>
      </c>
      <c r="C913" s="3" t="s">
        <v>1072</v>
      </c>
      <c r="D913" s="4">
        <v>1330006</v>
      </c>
      <c r="E913" s="3">
        <v>2179</v>
      </c>
      <c r="F913" s="3">
        <v>4</v>
      </c>
      <c r="G913" s="3" t="s">
        <v>36</v>
      </c>
      <c r="H913" s="3" t="s">
        <v>66</v>
      </c>
      <c r="I913" s="3">
        <v>9</v>
      </c>
      <c r="J913" s="3" t="s">
        <v>12</v>
      </c>
      <c r="K913" s="18">
        <v>120</v>
      </c>
      <c r="L913" s="16">
        <v>280</v>
      </c>
      <c r="M913" s="6" t="str" cm="1">
        <f t="array" ref="M913">_xlfn.IFS(L913&lt;100,"Economy",L913&lt;200,"Standard",L913&lt;350,"Powerful",L913&lt;500,"High Performance",L913&lt;800,"Sports Performance",L913&gt;=800,"Super Performance")</f>
        <v>Powerful</v>
      </c>
    </row>
    <row r="914" spans="1:13" x14ac:dyDescent="0.25">
      <c r="A914" s="5" t="s">
        <v>202</v>
      </c>
      <c r="B914" s="3" t="s">
        <v>1069</v>
      </c>
      <c r="C914" s="3" t="s">
        <v>1073</v>
      </c>
      <c r="D914" s="4">
        <v>1360668</v>
      </c>
      <c r="E914" s="3">
        <v>2179</v>
      </c>
      <c r="F914" s="3">
        <v>4</v>
      </c>
      <c r="G914" s="3" t="s">
        <v>36</v>
      </c>
      <c r="H914" s="3" t="s">
        <v>66</v>
      </c>
      <c r="I914" s="3">
        <v>9</v>
      </c>
      <c r="J914" s="3" t="s">
        <v>12</v>
      </c>
      <c r="K914" s="18">
        <v>140</v>
      </c>
      <c r="L914" s="16">
        <v>320</v>
      </c>
      <c r="M914" s="6" t="str" cm="1">
        <f t="array" ref="M914">_xlfn.IFS(L914&lt;100,"Economy",L914&lt;200,"Standard",L914&lt;350,"Powerful",L914&lt;500,"High Performance",L914&lt;800,"Sports Performance",L914&gt;=800,"Super Performance")</f>
        <v>Powerful</v>
      </c>
    </row>
    <row r="915" spans="1:13" x14ac:dyDescent="0.25">
      <c r="A915" s="5" t="s">
        <v>202</v>
      </c>
      <c r="B915" s="3" t="s">
        <v>1069</v>
      </c>
      <c r="C915" s="3" t="s">
        <v>1074</v>
      </c>
      <c r="D915" s="4">
        <v>1540081</v>
      </c>
      <c r="E915" s="3">
        <v>2179</v>
      </c>
      <c r="F915" s="3">
        <v>4</v>
      </c>
      <c r="G915" s="3" t="s">
        <v>36</v>
      </c>
      <c r="H915" s="3" t="s">
        <v>66</v>
      </c>
      <c r="I915" s="3">
        <v>9</v>
      </c>
      <c r="J915" s="3" t="s">
        <v>12</v>
      </c>
      <c r="K915" s="18">
        <v>140</v>
      </c>
      <c r="L915" s="16">
        <v>320</v>
      </c>
      <c r="M915" s="6" t="str" cm="1">
        <f t="array" ref="M915">_xlfn.IFS(L915&lt;100,"Economy",L915&lt;200,"Standard",L915&lt;350,"Powerful",L915&lt;500,"High Performance",L915&lt;800,"Sports Performance",L915&gt;=800,"Super Performance")</f>
        <v>Powerful</v>
      </c>
    </row>
    <row r="916" spans="1:13" x14ac:dyDescent="0.25">
      <c r="A916" s="5" t="s">
        <v>202</v>
      </c>
      <c r="B916" s="3" t="s">
        <v>1069</v>
      </c>
      <c r="C916" s="3" t="s">
        <v>1075</v>
      </c>
      <c r="D916" s="4">
        <v>1663054</v>
      </c>
      <c r="E916" s="3">
        <v>2179</v>
      </c>
      <c r="F916" s="3">
        <v>4</v>
      </c>
      <c r="G916" s="3" t="s">
        <v>36</v>
      </c>
      <c r="H916" s="3" t="s">
        <v>66</v>
      </c>
      <c r="I916" s="3">
        <v>9</v>
      </c>
      <c r="J916" s="3" t="s">
        <v>12</v>
      </c>
      <c r="K916" s="18">
        <v>140</v>
      </c>
      <c r="L916" s="16">
        <v>320</v>
      </c>
      <c r="M916" s="6" t="str" cm="1">
        <f t="array" ref="M916">_xlfn.IFS(L916&lt;100,"Economy",L916&lt;200,"Standard",L916&lt;350,"Powerful",L916&lt;500,"High Performance",L916&lt;800,"Sports Performance",L916&gt;=800,"Super Performance")</f>
        <v>Powerful</v>
      </c>
    </row>
    <row r="917" spans="1:13" x14ac:dyDescent="0.25">
      <c r="A917" s="5" t="s">
        <v>202</v>
      </c>
      <c r="B917" s="3" t="s">
        <v>1069</v>
      </c>
      <c r="C917" s="3" t="s">
        <v>1076</v>
      </c>
      <c r="D917" s="4">
        <v>1423710</v>
      </c>
      <c r="E917" s="3">
        <v>2179</v>
      </c>
      <c r="F917" s="3">
        <v>4</v>
      </c>
      <c r="G917" s="3" t="s">
        <v>36</v>
      </c>
      <c r="H917" s="3" t="s">
        <v>66</v>
      </c>
      <c r="I917" s="3">
        <v>9</v>
      </c>
      <c r="J917" s="3" t="s">
        <v>12</v>
      </c>
      <c r="K917" s="18">
        <v>140</v>
      </c>
      <c r="L917" s="16">
        <v>320</v>
      </c>
      <c r="M917" s="6" t="str" cm="1">
        <f t="array" ref="M917">_xlfn.IFS(L917&lt;100,"Economy",L917&lt;200,"Standard",L917&lt;350,"Powerful",L917&lt;500,"High Performance",L917&lt;800,"Sports Performance",L917&gt;=800,"Super Performance")</f>
        <v>Powerful</v>
      </c>
    </row>
    <row r="918" spans="1:13" x14ac:dyDescent="0.25">
      <c r="A918" s="5" t="s">
        <v>202</v>
      </c>
      <c r="B918" s="3" t="s">
        <v>413</v>
      </c>
      <c r="C918" s="3" t="s">
        <v>1077</v>
      </c>
      <c r="D918" s="4">
        <v>1418313</v>
      </c>
      <c r="E918" s="3">
        <v>2179</v>
      </c>
      <c r="F918" s="3">
        <v>4</v>
      </c>
      <c r="G918" s="3" t="s">
        <v>36</v>
      </c>
      <c r="H918" s="3" t="s">
        <v>66</v>
      </c>
      <c r="I918" s="3">
        <v>7</v>
      </c>
      <c r="J918" s="3" t="s">
        <v>12</v>
      </c>
      <c r="K918" s="18">
        <v>155</v>
      </c>
      <c r="L918" s="16">
        <v>330</v>
      </c>
      <c r="M918" s="6" t="str" cm="1">
        <f t="array" ref="M918">_xlfn.IFS(L918&lt;100,"Economy",L918&lt;200,"Standard",L918&lt;350,"Powerful",L918&lt;500,"High Performance",L918&lt;800,"Sports Performance",L918&gt;=800,"Super Performance")</f>
        <v>Powerful</v>
      </c>
    </row>
    <row r="919" spans="1:13" x14ac:dyDescent="0.25">
      <c r="A919" s="5" t="s">
        <v>22</v>
      </c>
      <c r="B919" s="3" t="s">
        <v>1021</v>
      </c>
      <c r="C919" s="3" t="s">
        <v>1078</v>
      </c>
      <c r="D919" s="4">
        <v>1639374</v>
      </c>
      <c r="E919" s="3">
        <v>2179</v>
      </c>
      <c r="F919" s="3">
        <v>4</v>
      </c>
      <c r="G919" s="3" t="s">
        <v>36</v>
      </c>
      <c r="H919" s="3" t="s">
        <v>66</v>
      </c>
      <c r="I919" s="3">
        <v>7</v>
      </c>
      <c r="J919" s="3" t="s">
        <v>12</v>
      </c>
      <c r="K919" s="18">
        <v>156</v>
      </c>
      <c r="L919" s="16">
        <v>400</v>
      </c>
      <c r="M919" s="6" t="str" cm="1">
        <f t="array" ref="M919">_xlfn.IFS(L919&lt;100,"Economy",L919&lt;200,"Standard",L919&lt;350,"Powerful",L919&lt;500,"High Performance",L919&lt;800,"Sports Performance",L919&gt;=800,"Super Performance")</f>
        <v>High Performance</v>
      </c>
    </row>
    <row r="920" spans="1:13" x14ac:dyDescent="0.25">
      <c r="A920" s="5" t="s">
        <v>22</v>
      </c>
      <c r="B920" s="3" t="s">
        <v>1021</v>
      </c>
      <c r="C920" s="3" t="s">
        <v>1079</v>
      </c>
      <c r="D920" s="4">
        <v>1912593</v>
      </c>
      <c r="E920" s="3">
        <v>2179</v>
      </c>
      <c r="F920" s="3">
        <v>4</v>
      </c>
      <c r="G920" s="3" t="s">
        <v>36</v>
      </c>
      <c r="H920" s="3" t="s">
        <v>66</v>
      </c>
      <c r="I920" s="3">
        <v>6</v>
      </c>
      <c r="J920" s="3" t="s">
        <v>30</v>
      </c>
      <c r="K920" s="18">
        <v>156</v>
      </c>
      <c r="L920" s="16">
        <v>400</v>
      </c>
      <c r="M920" s="6" t="str" cm="1">
        <f t="array" ref="M920">_xlfn.IFS(L920&lt;100,"Economy",L920&lt;200,"Standard",L920&lt;350,"Powerful",L920&lt;500,"High Performance",L920&lt;800,"Sports Performance",L920&gt;=800,"Super Performance")</f>
        <v>High Performance</v>
      </c>
    </row>
    <row r="921" spans="1:13" x14ac:dyDescent="0.25">
      <c r="A921" s="5" t="s">
        <v>22</v>
      </c>
      <c r="B921" s="3" t="s">
        <v>1021</v>
      </c>
      <c r="C921" s="3" t="s">
        <v>1080</v>
      </c>
      <c r="D921" s="4">
        <v>1796458</v>
      </c>
      <c r="E921" s="3">
        <v>2179</v>
      </c>
      <c r="F921" s="3">
        <v>4</v>
      </c>
      <c r="G921" s="3" t="s">
        <v>36</v>
      </c>
      <c r="H921" s="3" t="s">
        <v>66</v>
      </c>
      <c r="I921" s="3">
        <v>6</v>
      </c>
      <c r="J921" s="3" t="s">
        <v>12</v>
      </c>
      <c r="K921" s="18">
        <v>156</v>
      </c>
      <c r="L921" s="16">
        <v>400</v>
      </c>
      <c r="M921" s="6" t="str" cm="1">
        <f t="array" ref="M921">_xlfn.IFS(L921&lt;100,"Economy",L921&lt;200,"Standard",L921&lt;350,"Powerful",L921&lt;500,"High Performance",L921&lt;800,"Sports Performance",L921&gt;=800,"Super Performance")</f>
        <v>High Performance</v>
      </c>
    </row>
    <row r="922" spans="1:13" x14ac:dyDescent="0.25">
      <c r="A922" s="5" t="s">
        <v>22</v>
      </c>
      <c r="B922" s="3" t="s">
        <v>1021</v>
      </c>
      <c r="C922" s="3" t="s">
        <v>1081</v>
      </c>
      <c r="D922" s="4">
        <v>1371864</v>
      </c>
      <c r="E922" s="3">
        <v>2179</v>
      </c>
      <c r="F922" s="3">
        <v>4</v>
      </c>
      <c r="G922" s="3" t="s">
        <v>36</v>
      </c>
      <c r="H922" s="3" t="s">
        <v>66</v>
      </c>
      <c r="I922" s="3">
        <v>7</v>
      </c>
      <c r="J922" s="3" t="s">
        <v>12</v>
      </c>
      <c r="K922" s="18">
        <v>150</v>
      </c>
      <c r="L922" s="16">
        <v>320</v>
      </c>
      <c r="M922" s="6" t="str" cm="1">
        <f t="array" ref="M922">_xlfn.IFS(L922&lt;100,"Economy",L922&lt;200,"Standard",L922&lt;350,"Powerful",L922&lt;500,"High Performance",L922&lt;800,"Sports Performance",L922&gt;=800,"Super Performance")</f>
        <v>Powerful</v>
      </c>
    </row>
    <row r="923" spans="1:13" x14ac:dyDescent="0.25">
      <c r="A923" s="5" t="s">
        <v>22</v>
      </c>
      <c r="B923" s="3" t="s">
        <v>1021</v>
      </c>
      <c r="C923" s="3" t="s">
        <v>1082</v>
      </c>
      <c r="D923" s="4">
        <v>1531377</v>
      </c>
      <c r="E923" s="3">
        <v>2179</v>
      </c>
      <c r="F923" s="3">
        <v>4</v>
      </c>
      <c r="G923" s="3" t="s">
        <v>36</v>
      </c>
      <c r="H923" s="3" t="s">
        <v>66</v>
      </c>
      <c r="I923" s="3">
        <v>7</v>
      </c>
      <c r="J923" s="3" t="s">
        <v>12</v>
      </c>
      <c r="K923" s="18">
        <v>156</v>
      </c>
      <c r="L923" s="16">
        <v>400</v>
      </c>
      <c r="M923" s="6" t="str" cm="1">
        <f t="array" ref="M923">_xlfn.IFS(L923&lt;100,"Economy",L923&lt;200,"Standard",L923&lt;350,"Powerful",L923&lt;500,"High Performance",L923&lt;800,"Sports Performance",L923&gt;=800,"Super Performance")</f>
        <v>High Performance</v>
      </c>
    </row>
    <row r="924" spans="1:13" x14ac:dyDescent="0.25">
      <c r="A924" s="5" t="s">
        <v>22</v>
      </c>
      <c r="B924" s="3" t="s">
        <v>1021</v>
      </c>
      <c r="C924" s="3" t="s">
        <v>1083</v>
      </c>
      <c r="D924" s="4">
        <v>1655587</v>
      </c>
      <c r="E924" s="3">
        <v>2179</v>
      </c>
      <c r="F924" s="3">
        <v>4</v>
      </c>
      <c r="G924" s="3" t="s">
        <v>36</v>
      </c>
      <c r="H924" s="3" t="s">
        <v>66</v>
      </c>
      <c r="I924" s="3">
        <v>7</v>
      </c>
      <c r="J924" s="3" t="s">
        <v>30</v>
      </c>
      <c r="K924" s="18">
        <v>156</v>
      </c>
      <c r="L924" s="16">
        <v>400</v>
      </c>
      <c r="M924" s="6" t="str" cm="1">
        <f t="array" ref="M924">_xlfn.IFS(L924&lt;100,"Economy",L924&lt;200,"Standard",L924&lt;350,"Powerful",L924&lt;500,"High Performance",L924&lt;800,"Sports Performance",L924&gt;=800,"Super Performance")</f>
        <v>High Performance</v>
      </c>
    </row>
    <row r="925" spans="1:13" x14ac:dyDescent="0.25">
      <c r="A925" s="5" t="s">
        <v>55</v>
      </c>
      <c r="B925" s="3" t="s">
        <v>1084</v>
      </c>
      <c r="C925" s="3" t="s">
        <v>1085</v>
      </c>
      <c r="D925" s="4">
        <v>3205000</v>
      </c>
      <c r="E925" s="3">
        <v>2755</v>
      </c>
      <c r="F925" s="3">
        <v>4</v>
      </c>
      <c r="G925" s="3" t="s">
        <v>36</v>
      </c>
      <c r="H925" s="3" t="s">
        <v>66</v>
      </c>
      <c r="I925" s="3">
        <v>7</v>
      </c>
      <c r="J925" s="3" t="s">
        <v>30</v>
      </c>
      <c r="K925" s="18">
        <v>177</v>
      </c>
      <c r="L925" s="16">
        <v>450</v>
      </c>
      <c r="M925" s="6" t="str" cm="1">
        <f t="array" ref="M925">_xlfn.IFS(L925&lt;100,"Economy",L925&lt;200,"Standard",L925&lt;350,"Powerful",L925&lt;500,"High Performance",L925&lt;800,"Sports Performance",L925&gt;=800,"Super Performance")</f>
        <v>High Performance</v>
      </c>
    </row>
    <row r="926" spans="1:13" x14ac:dyDescent="0.25">
      <c r="A926" s="5" t="s">
        <v>55</v>
      </c>
      <c r="B926" s="3" t="s">
        <v>1084</v>
      </c>
      <c r="C926" s="3" t="s">
        <v>1086</v>
      </c>
      <c r="D926" s="4">
        <v>3019000</v>
      </c>
      <c r="E926" s="3">
        <v>2755</v>
      </c>
      <c r="F926" s="3">
        <v>4</v>
      </c>
      <c r="G926" s="3" t="s">
        <v>36</v>
      </c>
      <c r="H926" s="3" t="s">
        <v>66</v>
      </c>
      <c r="I926" s="3">
        <v>7</v>
      </c>
      <c r="J926" s="3" t="s">
        <v>12</v>
      </c>
      <c r="K926" s="18">
        <v>177</v>
      </c>
      <c r="L926" s="16">
        <v>420</v>
      </c>
      <c r="M926" s="6" t="str" cm="1">
        <f t="array" ref="M926">_xlfn.IFS(L926&lt;100,"Economy",L926&lt;200,"Standard",L926&lt;350,"Powerful",L926&lt;500,"High Performance",L926&lt;800,"Sports Performance",L926&gt;=800,"Super Performance")</f>
        <v>High Performance</v>
      </c>
    </row>
    <row r="927" spans="1:13" x14ac:dyDescent="0.25">
      <c r="A927" s="5" t="s">
        <v>55</v>
      </c>
      <c r="B927" s="3" t="s">
        <v>1084</v>
      </c>
      <c r="C927" s="3" t="s">
        <v>1087</v>
      </c>
      <c r="D927" s="4">
        <v>3216000</v>
      </c>
      <c r="E927" s="3">
        <v>2755</v>
      </c>
      <c r="F927" s="3">
        <v>4</v>
      </c>
      <c r="G927" s="3" t="s">
        <v>36</v>
      </c>
      <c r="H927" s="3" t="s">
        <v>66</v>
      </c>
      <c r="I927" s="3">
        <v>7</v>
      </c>
      <c r="J927" s="3" t="s">
        <v>12</v>
      </c>
      <c r="K927" s="18">
        <v>177</v>
      </c>
      <c r="L927" s="16">
        <v>420</v>
      </c>
      <c r="M927" s="6" t="str" cm="1">
        <f t="array" ref="M927">_xlfn.IFS(L927&lt;100,"Economy",L927&lt;200,"Standard",L927&lt;350,"Powerful",L927&lt;500,"High Performance",L927&lt;800,"Sports Performance",L927&gt;=800,"Super Performance")</f>
        <v>High Performance</v>
      </c>
    </row>
    <row r="928" spans="1:13" x14ac:dyDescent="0.25">
      <c r="A928" s="5" t="s">
        <v>55</v>
      </c>
      <c r="B928" s="3" t="s">
        <v>1084</v>
      </c>
      <c r="C928" s="3" t="s">
        <v>1088</v>
      </c>
      <c r="D928" s="4">
        <v>3395000</v>
      </c>
      <c r="E928" s="3">
        <v>2755</v>
      </c>
      <c r="F928" s="3">
        <v>4</v>
      </c>
      <c r="G928" s="3" t="s">
        <v>36</v>
      </c>
      <c r="H928" s="3" t="s">
        <v>66</v>
      </c>
      <c r="I928" s="3">
        <v>7</v>
      </c>
      <c r="J928" s="3" t="s">
        <v>30</v>
      </c>
      <c r="K928" s="18">
        <v>177</v>
      </c>
      <c r="L928" s="16">
        <v>450</v>
      </c>
      <c r="M928" s="6" t="str" cm="1">
        <f t="array" ref="M928">_xlfn.IFS(L928&lt;100,"Economy",L928&lt;200,"Standard",L928&lt;350,"Powerful",L928&lt;500,"High Performance",L928&lt;800,"Sports Performance",L928&gt;=800,"Super Performance")</f>
        <v>High Performance</v>
      </c>
    </row>
    <row r="929" spans="1:13" x14ac:dyDescent="0.25">
      <c r="A929" s="5" t="s">
        <v>55</v>
      </c>
      <c r="B929" s="3" t="s">
        <v>1084</v>
      </c>
      <c r="C929" s="3" t="s">
        <v>1089</v>
      </c>
      <c r="D929" s="4">
        <v>2977000</v>
      </c>
      <c r="E929" s="3">
        <v>2694</v>
      </c>
      <c r="F929" s="3">
        <v>4</v>
      </c>
      <c r="G929" s="3" t="s">
        <v>10</v>
      </c>
      <c r="H929" s="3" t="s">
        <v>66</v>
      </c>
      <c r="I929" s="3">
        <v>7</v>
      </c>
      <c r="J929" s="3" t="s">
        <v>30</v>
      </c>
      <c r="K929" s="18">
        <v>166</v>
      </c>
      <c r="L929" s="16">
        <v>245</v>
      </c>
      <c r="M929" s="6" t="str" cm="1">
        <f t="array" ref="M929">_xlfn.IFS(L929&lt;100,"Economy",L929&lt;200,"Standard",L929&lt;350,"Powerful",L929&lt;500,"High Performance",L929&lt;800,"Sports Performance",L929&gt;=800,"Super Performance")</f>
        <v>Powerful</v>
      </c>
    </row>
    <row r="930" spans="1:13" x14ac:dyDescent="0.25">
      <c r="A930" s="5" t="s">
        <v>55</v>
      </c>
      <c r="B930" s="3" t="s">
        <v>1084</v>
      </c>
      <c r="C930" s="3" t="s">
        <v>1090</v>
      </c>
      <c r="D930" s="4">
        <v>2818000</v>
      </c>
      <c r="E930" s="3">
        <v>2694</v>
      </c>
      <c r="F930" s="3">
        <v>4</v>
      </c>
      <c r="G930" s="3" t="s">
        <v>10</v>
      </c>
      <c r="H930" s="3" t="s">
        <v>66</v>
      </c>
      <c r="I930" s="3">
        <v>7</v>
      </c>
      <c r="J930" s="3" t="s">
        <v>12</v>
      </c>
      <c r="K930" s="18">
        <v>166</v>
      </c>
      <c r="L930" s="16">
        <v>245</v>
      </c>
      <c r="M930" s="6" t="str" cm="1">
        <f t="array" ref="M930">_xlfn.IFS(L930&lt;100,"Economy",L930&lt;200,"Standard",L930&lt;350,"Powerful",L930&lt;500,"High Performance",L930&lt;800,"Sports Performance",L930&gt;=800,"Super Performance")</f>
        <v>Powerful</v>
      </c>
    </row>
    <row r="931" spans="1:13" x14ac:dyDescent="0.25">
      <c r="A931" s="5" t="s">
        <v>55</v>
      </c>
      <c r="B931" s="3" t="s">
        <v>1084</v>
      </c>
      <c r="C931" s="3" t="s">
        <v>1091</v>
      </c>
      <c r="D931" s="4">
        <v>3420000</v>
      </c>
      <c r="E931" s="3">
        <v>2755</v>
      </c>
      <c r="F931" s="3">
        <v>4</v>
      </c>
      <c r="G931" s="3" t="s">
        <v>36</v>
      </c>
      <c r="H931" s="3" t="s">
        <v>66</v>
      </c>
      <c r="I931" s="3">
        <v>7</v>
      </c>
      <c r="J931" s="3" t="s">
        <v>30</v>
      </c>
      <c r="K931" s="18">
        <v>177</v>
      </c>
      <c r="L931" s="16">
        <v>450</v>
      </c>
      <c r="M931" s="6" t="str" cm="1">
        <f t="array" ref="M931">_xlfn.IFS(L931&lt;100,"Economy",L931&lt;200,"Standard",L931&lt;350,"Powerful",L931&lt;500,"High Performance",L931&lt;800,"Sports Performance",L931&gt;=800,"Super Performance")</f>
        <v>High Performance</v>
      </c>
    </row>
    <row r="932" spans="1:13" x14ac:dyDescent="0.25">
      <c r="A932" s="5" t="s">
        <v>40</v>
      </c>
      <c r="B932" s="3" t="s">
        <v>1023</v>
      </c>
      <c r="C932" s="3" t="s">
        <v>1092</v>
      </c>
      <c r="D932" s="4">
        <v>3233000</v>
      </c>
      <c r="E932" s="3">
        <v>2198</v>
      </c>
      <c r="F932" s="3">
        <v>4</v>
      </c>
      <c r="G932" s="3" t="s">
        <v>36</v>
      </c>
      <c r="H932" s="3" t="s">
        <v>66</v>
      </c>
      <c r="I932" s="3">
        <v>7</v>
      </c>
      <c r="J932" s="3" t="s">
        <v>30</v>
      </c>
      <c r="K932" s="18">
        <v>160</v>
      </c>
      <c r="L932" s="16">
        <v>385</v>
      </c>
      <c r="M932" s="6" t="str" cm="1">
        <f t="array" ref="M932">_xlfn.IFS(L932&lt;100,"Economy",L932&lt;200,"Standard",L932&lt;350,"Powerful",L932&lt;500,"High Performance",L932&lt;800,"Sports Performance",L932&gt;=800,"Super Performance")</f>
        <v>High Performance</v>
      </c>
    </row>
    <row r="933" spans="1:13" x14ac:dyDescent="0.25">
      <c r="A933" s="5" t="s">
        <v>40</v>
      </c>
      <c r="B933" s="3" t="s">
        <v>1023</v>
      </c>
      <c r="C933" s="3" t="s">
        <v>1093</v>
      </c>
      <c r="D933" s="4">
        <v>2920000</v>
      </c>
      <c r="E933" s="3">
        <v>2198</v>
      </c>
      <c r="F933" s="3">
        <v>4</v>
      </c>
      <c r="G933" s="3" t="s">
        <v>36</v>
      </c>
      <c r="H933" s="3" t="s">
        <v>66</v>
      </c>
      <c r="I933" s="3">
        <v>7</v>
      </c>
      <c r="J933" s="3" t="s">
        <v>12</v>
      </c>
      <c r="K933" s="18">
        <v>160</v>
      </c>
      <c r="L933" s="16">
        <v>385</v>
      </c>
      <c r="M933" s="6" t="str" cm="1">
        <f t="array" ref="M933">_xlfn.IFS(L933&lt;100,"Economy",L933&lt;200,"Standard",L933&lt;350,"Powerful",L933&lt;500,"High Performance",L933&lt;800,"Sports Performance",L933&gt;=800,"Super Performance")</f>
        <v>High Performance</v>
      </c>
    </row>
    <row r="934" spans="1:13" x14ac:dyDescent="0.25">
      <c r="A934" s="5" t="s">
        <v>202</v>
      </c>
      <c r="B934" s="3" t="s">
        <v>1094</v>
      </c>
      <c r="C934" s="3" t="s">
        <v>1095</v>
      </c>
      <c r="D934" s="4">
        <v>963037</v>
      </c>
      <c r="E934" s="3">
        <v>2489</v>
      </c>
      <c r="F934" s="3">
        <v>4</v>
      </c>
      <c r="G934" s="3" t="s">
        <v>36</v>
      </c>
      <c r="H934" s="3" t="s">
        <v>66</v>
      </c>
      <c r="I934" s="3">
        <v>7</v>
      </c>
      <c r="J934" s="3" t="s">
        <v>12</v>
      </c>
      <c r="K934" s="18">
        <v>95</v>
      </c>
      <c r="L934" s="16">
        <v>218</v>
      </c>
      <c r="M934" s="6" t="str" cm="1">
        <f t="array" ref="M934">_xlfn.IFS(L934&lt;100,"Economy",L934&lt;200,"Standard",L934&lt;350,"Powerful",L934&lt;500,"High Performance",L934&lt;800,"Sports Performance",L934&gt;=800,"Super Performance")</f>
        <v>Powerful</v>
      </c>
    </row>
    <row r="935" spans="1:13" x14ac:dyDescent="0.25">
      <c r="A935" s="5" t="s">
        <v>202</v>
      </c>
      <c r="B935" s="3" t="s">
        <v>1094</v>
      </c>
      <c r="C935" s="3" t="s">
        <v>1096</v>
      </c>
      <c r="D935" s="4">
        <v>1004487</v>
      </c>
      <c r="E935" s="3">
        <v>2489</v>
      </c>
      <c r="F935" s="3">
        <v>4</v>
      </c>
      <c r="G935" s="3" t="s">
        <v>36</v>
      </c>
      <c r="H935" s="3" t="s">
        <v>66</v>
      </c>
      <c r="I935" s="3">
        <v>7</v>
      </c>
      <c r="J935" s="3" t="s">
        <v>12</v>
      </c>
      <c r="K935" s="18">
        <v>95</v>
      </c>
      <c r="L935" s="16">
        <v>218</v>
      </c>
      <c r="M935" s="6" t="str" cm="1">
        <f t="array" ref="M935">_xlfn.IFS(L935&lt;100,"Economy",L935&lt;200,"Standard",L935&lt;350,"Powerful",L935&lt;500,"High Performance",L935&lt;800,"Sports Performance",L935&gt;=800,"Super Performance")</f>
        <v>Powerful</v>
      </c>
    </row>
    <row r="936" spans="1:13" x14ac:dyDescent="0.25">
      <c r="A936" s="5" t="s">
        <v>202</v>
      </c>
      <c r="B936" s="3" t="s">
        <v>1094</v>
      </c>
      <c r="C936" s="3" t="s">
        <v>1097</v>
      </c>
      <c r="D936" s="4">
        <v>1031951</v>
      </c>
      <c r="E936" s="3">
        <v>2179</v>
      </c>
      <c r="F936" s="3">
        <v>4</v>
      </c>
      <c r="G936" s="3" t="s">
        <v>36</v>
      </c>
      <c r="H936" s="3" t="s">
        <v>66</v>
      </c>
      <c r="I936" s="3">
        <v>7</v>
      </c>
      <c r="J936" s="3" t="s">
        <v>12</v>
      </c>
      <c r="K936" s="18">
        <v>120</v>
      </c>
      <c r="L936" s="16">
        <v>280</v>
      </c>
      <c r="M936" s="6" t="str" cm="1">
        <f t="array" ref="M936">_xlfn.IFS(L936&lt;100,"Economy",L936&lt;200,"Standard",L936&lt;350,"Powerful",L936&lt;500,"High Performance",L936&lt;800,"Sports Performance",L936&gt;=800,"Super Performance")</f>
        <v>Powerful</v>
      </c>
    </row>
    <row r="937" spans="1:13" x14ac:dyDescent="0.25">
      <c r="A937" s="5" t="s">
        <v>202</v>
      </c>
      <c r="B937" s="3" t="s">
        <v>1094</v>
      </c>
      <c r="C937" s="3" t="s">
        <v>1098</v>
      </c>
      <c r="D937" s="4">
        <v>1066139</v>
      </c>
      <c r="E937" s="3">
        <v>2179</v>
      </c>
      <c r="F937" s="3">
        <v>4</v>
      </c>
      <c r="G937" s="3" t="s">
        <v>36</v>
      </c>
      <c r="H937" s="3" t="s">
        <v>66</v>
      </c>
      <c r="I937" s="3">
        <v>7</v>
      </c>
      <c r="J937" s="3" t="s">
        <v>12</v>
      </c>
      <c r="K937" s="18">
        <v>120</v>
      </c>
      <c r="L937" s="16">
        <v>280</v>
      </c>
      <c r="M937" s="6" t="str" cm="1">
        <f t="array" ref="M937">_xlfn.IFS(L937&lt;100,"Economy",L937&lt;200,"Standard",L937&lt;350,"Powerful",L937&lt;500,"High Performance",L937&lt;800,"Sports Performance",L937&gt;=800,"Super Performance")</f>
        <v>Powerful</v>
      </c>
    </row>
    <row r="938" spans="1:13" x14ac:dyDescent="0.25">
      <c r="A938" s="5" t="s">
        <v>202</v>
      </c>
      <c r="B938" s="3" t="s">
        <v>1094</v>
      </c>
      <c r="C938" s="3" t="s">
        <v>1099</v>
      </c>
      <c r="D938" s="4">
        <v>1228335</v>
      </c>
      <c r="E938" s="3">
        <v>2179</v>
      </c>
      <c r="F938" s="3">
        <v>4</v>
      </c>
      <c r="G938" s="3" t="s">
        <v>36</v>
      </c>
      <c r="H938" s="3" t="s">
        <v>66</v>
      </c>
      <c r="I938" s="3">
        <v>8</v>
      </c>
      <c r="J938" s="3" t="s">
        <v>12</v>
      </c>
      <c r="K938" s="18">
        <v>121</v>
      </c>
      <c r="L938" s="16">
        <v>280</v>
      </c>
      <c r="M938" s="6" t="str" cm="1">
        <f t="array" ref="M938">_xlfn.IFS(L938&lt;100,"Economy",L938&lt;200,"Standard",L938&lt;350,"Powerful",L938&lt;500,"High Performance",L938&lt;800,"Sports Performance",L938&gt;=800,"Super Performance")</f>
        <v>Powerful</v>
      </c>
    </row>
    <row r="939" spans="1:13" x14ac:dyDescent="0.25">
      <c r="A939" s="5" t="s">
        <v>22</v>
      </c>
      <c r="B939" s="3" t="s">
        <v>446</v>
      </c>
      <c r="C939" s="3" t="s">
        <v>1100</v>
      </c>
      <c r="D939" s="4">
        <v>1109005</v>
      </c>
      <c r="E939" s="3">
        <v>2179</v>
      </c>
      <c r="F939" s="3">
        <v>4</v>
      </c>
      <c r="G939" s="3" t="s">
        <v>36</v>
      </c>
      <c r="H939" s="3" t="s">
        <v>66</v>
      </c>
      <c r="I939" s="3">
        <v>7</v>
      </c>
      <c r="J939" s="3" t="s">
        <v>12</v>
      </c>
      <c r="K939" s="18">
        <v>150</v>
      </c>
      <c r="L939" s="16">
        <v>320</v>
      </c>
      <c r="M939" s="6" t="str" cm="1">
        <f t="array" ref="M939">_xlfn.IFS(L939&lt;100,"Economy",L939&lt;200,"Standard",L939&lt;350,"Powerful",L939&lt;500,"High Performance",L939&lt;800,"Sports Performance",L939&gt;=800,"Super Performance")</f>
        <v>Powerful</v>
      </c>
    </row>
    <row r="940" spans="1:13" x14ac:dyDescent="0.25">
      <c r="A940" s="5" t="s">
        <v>22</v>
      </c>
      <c r="B940" s="3" t="s">
        <v>446</v>
      </c>
      <c r="C940" s="3" t="s">
        <v>1101</v>
      </c>
      <c r="D940" s="4">
        <v>1335158</v>
      </c>
      <c r="E940" s="3">
        <v>2179</v>
      </c>
      <c r="F940" s="3">
        <v>4</v>
      </c>
      <c r="G940" s="3" t="s">
        <v>36</v>
      </c>
      <c r="H940" s="3" t="s">
        <v>66</v>
      </c>
      <c r="I940" s="3">
        <v>7</v>
      </c>
      <c r="J940" s="3" t="s">
        <v>12</v>
      </c>
      <c r="K940" s="18">
        <v>150</v>
      </c>
      <c r="L940" s="16">
        <v>320</v>
      </c>
      <c r="M940" s="6" t="str" cm="1">
        <f t="array" ref="M940">_xlfn.IFS(L940&lt;100,"Economy",L940&lt;200,"Standard",L940&lt;350,"Powerful",L940&lt;500,"High Performance",L940&lt;800,"Sports Performance",L940&gt;=800,"Super Performance")</f>
        <v>Powerful</v>
      </c>
    </row>
    <row r="941" spans="1:13" x14ac:dyDescent="0.25">
      <c r="A941" s="5" t="s">
        <v>22</v>
      </c>
      <c r="B941" s="3" t="s">
        <v>446</v>
      </c>
      <c r="C941" s="3" t="s">
        <v>1102</v>
      </c>
      <c r="D941" s="4">
        <v>1479574</v>
      </c>
      <c r="E941" s="3">
        <v>2179</v>
      </c>
      <c r="F941" s="3">
        <v>4</v>
      </c>
      <c r="G941" s="3" t="s">
        <v>36</v>
      </c>
      <c r="H941" s="3" t="s">
        <v>66</v>
      </c>
      <c r="I941" s="3">
        <v>7</v>
      </c>
      <c r="J941" s="3" t="s">
        <v>12</v>
      </c>
      <c r="K941" s="18">
        <v>156</v>
      </c>
      <c r="L941" s="16">
        <v>400</v>
      </c>
      <c r="M941" s="6" t="str" cm="1">
        <f t="array" ref="M941">_xlfn.IFS(L941&lt;100,"Economy",L941&lt;200,"Standard",L941&lt;350,"Powerful",L941&lt;500,"High Performance",L941&lt;800,"Sports Performance",L941&gt;=800,"Super Performance")</f>
        <v>High Performance</v>
      </c>
    </row>
    <row r="942" spans="1:13" x14ac:dyDescent="0.25">
      <c r="A942" s="5" t="s">
        <v>202</v>
      </c>
      <c r="B942" s="3" t="s">
        <v>1103</v>
      </c>
      <c r="C942" s="3" t="s">
        <v>878</v>
      </c>
      <c r="D942" s="4">
        <v>942263</v>
      </c>
      <c r="E942" s="3">
        <v>2523</v>
      </c>
      <c r="F942" s="3">
        <v>4</v>
      </c>
      <c r="G942" s="3" t="s">
        <v>36</v>
      </c>
      <c r="H942" s="3" t="s">
        <v>66</v>
      </c>
      <c r="I942" s="3">
        <v>7</v>
      </c>
      <c r="J942" s="3" t="s">
        <v>12</v>
      </c>
      <c r="K942" s="18">
        <v>63</v>
      </c>
      <c r="L942" s="16">
        <v>195</v>
      </c>
      <c r="M942" s="6" t="str" cm="1">
        <f t="array" ref="M942">_xlfn.IFS(L942&lt;100,"Economy",L942&lt;200,"Standard",L942&lt;350,"Powerful",L942&lt;500,"High Performance",L942&lt;800,"Sports Performance",L942&gt;=800,"Super Performance")</f>
        <v>Standard</v>
      </c>
    </row>
    <row r="943" spans="1:13" x14ac:dyDescent="0.25">
      <c r="A943" s="5" t="s">
        <v>202</v>
      </c>
      <c r="B943" s="3" t="s">
        <v>1103</v>
      </c>
      <c r="C943" s="3" t="s">
        <v>879</v>
      </c>
      <c r="D943" s="4">
        <v>917055</v>
      </c>
      <c r="E943" s="3">
        <v>2523</v>
      </c>
      <c r="F943" s="3">
        <v>4</v>
      </c>
      <c r="G943" s="3" t="s">
        <v>36</v>
      </c>
      <c r="H943" s="3" t="s">
        <v>66</v>
      </c>
      <c r="I943" s="3">
        <v>7</v>
      </c>
      <c r="J943" s="3" t="s">
        <v>12</v>
      </c>
      <c r="K943" s="18">
        <v>63</v>
      </c>
      <c r="L943" s="16">
        <v>195</v>
      </c>
      <c r="M943" s="6" t="str" cm="1">
        <f t="array" ref="M943">_xlfn.IFS(L943&lt;100,"Economy",L943&lt;200,"Standard",L943&lt;350,"Powerful",L943&lt;500,"High Performance",L943&lt;800,"Sports Performance",L943&gt;=800,"Super Performance")</f>
        <v>Standard</v>
      </c>
    </row>
    <row r="944" spans="1:13" x14ac:dyDescent="0.25">
      <c r="A944" s="5" t="s">
        <v>202</v>
      </c>
      <c r="B944" s="3" t="s">
        <v>1103</v>
      </c>
      <c r="C944" s="3" t="s">
        <v>880</v>
      </c>
      <c r="D944" s="4">
        <v>860720</v>
      </c>
      <c r="E944" s="3">
        <v>2523</v>
      </c>
      <c r="F944" s="3">
        <v>4</v>
      </c>
      <c r="G944" s="3" t="s">
        <v>36</v>
      </c>
      <c r="H944" s="3" t="s">
        <v>66</v>
      </c>
      <c r="I944" s="3">
        <v>7</v>
      </c>
      <c r="J944" s="3" t="s">
        <v>12</v>
      </c>
      <c r="K944" s="18">
        <v>63</v>
      </c>
      <c r="L944" s="16">
        <v>195</v>
      </c>
      <c r="M944" s="6" t="str" cm="1">
        <f t="array" ref="M944">_xlfn.IFS(L944&lt;100,"Economy",L944&lt;200,"Standard",L944&lt;350,"Powerful",L944&lt;500,"High Performance",L944&lt;800,"Sports Performance",L944&gt;=800,"Super Performance")</f>
        <v>Standard</v>
      </c>
    </row>
    <row r="945" spans="1:13" x14ac:dyDescent="0.25">
      <c r="A945" s="5" t="s">
        <v>202</v>
      </c>
      <c r="B945" s="3" t="s">
        <v>1103</v>
      </c>
      <c r="C945" s="3" t="s">
        <v>1104</v>
      </c>
      <c r="D945" s="4">
        <v>815883</v>
      </c>
      <c r="E945" s="3">
        <v>2523</v>
      </c>
      <c r="F945" s="3">
        <v>4</v>
      </c>
      <c r="G945" s="3" t="s">
        <v>36</v>
      </c>
      <c r="H945" s="3" t="s">
        <v>66</v>
      </c>
      <c r="I945" s="3">
        <v>7</v>
      </c>
      <c r="J945" s="3" t="s">
        <v>12</v>
      </c>
      <c r="K945" s="18">
        <v>63</v>
      </c>
      <c r="L945" s="16">
        <v>195</v>
      </c>
      <c r="M945" s="6" t="str" cm="1">
        <f t="array" ref="M945">_xlfn.IFS(L945&lt;100,"Economy",L945&lt;200,"Standard",L945&lt;350,"Powerful",L945&lt;500,"High Performance",L945&lt;800,"Sports Performance",L945&gt;=800,"Super Performance")</f>
        <v>Standard</v>
      </c>
    </row>
    <row r="946" spans="1:13" x14ac:dyDescent="0.25">
      <c r="A946" s="5" t="s">
        <v>202</v>
      </c>
      <c r="B946" s="3" t="s">
        <v>1103</v>
      </c>
      <c r="C946" s="3" t="s">
        <v>1105</v>
      </c>
      <c r="D946" s="4">
        <v>773678</v>
      </c>
      <c r="E946" s="3">
        <v>2523</v>
      </c>
      <c r="F946" s="3">
        <v>4</v>
      </c>
      <c r="G946" s="3" t="s">
        <v>36</v>
      </c>
      <c r="H946" s="3" t="s">
        <v>66</v>
      </c>
      <c r="I946" s="3">
        <v>7</v>
      </c>
      <c r="J946" s="3" t="s">
        <v>12</v>
      </c>
      <c r="K946" s="18">
        <v>63</v>
      </c>
      <c r="L946" s="16">
        <v>195</v>
      </c>
      <c r="M946" s="6" t="str" cm="1">
        <f t="array" ref="M946">_xlfn.IFS(L946&lt;100,"Economy",L946&lt;200,"Standard",L946&lt;350,"Powerful",L946&lt;500,"High Performance",L946&lt;800,"Sports Performance",L946&gt;=800,"Super Performance")</f>
        <v>Standard</v>
      </c>
    </row>
    <row r="947" spans="1:13" x14ac:dyDescent="0.25">
      <c r="A947" s="5" t="s">
        <v>589</v>
      </c>
      <c r="B947" s="3" t="s">
        <v>1106</v>
      </c>
      <c r="C947" s="3" t="s">
        <v>1107</v>
      </c>
      <c r="D947" s="4">
        <v>2903750</v>
      </c>
      <c r="E947" s="3">
        <v>2477</v>
      </c>
      <c r="F947" s="3">
        <v>4</v>
      </c>
      <c r="G947" s="3" t="s">
        <v>36</v>
      </c>
      <c r="H947" s="3" t="s">
        <v>66</v>
      </c>
      <c r="I947" s="3">
        <v>7</v>
      </c>
      <c r="J947" s="3" t="s">
        <v>12</v>
      </c>
      <c r="K947" s="18">
        <v>178</v>
      </c>
      <c r="L947" s="16">
        <v>400</v>
      </c>
      <c r="M947" s="6" t="str" cm="1">
        <f t="array" ref="M947">_xlfn.IFS(L947&lt;100,"Economy",L947&lt;200,"Standard",L947&lt;350,"Powerful",L947&lt;500,"High Performance",L947&lt;800,"Sports Performance",L947&gt;=800,"Super Performance")</f>
        <v>High Performance</v>
      </c>
    </row>
    <row r="948" spans="1:13" x14ac:dyDescent="0.25">
      <c r="A948" s="5" t="s">
        <v>589</v>
      </c>
      <c r="B948" s="3" t="s">
        <v>1106</v>
      </c>
      <c r="C948" s="3" t="s">
        <v>1108</v>
      </c>
      <c r="D948" s="4">
        <v>2835500</v>
      </c>
      <c r="E948" s="3">
        <v>2477</v>
      </c>
      <c r="F948" s="3">
        <v>4</v>
      </c>
      <c r="G948" s="3" t="s">
        <v>36</v>
      </c>
      <c r="H948" s="3" t="s">
        <v>66</v>
      </c>
      <c r="I948" s="3">
        <v>7</v>
      </c>
      <c r="J948" s="3" t="s">
        <v>30</v>
      </c>
      <c r="K948" s="18">
        <v>178</v>
      </c>
      <c r="L948" s="16">
        <v>350</v>
      </c>
      <c r="M948" s="6" t="str" cm="1">
        <f t="array" ref="M948">_xlfn.IFS(L948&lt;100,"Economy",L948&lt;200,"Standard",L948&lt;350,"Powerful",L948&lt;500,"High Performance",L948&lt;800,"Sports Performance",L948&gt;=800,"Super Performance")</f>
        <v>High Performance</v>
      </c>
    </row>
    <row r="949" spans="1:13" x14ac:dyDescent="0.25">
      <c r="A949" s="5" t="s">
        <v>589</v>
      </c>
      <c r="B949" s="3" t="s">
        <v>1106</v>
      </c>
      <c r="C949" s="3" t="s">
        <v>1109</v>
      </c>
      <c r="D949" s="4">
        <v>2953240</v>
      </c>
      <c r="E949" s="3">
        <v>2477</v>
      </c>
      <c r="F949" s="3">
        <v>4</v>
      </c>
      <c r="G949" s="3" t="s">
        <v>36</v>
      </c>
      <c r="H949" s="3" t="s">
        <v>66</v>
      </c>
      <c r="I949" s="3">
        <v>7</v>
      </c>
      <c r="J949" s="3" t="s">
        <v>12</v>
      </c>
      <c r="K949" s="18">
        <v>178</v>
      </c>
      <c r="L949" s="16">
        <v>400</v>
      </c>
      <c r="M949" s="6" t="str" cm="1">
        <f t="array" ref="M949">_xlfn.IFS(L949&lt;100,"Economy",L949&lt;200,"Standard",L949&lt;350,"Powerful",L949&lt;500,"High Performance",L949&lt;800,"Sports Performance",L949&gt;=800,"Super Performance")</f>
        <v>High Performance</v>
      </c>
    </row>
    <row r="950" spans="1:13" x14ac:dyDescent="0.25">
      <c r="A950" s="5" t="s">
        <v>589</v>
      </c>
      <c r="B950" s="3" t="s">
        <v>1106</v>
      </c>
      <c r="C950" s="3" t="s">
        <v>1110</v>
      </c>
      <c r="D950" s="4">
        <v>2992800</v>
      </c>
      <c r="E950" s="3">
        <v>2477</v>
      </c>
      <c r="F950" s="3">
        <v>4</v>
      </c>
      <c r="G950" s="3" t="s">
        <v>36</v>
      </c>
      <c r="H950" s="3" t="s">
        <v>66</v>
      </c>
      <c r="I950" s="3">
        <v>7</v>
      </c>
      <c r="J950" s="3" t="s">
        <v>12</v>
      </c>
      <c r="K950" s="18">
        <v>178</v>
      </c>
      <c r="L950" s="16">
        <v>400</v>
      </c>
      <c r="M950" s="6" t="str" cm="1">
        <f t="array" ref="M950">_xlfn.IFS(L950&lt;100,"Economy",L950&lt;200,"Standard",L950&lt;350,"Powerful",L950&lt;500,"High Performance",L950&lt;800,"Sports Performance",L950&gt;=800,"Super Performance")</f>
        <v>High Performance</v>
      </c>
    </row>
    <row r="951" spans="1:13" x14ac:dyDescent="0.25">
      <c r="A951" s="5" t="s">
        <v>589</v>
      </c>
      <c r="B951" s="3" t="s">
        <v>1106</v>
      </c>
      <c r="C951" s="3" t="s">
        <v>1111</v>
      </c>
      <c r="D951" s="4">
        <v>2952500</v>
      </c>
      <c r="E951" s="3">
        <v>2477</v>
      </c>
      <c r="F951" s="3">
        <v>4</v>
      </c>
      <c r="G951" s="3" t="s">
        <v>36</v>
      </c>
      <c r="H951" s="3" t="s">
        <v>66</v>
      </c>
      <c r="I951" s="3">
        <v>7</v>
      </c>
      <c r="J951" s="3" t="s">
        <v>30</v>
      </c>
      <c r="K951" s="18">
        <v>178</v>
      </c>
      <c r="L951" s="16">
        <v>350</v>
      </c>
      <c r="M951" s="6" t="str" cm="1">
        <f t="array" ref="M951">_xlfn.IFS(L951&lt;100,"Economy",L951&lt;200,"Standard",L951&lt;350,"Powerful",L951&lt;500,"High Performance",L951&lt;800,"Sports Performance",L951&gt;=800,"Super Performance")</f>
        <v>High Performance</v>
      </c>
    </row>
    <row r="952" spans="1:13" x14ac:dyDescent="0.25">
      <c r="A952" s="5" t="s">
        <v>589</v>
      </c>
      <c r="B952" s="3" t="s">
        <v>1112</v>
      </c>
      <c r="C952" s="3" t="s">
        <v>1113</v>
      </c>
      <c r="D952" s="4">
        <v>6862560</v>
      </c>
      <c r="E952" s="3">
        <v>3200</v>
      </c>
      <c r="F952" s="3">
        <v>4</v>
      </c>
      <c r="G952" s="3" t="s">
        <v>36</v>
      </c>
      <c r="H952" s="3" t="s">
        <v>66</v>
      </c>
      <c r="I952" s="3">
        <v>7</v>
      </c>
      <c r="J952" s="3" t="s">
        <v>30</v>
      </c>
      <c r="K952" s="18">
        <v>202</v>
      </c>
      <c r="L952" s="16">
        <v>441</v>
      </c>
      <c r="M952" s="6" t="str" cm="1">
        <f t="array" ref="M952">_xlfn.IFS(L952&lt;100,"Economy",L952&lt;200,"Standard",L952&lt;350,"Powerful",L952&lt;500,"High Performance",L952&lt;800,"Sports Performance",L952&gt;=800,"Super Performance")</f>
        <v>High Performance</v>
      </c>
    </row>
    <row r="953" spans="1:13" x14ac:dyDescent="0.25">
      <c r="A953" s="5" t="s">
        <v>364</v>
      </c>
      <c r="B953" s="3" t="s">
        <v>603</v>
      </c>
      <c r="C953" s="3" t="s">
        <v>608</v>
      </c>
      <c r="D953" s="4">
        <v>279650</v>
      </c>
      <c r="E953" s="3">
        <v>799</v>
      </c>
      <c r="F953" s="3">
        <v>3</v>
      </c>
      <c r="G953" s="3" t="s">
        <v>10</v>
      </c>
      <c r="H953" s="3" t="s">
        <v>11</v>
      </c>
      <c r="I953" s="3">
        <v>5</v>
      </c>
      <c r="J953" s="3" t="s">
        <v>12</v>
      </c>
      <c r="K953" s="18">
        <v>54</v>
      </c>
      <c r="L953" s="16">
        <v>72</v>
      </c>
      <c r="M953" s="6" t="str" cm="1">
        <f t="array" ref="M953">_xlfn.IFS(L953&lt;100,"Economy",L953&lt;200,"Standard",L953&lt;350,"Powerful",L953&lt;500,"High Performance",L953&lt;800,"Sports Performance",L953&gt;=800,"Super Performance")</f>
        <v>Economy</v>
      </c>
    </row>
    <row r="954" spans="1:13" x14ac:dyDescent="0.25">
      <c r="A954" s="5" t="s">
        <v>364</v>
      </c>
      <c r="B954" s="3" t="s">
        <v>603</v>
      </c>
      <c r="C954" s="3" t="s">
        <v>609</v>
      </c>
      <c r="D954" s="4">
        <v>351832</v>
      </c>
      <c r="E954" s="3">
        <v>799</v>
      </c>
      <c r="F954" s="3">
        <v>3</v>
      </c>
      <c r="G954" s="3" t="s">
        <v>10</v>
      </c>
      <c r="H954" s="3" t="s">
        <v>11</v>
      </c>
      <c r="I954" s="3">
        <v>5</v>
      </c>
      <c r="J954" s="3" t="s">
        <v>12</v>
      </c>
      <c r="K954" s="18">
        <v>54</v>
      </c>
      <c r="L954" s="16">
        <v>72</v>
      </c>
      <c r="M954" s="6" t="str" cm="1">
        <f t="array" ref="M954">_xlfn.IFS(L954&lt;100,"Economy",L954&lt;200,"Standard",L954&lt;350,"Powerful",L954&lt;500,"High Performance",L954&lt;800,"Sports Performance",L954&gt;=800,"Super Performance")</f>
        <v>Economy</v>
      </c>
    </row>
    <row r="955" spans="1:13" x14ac:dyDescent="0.25">
      <c r="A955" s="5" t="s">
        <v>364</v>
      </c>
      <c r="B955" s="3" t="s">
        <v>603</v>
      </c>
      <c r="C955" s="3" t="s">
        <v>368</v>
      </c>
      <c r="D955" s="4">
        <v>333419</v>
      </c>
      <c r="E955" s="3">
        <v>799</v>
      </c>
      <c r="F955" s="3">
        <v>3</v>
      </c>
      <c r="G955" s="3" t="s">
        <v>10</v>
      </c>
      <c r="H955" s="3" t="s">
        <v>11</v>
      </c>
      <c r="I955" s="3">
        <v>5</v>
      </c>
      <c r="J955" s="3" t="s">
        <v>12</v>
      </c>
      <c r="K955" s="18">
        <v>54</v>
      </c>
      <c r="L955" s="16">
        <v>72</v>
      </c>
      <c r="M955" s="6" t="str" cm="1">
        <f t="array" ref="M955">_xlfn.IFS(L955&lt;100,"Economy",L955&lt;200,"Standard",L955&lt;350,"Powerful",L955&lt;500,"High Performance",L955&lt;800,"Sports Performance",L955&gt;=800,"Super Performance")</f>
        <v>Economy</v>
      </c>
    </row>
    <row r="956" spans="1:13" x14ac:dyDescent="0.25">
      <c r="A956" s="5" t="s">
        <v>364</v>
      </c>
      <c r="B956" s="3" t="s">
        <v>603</v>
      </c>
      <c r="C956" s="3" t="s">
        <v>323</v>
      </c>
      <c r="D956" s="4">
        <v>362000</v>
      </c>
      <c r="E956" s="3">
        <v>799</v>
      </c>
      <c r="F956" s="3">
        <v>3</v>
      </c>
      <c r="G956" s="3" t="s">
        <v>10</v>
      </c>
      <c r="H956" s="3" t="s">
        <v>11</v>
      </c>
      <c r="I956" s="3">
        <v>5</v>
      </c>
      <c r="J956" s="3" t="s">
        <v>12</v>
      </c>
      <c r="K956" s="18">
        <v>54</v>
      </c>
      <c r="L956" s="16">
        <v>72</v>
      </c>
      <c r="M956" s="6" t="str" cm="1">
        <f t="array" ref="M956">_xlfn.IFS(L956&lt;100,"Economy",L956&lt;200,"Standard",L956&lt;350,"Powerful",L956&lt;500,"High Performance",L956&lt;800,"Sports Performance",L956&gt;=800,"Super Performance")</f>
        <v>Economy</v>
      </c>
    </row>
    <row r="957" spans="1:13" x14ac:dyDescent="0.25">
      <c r="A957" s="5" t="s">
        <v>93</v>
      </c>
      <c r="B957" s="3" t="s">
        <v>606</v>
      </c>
      <c r="C957" s="3" t="s">
        <v>97</v>
      </c>
      <c r="D957" s="4">
        <v>377588</v>
      </c>
      <c r="E957" s="3">
        <v>998</v>
      </c>
      <c r="F957" s="3">
        <v>3</v>
      </c>
      <c r="G957" s="3" t="s">
        <v>10</v>
      </c>
      <c r="H957" s="3" t="s">
        <v>11</v>
      </c>
      <c r="I957" s="3">
        <v>5</v>
      </c>
      <c r="J957" s="3" t="s">
        <v>12</v>
      </c>
      <c r="K957" s="18">
        <v>68</v>
      </c>
      <c r="L957" s="16">
        <v>90</v>
      </c>
      <c r="M957" s="6" t="str" cm="1">
        <f t="array" ref="M957">_xlfn.IFS(L957&lt;100,"Economy",L957&lt;200,"Standard",L957&lt;350,"Powerful",L957&lt;500,"High Performance",L957&lt;800,"Sports Performance",L957&gt;=800,"Super Performance")</f>
        <v>Economy</v>
      </c>
    </row>
    <row r="958" spans="1:13" x14ac:dyDescent="0.25">
      <c r="A958" s="5" t="s">
        <v>93</v>
      </c>
      <c r="B958" s="3" t="s">
        <v>606</v>
      </c>
      <c r="C958" s="3" t="s">
        <v>99</v>
      </c>
      <c r="D958" s="4">
        <v>394036</v>
      </c>
      <c r="E958" s="3">
        <v>998</v>
      </c>
      <c r="F958" s="3">
        <v>3</v>
      </c>
      <c r="G958" s="3" t="s">
        <v>10</v>
      </c>
      <c r="H958" s="3" t="s">
        <v>11</v>
      </c>
      <c r="I958" s="3">
        <v>5</v>
      </c>
      <c r="J958" s="3" t="s">
        <v>12</v>
      </c>
      <c r="K958" s="18">
        <v>68</v>
      </c>
      <c r="L958" s="16">
        <v>90</v>
      </c>
      <c r="M958" s="6" t="str" cm="1">
        <f t="array" ref="M958">_xlfn.IFS(L958&lt;100,"Economy",L958&lt;200,"Standard",L958&lt;350,"Powerful",L958&lt;500,"High Performance",L958&lt;800,"Sports Performance",L958&gt;=800,"Super Performance")</f>
        <v>Economy</v>
      </c>
    </row>
    <row r="959" spans="1:13" x14ac:dyDescent="0.25">
      <c r="A959" s="5" t="s">
        <v>93</v>
      </c>
      <c r="B959" s="3" t="s">
        <v>606</v>
      </c>
      <c r="C959" s="3" t="s">
        <v>881</v>
      </c>
      <c r="D959" s="4">
        <v>360843</v>
      </c>
      <c r="E959" s="3">
        <v>998</v>
      </c>
      <c r="F959" s="3">
        <v>3</v>
      </c>
      <c r="G959" s="3" t="s">
        <v>10</v>
      </c>
      <c r="H959" s="3" t="s">
        <v>11</v>
      </c>
      <c r="I959" s="3">
        <v>5</v>
      </c>
      <c r="J959" s="3" t="s">
        <v>12</v>
      </c>
      <c r="K959" s="18">
        <v>68</v>
      </c>
      <c r="L959" s="16">
        <v>90</v>
      </c>
      <c r="M959" s="6" t="str" cm="1">
        <f t="array" ref="M959">_xlfn.IFS(L959&lt;100,"Economy",L959&lt;200,"Standard",L959&lt;350,"Powerful",L959&lt;500,"High Performance",L959&lt;800,"Sports Performance",L959&gt;=800,"Super Performance")</f>
        <v>Economy</v>
      </c>
    </row>
    <row r="960" spans="1:13" x14ac:dyDescent="0.25">
      <c r="A960" s="5" t="s">
        <v>93</v>
      </c>
      <c r="B960" s="3" t="s">
        <v>606</v>
      </c>
      <c r="C960" s="3" t="s">
        <v>100</v>
      </c>
      <c r="D960" s="4">
        <v>407238</v>
      </c>
      <c r="E960" s="3">
        <v>998</v>
      </c>
      <c r="F960" s="3">
        <v>3</v>
      </c>
      <c r="G960" s="3" t="s">
        <v>10</v>
      </c>
      <c r="H960" s="3" t="s">
        <v>11</v>
      </c>
      <c r="I960" s="3">
        <v>5</v>
      </c>
      <c r="J960" s="3" t="s">
        <v>12</v>
      </c>
      <c r="K960" s="18">
        <v>68</v>
      </c>
      <c r="L960" s="16">
        <v>90</v>
      </c>
      <c r="M960" s="6" t="str" cm="1">
        <f t="array" ref="M960">_xlfn.IFS(L960&lt;100,"Economy",L960&lt;200,"Standard",L960&lt;350,"Powerful",L960&lt;500,"High Performance",L960&lt;800,"Sports Performance",L960&gt;=800,"Super Performance")</f>
        <v>Economy</v>
      </c>
    </row>
    <row r="961" spans="1:13" x14ac:dyDescent="0.25">
      <c r="A961" s="5" t="s">
        <v>93</v>
      </c>
      <c r="B961" s="3" t="s">
        <v>606</v>
      </c>
      <c r="C961" s="3" t="s">
        <v>1114</v>
      </c>
      <c r="D961" s="4">
        <v>438559</v>
      </c>
      <c r="E961" s="3">
        <v>998</v>
      </c>
      <c r="F961" s="3">
        <v>3</v>
      </c>
      <c r="G961" s="3" t="s">
        <v>10</v>
      </c>
      <c r="H961" s="3" t="s">
        <v>11</v>
      </c>
      <c r="I961" s="3">
        <v>5</v>
      </c>
      <c r="J961" s="3" t="s">
        <v>30</v>
      </c>
      <c r="K961" s="18">
        <v>68</v>
      </c>
      <c r="L961" s="16">
        <v>90</v>
      </c>
      <c r="M961" s="6" t="str" cm="1">
        <f t="array" ref="M961">_xlfn.IFS(L961&lt;100,"Economy",L961&lt;200,"Standard",L961&lt;350,"Powerful",L961&lt;500,"High Performance",L961&lt;800,"Sports Performance",L961&gt;=800,"Super Performance")</f>
        <v>Economy</v>
      </c>
    </row>
    <row r="962" spans="1:13" x14ac:dyDescent="0.25">
      <c r="A962" s="5" t="s">
        <v>22</v>
      </c>
      <c r="B962" s="3" t="s">
        <v>23</v>
      </c>
      <c r="C962" s="3" t="s">
        <v>1115</v>
      </c>
      <c r="D962" s="4">
        <v>520000</v>
      </c>
      <c r="E962" s="3">
        <v>1199</v>
      </c>
      <c r="F962" s="3">
        <v>3</v>
      </c>
      <c r="G962" s="3" t="s">
        <v>10</v>
      </c>
      <c r="H962" s="3" t="s">
        <v>11</v>
      </c>
      <c r="I962" s="3">
        <v>5</v>
      </c>
      <c r="J962" s="3" t="s">
        <v>12</v>
      </c>
      <c r="K962" s="18">
        <v>86</v>
      </c>
      <c r="L962" s="16">
        <v>114</v>
      </c>
      <c r="M962" s="6" t="str" cm="1">
        <f t="array" ref="M962">_xlfn.IFS(L962&lt;100,"Economy",L962&lt;200,"Standard",L962&lt;350,"Powerful",L962&lt;500,"High Performance",L962&lt;800,"Sports Performance",L962&gt;=800,"Super Performance")</f>
        <v>Standard</v>
      </c>
    </row>
    <row r="963" spans="1:13" x14ac:dyDescent="0.25">
      <c r="A963" s="5" t="s">
        <v>22</v>
      </c>
      <c r="B963" s="3" t="s">
        <v>23</v>
      </c>
      <c r="C963" s="3" t="s">
        <v>1116</v>
      </c>
      <c r="D963" s="4">
        <v>570000</v>
      </c>
      <c r="E963" s="3">
        <v>1199</v>
      </c>
      <c r="F963" s="3">
        <v>3</v>
      </c>
      <c r="G963" s="3" t="s">
        <v>10</v>
      </c>
      <c r="H963" s="3" t="s">
        <v>11</v>
      </c>
      <c r="I963" s="3">
        <v>5</v>
      </c>
      <c r="J963" s="3" t="s">
        <v>12</v>
      </c>
      <c r="K963" s="18">
        <v>86</v>
      </c>
      <c r="L963" s="16">
        <v>114</v>
      </c>
      <c r="M963" s="6" t="str" cm="1">
        <f t="array" ref="M963">_xlfn.IFS(L963&lt;100,"Economy",L963&lt;200,"Standard",L963&lt;350,"Powerful",L963&lt;500,"High Performance",L963&lt;800,"Sports Performance",L963&gt;=800,"Super Performance")</f>
        <v>Standard</v>
      </c>
    </row>
    <row r="964" spans="1:13" x14ac:dyDescent="0.25">
      <c r="A964" s="5" t="s">
        <v>22</v>
      </c>
      <c r="B964" s="3" t="s">
        <v>23</v>
      </c>
      <c r="C964" s="3" t="s">
        <v>1117</v>
      </c>
      <c r="D964" s="4">
        <v>599000</v>
      </c>
      <c r="E964" s="3">
        <v>1199</v>
      </c>
      <c r="F964" s="3">
        <v>3</v>
      </c>
      <c r="G964" s="3" t="s">
        <v>10</v>
      </c>
      <c r="H964" s="3" t="s">
        <v>11</v>
      </c>
      <c r="I964" s="3">
        <v>5</v>
      </c>
      <c r="J964" s="3" t="s">
        <v>12</v>
      </c>
      <c r="K964" s="18">
        <v>86</v>
      </c>
      <c r="L964" s="16">
        <v>114</v>
      </c>
      <c r="M964" s="6" t="str" cm="1">
        <f t="array" ref="M964">_xlfn.IFS(L964&lt;100,"Economy",L964&lt;200,"Standard",L964&lt;350,"Powerful",L964&lt;500,"High Performance",L964&lt;800,"Sports Performance",L964&gt;=800,"Super Performance")</f>
        <v>Standard</v>
      </c>
    </row>
    <row r="965" spans="1:13" x14ac:dyDescent="0.25">
      <c r="A965" s="5" t="s">
        <v>22</v>
      </c>
      <c r="B965" s="3" t="s">
        <v>23</v>
      </c>
      <c r="C965" s="3" t="s">
        <v>1118</v>
      </c>
      <c r="D965" s="4">
        <v>610000</v>
      </c>
      <c r="E965" s="3">
        <v>1199</v>
      </c>
      <c r="F965" s="3">
        <v>3</v>
      </c>
      <c r="G965" s="3" t="s">
        <v>10</v>
      </c>
      <c r="H965" s="3" t="s">
        <v>11</v>
      </c>
      <c r="I965" s="3">
        <v>5</v>
      </c>
      <c r="J965" s="3" t="s">
        <v>12</v>
      </c>
      <c r="K965" s="18">
        <v>86</v>
      </c>
      <c r="L965" s="16">
        <v>114</v>
      </c>
      <c r="M965" s="6" t="str" cm="1">
        <f t="array" ref="M965">_xlfn.IFS(L965&lt;100,"Economy",L965&lt;200,"Standard",L965&lt;350,"Powerful",L965&lt;500,"High Performance",L965&lt;800,"Sports Performance",L965&gt;=800,"Super Performance")</f>
        <v>Standard</v>
      </c>
    </row>
    <row r="966" spans="1:13" x14ac:dyDescent="0.25">
      <c r="A966" s="5" t="s">
        <v>22</v>
      </c>
      <c r="B966" s="3" t="s">
        <v>23</v>
      </c>
      <c r="C966" s="3" t="s">
        <v>1119</v>
      </c>
      <c r="D966" s="4">
        <v>620000</v>
      </c>
      <c r="E966" s="3">
        <v>1199</v>
      </c>
      <c r="F966" s="3">
        <v>3</v>
      </c>
      <c r="G966" s="3" t="s">
        <v>10</v>
      </c>
      <c r="H966" s="3" t="s">
        <v>11</v>
      </c>
      <c r="I966" s="3">
        <v>5</v>
      </c>
      <c r="J966" s="3" t="s">
        <v>17</v>
      </c>
      <c r="K966" s="18">
        <v>86</v>
      </c>
      <c r="L966" s="16">
        <v>114</v>
      </c>
      <c r="M966" s="6" t="str" cm="1">
        <f t="array" ref="M966">_xlfn.IFS(L966&lt;100,"Economy",L966&lt;200,"Standard",L966&lt;350,"Powerful",L966&lt;500,"High Performance",L966&lt;800,"Sports Performance",L966&gt;=800,"Super Performance")</f>
        <v>Standard</v>
      </c>
    </row>
    <row r="967" spans="1:13" x14ac:dyDescent="0.25">
      <c r="A967" s="5" t="s">
        <v>22</v>
      </c>
      <c r="B967" s="3" t="s">
        <v>23</v>
      </c>
      <c r="C967" s="3" t="s">
        <v>1120</v>
      </c>
      <c r="D967" s="4">
        <v>649000</v>
      </c>
      <c r="E967" s="3">
        <v>1199</v>
      </c>
      <c r="F967" s="3">
        <v>3</v>
      </c>
      <c r="G967" s="3" t="s">
        <v>10</v>
      </c>
      <c r="H967" s="3" t="s">
        <v>11</v>
      </c>
      <c r="I967" s="3">
        <v>5</v>
      </c>
      <c r="J967" s="3" t="s">
        <v>17</v>
      </c>
      <c r="K967" s="18">
        <v>86</v>
      </c>
      <c r="L967" s="16">
        <v>114</v>
      </c>
      <c r="M967" s="6" t="str" cm="1">
        <f t="array" ref="M967">_xlfn.IFS(L967&lt;100,"Economy",L967&lt;200,"Standard",L967&lt;350,"Powerful",L967&lt;500,"High Performance",L967&lt;800,"Sports Performance",L967&gt;=800,"Super Performance")</f>
        <v>Standard</v>
      </c>
    </row>
    <row r="968" spans="1:13" x14ac:dyDescent="0.25">
      <c r="A968" s="5" t="s">
        <v>22</v>
      </c>
      <c r="B968" s="3" t="s">
        <v>23</v>
      </c>
      <c r="C968" s="3" t="s">
        <v>1121</v>
      </c>
      <c r="D968" s="4">
        <v>660000</v>
      </c>
      <c r="E968" s="3">
        <v>1199</v>
      </c>
      <c r="F968" s="3">
        <v>3</v>
      </c>
      <c r="G968" s="3" t="s">
        <v>10</v>
      </c>
      <c r="H968" s="3" t="s">
        <v>11</v>
      </c>
      <c r="I968" s="3">
        <v>5</v>
      </c>
      <c r="J968" s="3" t="s">
        <v>17</v>
      </c>
      <c r="K968" s="18">
        <v>86</v>
      </c>
      <c r="L968" s="16">
        <v>114</v>
      </c>
      <c r="M968" s="6" t="str" cm="1">
        <f t="array" ref="M968">_xlfn.IFS(L968&lt;100,"Economy",L968&lt;200,"Standard",L968&lt;350,"Powerful",L968&lt;500,"High Performance",L968&lt;800,"Sports Performance",L968&gt;=800,"Super Performance")</f>
        <v>Standard</v>
      </c>
    </row>
    <row r="969" spans="1:13" x14ac:dyDescent="0.25">
      <c r="A969" s="5" t="s">
        <v>7</v>
      </c>
      <c r="B969" s="3" t="s">
        <v>25</v>
      </c>
      <c r="C969" s="3" t="s">
        <v>1122</v>
      </c>
      <c r="D969" s="4">
        <v>728900</v>
      </c>
      <c r="E969" s="3">
        <v>1197</v>
      </c>
      <c r="F969" s="3">
        <v>0</v>
      </c>
      <c r="G969" s="3" t="s">
        <v>272</v>
      </c>
      <c r="H969" s="3" t="s">
        <v>27</v>
      </c>
      <c r="I969" s="3">
        <v>5</v>
      </c>
      <c r="J969" s="3" t="s">
        <v>12</v>
      </c>
      <c r="K969" s="18">
        <v>69</v>
      </c>
      <c r="L969" s="16">
        <v>95</v>
      </c>
      <c r="M969" s="6" t="str" cm="1">
        <f t="array" ref="M969">_xlfn.IFS(L969&lt;100,"Economy",L969&lt;200,"Standard",L969&lt;350,"Powerful",L969&lt;500,"High Performance",L969&lt;800,"Sports Performance",L969&gt;=800,"Super Performance")</f>
        <v>Economy</v>
      </c>
    </row>
    <row r="970" spans="1:13" x14ac:dyDescent="0.25">
      <c r="A970" s="5" t="s">
        <v>90</v>
      </c>
      <c r="B970" s="3" t="s">
        <v>1015</v>
      </c>
      <c r="C970" s="3" t="s">
        <v>1123</v>
      </c>
      <c r="D970" s="4">
        <v>8820000</v>
      </c>
      <c r="E970" s="3">
        <v>2987</v>
      </c>
      <c r="F970" s="3">
        <v>6</v>
      </c>
      <c r="G970" s="3" t="s">
        <v>36</v>
      </c>
      <c r="H970" s="3" t="s">
        <v>66</v>
      </c>
      <c r="I970" s="3">
        <v>5</v>
      </c>
      <c r="J970" s="3" t="s">
        <v>30</v>
      </c>
      <c r="K970" s="18">
        <v>258</v>
      </c>
      <c r="L970" s="16">
        <v>619</v>
      </c>
      <c r="M970" s="6" t="str" cm="1">
        <f t="array" ref="M970">_xlfn.IFS(L970&lt;100,"Economy",L970&lt;200,"Standard",L970&lt;350,"Powerful",L970&lt;500,"High Performance",L970&lt;800,"Sports Performance",L970&gt;=800,"Super Performance")</f>
        <v>Sports Performance</v>
      </c>
    </row>
    <row r="971" spans="1:13" x14ac:dyDescent="0.25">
      <c r="A971" s="5" t="s">
        <v>90</v>
      </c>
      <c r="B971" s="3" t="s">
        <v>1015</v>
      </c>
      <c r="C971" s="3" t="s">
        <v>1124</v>
      </c>
      <c r="D971" s="4">
        <v>8690000</v>
      </c>
      <c r="E971" s="3">
        <v>2987</v>
      </c>
      <c r="F971" s="3">
        <v>6</v>
      </c>
      <c r="G971" s="3" t="s">
        <v>36</v>
      </c>
      <c r="H971" s="3" t="s">
        <v>66</v>
      </c>
      <c r="I971" s="3">
        <v>5</v>
      </c>
      <c r="J971" s="3" t="s">
        <v>30</v>
      </c>
      <c r="K971" s="18">
        <v>258</v>
      </c>
      <c r="L971" s="16">
        <v>619</v>
      </c>
      <c r="M971" s="6" t="str" cm="1">
        <f t="array" ref="M971">_xlfn.IFS(L971&lt;100,"Economy",L971&lt;200,"Standard",L971&lt;350,"Powerful",L971&lt;500,"High Performance",L971&lt;800,"Sports Performance",L971&gt;=800,"Super Performance")</f>
        <v>Sports Performance</v>
      </c>
    </row>
    <row r="972" spans="1:13" x14ac:dyDescent="0.25">
      <c r="A972" s="5" t="s">
        <v>90</v>
      </c>
      <c r="B972" s="3" t="s">
        <v>948</v>
      </c>
      <c r="C972" s="3" t="s">
        <v>1125</v>
      </c>
      <c r="D972" s="4">
        <v>13558438</v>
      </c>
      <c r="E972" s="3">
        <v>2987</v>
      </c>
      <c r="F972" s="3">
        <v>6</v>
      </c>
      <c r="G972" s="3" t="s">
        <v>36</v>
      </c>
      <c r="H972" s="3" t="s">
        <v>27</v>
      </c>
      <c r="I972" s="3">
        <v>5</v>
      </c>
      <c r="J972" s="3" t="s">
        <v>30</v>
      </c>
      <c r="K972" s="18">
        <v>258</v>
      </c>
      <c r="L972" s="16">
        <v>620</v>
      </c>
      <c r="M972" s="6" t="str" cm="1">
        <f t="array" ref="M972">_xlfn.IFS(L972&lt;100,"Economy",L972&lt;200,"Standard",L972&lt;350,"Powerful",L972&lt;500,"High Performance",L972&lt;800,"Sports Performance",L972&gt;=800,"Super Performance")</f>
        <v>Sports Performance</v>
      </c>
    </row>
    <row r="973" spans="1:13" x14ac:dyDescent="0.25">
      <c r="A973" s="5" t="s">
        <v>90</v>
      </c>
      <c r="B973" s="3" t="s">
        <v>948</v>
      </c>
      <c r="C973" s="3" t="s">
        <v>1126</v>
      </c>
      <c r="D973" s="4">
        <v>13976653</v>
      </c>
      <c r="E973" s="3">
        <v>2996</v>
      </c>
      <c r="F973" s="3">
        <v>6</v>
      </c>
      <c r="G973" s="3" t="s">
        <v>10</v>
      </c>
      <c r="H973" s="3" t="s">
        <v>27</v>
      </c>
      <c r="I973" s="3">
        <v>5</v>
      </c>
      <c r="J973" s="3" t="s">
        <v>30</v>
      </c>
      <c r="K973" s="18">
        <v>333</v>
      </c>
      <c r="L973" s="16">
        <v>480</v>
      </c>
      <c r="M973" s="6" t="str" cm="1">
        <f t="array" ref="M973">_xlfn.IFS(L973&lt;100,"Economy",L973&lt;200,"Standard",L973&lt;350,"Powerful",L973&lt;500,"High Performance",L973&lt;800,"Sports Performance",L973&gt;=800,"Super Performance")</f>
        <v>High Performance</v>
      </c>
    </row>
    <row r="974" spans="1:13" x14ac:dyDescent="0.25">
      <c r="A974" s="5" t="s">
        <v>88</v>
      </c>
      <c r="B974" s="3" t="s">
        <v>89</v>
      </c>
      <c r="C974" s="3" t="s">
        <v>1014</v>
      </c>
      <c r="D974" s="4">
        <v>45941557</v>
      </c>
      <c r="E974" s="3">
        <v>5950</v>
      </c>
      <c r="F974" s="3">
        <v>12</v>
      </c>
      <c r="G974" s="3" t="s">
        <v>10</v>
      </c>
      <c r="H974" s="3" t="s">
        <v>66</v>
      </c>
      <c r="I974" s="3">
        <v>5</v>
      </c>
      <c r="J974" s="3" t="s">
        <v>30</v>
      </c>
      <c r="K974" s="18">
        <v>608</v>
      </c>
      <c r="L974" s="16">
        <v>900</v>
      </c>
      <c r="M974" s="6" t="str" cm="1">
        <f t="array" ref="M974">_xlfn.IFS(L974&lt;100,"Economy",L974&lt;200,"Standard",L974&lt;350,"Powerful",L974&lt;500,"High Performance",L974&lt;800,"Sports Performance",L974&gt;=800,"Super Performance")</f>
        <v>Super Performance</v>
      </c>
    </row>
    <row r="975" spans="1:13" x14ac:dyDescent="0.25">
      <c r="A975" s="5" t="s">
        <v>90</v>
      </c>
      <c r="B975" s="3" t="s">
        <v>624</v>
      </c>
      <c r="C975" s="3">
        <v>6.6</v>
      </c>
      <c r="D975" s="4">
        <v>46709733</v>
      </c>
      <c r="E975" s="3">
        <v>6593</v>
      </c>
      <c r="F975" s="3">
        <v>12</v>
      </c>
      <c r="G975" s="3" t="s">
        <v>10</v>
      </c>
      <c r="H975" s="3" t="s">
        <v>27</v>
      </c>
      <c r="I975" s="3">
        <v>5</v>
      </c>
      <c r="J975" s="3" t="s">
        <v>30</v>
      </c>
      <c r="K975" s="18">
        <v>563</v>
      </c>
      <c r="L975" s="16">
        <v>780</v>
      </c>
      <c r="M975" s="6" t="str" cm="1">
        <f t="array" ref="M975">_xlfn.IFS(L975&lt;100,"Economy",L975&lt;200,"Standard",L975&lt;350,"Powerful",L975&lt;500,"High Performance",L975&lt;800,"Sports Performance",L975&gt;=800,"Super Performance")</f>
        <v>Sports Performance</v>
      </c>
    </row>
    <row r="976" spans="1:13" x14ac:dyDescent="0.25">
      <c r="A976" s="5" t="s">
        <v>7</v>
      </c>
      <c r="B976" s="3" t="s">
        <v>709</v>
      </c>
      <c r="C976" s="3" t="s">
        <v>1127</v>
      </c>
      <c r="D976" s="4">
        <v>551530</v>
      </c>
      <c r="E976" s="3">
        <v>1120</v>
      </c>
      <c r="F976" s="3">
        <v>3</v>
      </c>
      <c r="G976" s="3" t="s">
        <v>36</v>
      </c>
      <c r="H976" s="3" t="s">
        <v>11</v>
      </c>
      <c r="I976" s="3">
        <v>5</v>
      </c>
      <c r="J976" s="3" t="s">
        <v>12</v>
      </c>
      <c r="K976" s="18">
        <v>71</v>
      </c>
      <c r="L976" s="16">
        <v>159.84839500000001</v>
      </c>
      <c r="M976" s="6" t="str" cm="1">
        <f t="array" ref="M976">_xlfn.IFS(L976&lt;100,"Economy",L976&lt;200,"Standard",L976&lt;350,"Powerful",L976&lt;500,"High Performance",L976&lt;800,"Sports Performance",L976&gt;=800,"Super Performance")</f>
        <v>Standard</v>
      </c>
    </row>
    <row r="977" spans="1:13" x14ac:dyDescent="0.25">
      <c r="A977" s="5" t="s">
        <v>7</v>
      </c>
      <c r="B977" s="3" t="s">
        <v>709</v>
      </c>
      <c r="C977" s="3" t="s">
        <v>1128</v>
      </c>
      <c r="D977" s="4">
        <v>568930</v>
      </c>
      <c r="E977" s="3">
        <v>1120</v>
      </c>
      <c r="F977" s="3">
        <v>3</v>
      </c>
      <c r="G977" s="3" t="s">
        <v>36</v>
      </c>
      <c r="H977" s="3" t="s">
        <v>11</v>
      </c>
      <c r="I977" s="3">
        <v>5</v>
      </c>
      <c r="J977" s="3" t="s">
        <v>12</v>
      </c>
      <c r="K977" s="18">
        <v>71</v>
      </c>
      <c r="L977" s="16">
        <v>159.84839500000001</v>
      </c>
      <c r="M977" s="6" t="str" cm="1">
        <f t="array" ref="M977">_xlfn.IFS(L977&lt;100,"Economy",L977&lt;200,"Standard",L977&lt;350,"Powerful",L977&lt;500,"High Performance",L977&lt;800,"Sports Performance",L977&gt;=800,"Super Performance")</f>
        <v>Standard</v>
      </c>
    </row>
    <row r="978" spans="1:13" x14ac:dyDescent="0.25">
      <c r="A978" s="5" t="s">
        <v>202</v>
      </c>
      <c r="B978" s="3" t="s">
        <v>968</v>
      </c>
      <c r="C978" s="3" t="s">
        <v>1129</v>
      </c>
      <c r="D978" s="4">
        <v>573250</v>
      </c>
      <c r="E978" s="3">
        <v>1198</v>
      </c>
      <c r="F978" s="3">
        <v>3</v>
      </c>
      <c r="G978" s="3" t="s">
        <v>10</v>
      </c>
      <c r="H978" s="3" t="s">
        <v>11</v>
      </c>
      <c r="I978" s="3">
        <v>5</v>
      </c>
      <c r="J978" s="3" t="s">
        <v>12</v>
      </c>
      <c r="K978" s="18">
        <v>82</v>
      </c>
      <c r="L978" s="16">
        <v>115</v>
      </c>
      <c r="M978" s="6" t="str" cm="1">
        <f t="array" ref="M978">_xlfn.IFS(L978&lt;100,"Economy",L978&lt;200,"Standard",L978&lt;350,"Powerful",L978&lt;500,"High Performance",L978&lt;800,"Sports Performance",L978&gt;=800,"Super Performance")</f>
        <v>Standard</v>
      </c>
    </row>
    <row r="979" spans="1:13" x14ac:dyDescent="0.25">
      <c r="A979" s="5" t="s">
        <v>202</v>
      </c>
      <c r="B979" s="3" t="s">
        <v>968</v>
      </c>
      <c r="C979" s="3" t="s">
        <v>1130</v>
      </c>
      <c r="D979" s="4">
        <v>631146</v>
      </c>
      <c r="E979" s="3">
        <v>1198</v>
      </c>
      <c r="F979" s="3">
        <v>3</v>
      </c>
      <c r="G979" s="3" t="s">
        <v>10</v>
      </c>
      <c r="H979" s="3" t="s">
        <v>11</v>
      </c>
      <c r="I979" s="3">
        <v>5</v>
      </c>
      <c r="J979" s="3" t="s">
        <v>12</v>
      </c>
      <c r="K979" s="18">
        <v>82</v>
      </c>
      <c r="L979" s="16">
        <v>115</v>
      </c>
      <c r="M979" s="6" t="str" cm="1">
        <f t="array" ref="M979">_xlfn.IFS(L979&lt;100,"Economy",L979&lt;200,"Standard",L979&lt;350,"Powerful",L979&lt;500,"High Performance",L979&lt;800,"Sports Performance",L979&gt;=800,"Super Performance")</f>
        <v>Standard</v>
      </c>
    </row>
    <row r="980" spans="1:13" x14ac:dyDescent="0.25">
      <c r="A980" s="5" t="s">
        <v>202</v>
      </c>
      <c r="B980" s="3" t="s">
        <v>968</v>
      </c>
      <c r="C980" s="3" t="s">
        <v>1131</v>
      </c>
      <c r="D980" s="4">
        <v>687175</v>
      </c>
      <c r="E980" s="3">
        <v>1198</v>
      </c>
      <c r="F980" s="3">
        <v>3</v>
      </c>
      <c r="G980" s="3" t="s">
        <v>10</v>
      </c>
      <c r="H980" s="3" t="s">
        <v>11</v>
      </c>
      <c r="I980" s="3">
        <v>5</v>
      </c>
      <c r="J980" s="3" t="s">
        <v>12</v>
      </c>
      <c r="K980" s="18">
        <v>82</v>
      </c>
      <c r="L980" s="16">
        <v>115</v>
      </c>
      <c r="M980" s="6" t="str" cm="1">
        <f t="array" ref="M980">_xlfn.IFS(L980&lt;100,"Economy",L980&lt;200,"Standard",L980&lt;350,"Powerful",L980&lt;500,"High Performance",L980&lt;800,"Sports Performance",L980&gt;=800,"Super Performance")</f>
        <v>Standard</v>
      </c>
    </row>
    <row r="981" spans="1:13" x14ac:dyDescent="0.25">
      <c r="A981" s="5" t="s">
        <v>202</v>
      </c>
      <c r="B981" s="3" t="s">
        <v>968</v>
      </c>
      <c r="C981" s="3" t="s">
        <v>1132</v>
      </c>
      <c r="D981" s="4">
        <v>660832</v>
      </c>
      <c r="E981" s="3">
        <v>1198</v>
      </c>
      <c r="F981" s="3">
        <v>3</v>
      </c>
      <c r="G981" s="3" t="s">
        <v>36</v>
      </c>
      <c r="H981" s="3" t="s">
        <v>11</v>
      </c>
      <c r="I981" s="3">
        <v>5</v>
      </c>
      <c r="J981" s="3" t="s">
        <v>12</v>
      </c>
      <c r="K981" s="18">
        <v>77</v>
      </c>
      <c r="L981" s="16">
        <v>190</v>
      </c>
      <c r="M981" s="6" t="str" cm="1">
        <f t="array" ref="M981">_xlfn.IFS(L981&lt;100,"Economy",L981&lt;200,"Standard",L981&lt;350,"Powerful",L981&lt;500,"High Performance",L981&lt;800,"Sports Performance",L981&gt;=800,"Super Performance")</f>
        <v>Standard</v>
      </c>
    </row>
    <row r="982" spans="1:13" x14ac:dyDescent="0.25">
      <c r="A982" s="5" t="s">
        <v>202</v>
      </c>
      <c r="B982" s="3" t="s">
        <v>968</v>
      </c>
      <c r="C982" s="3" t="s">
        <v>1133</v>
      </c>
      <c r="D982" s="4">
        <v>748128</v>
      </c>
      <c r="E982" s="3">
        <v>1198</v>
      </c>
      <c r="F982" s="3">
        <v>3</v>
      </c>
      <c r="G982" s="3" t="s">
        <v>36</v>
      </c>
      <c r="H982" s="3" t="s">
        <v>11</v>
      </c>
      <c r="I982" s="3">
        <v>5</v>
      </c>
      <c r="J982" s="3" t="s">
        <v>12</v>
      </c>
      <c r="K982" s="18">
        <v>77</v>
      </c>
      <c r="L982" s="16">
        <v>190</v>
      </c>
      <c r="M982" s="6" t="str" cm="1">
        <f t="array" ref="M982">_xlfn.IFS(L982&lt;100,"Economy",L982&lt;200,"Standard",L982&lt;350,"Powerful",L982&lt;500,"High Performance",L982&lt;800,"Sports Performance",L982&gt;=800,"Super Performance")</f>
        <v>Standard</v>
      </c>
    </row>
    <row r="983" spans="1:13" x14ac:dyDescent="0.25">
      <c r="A983" s="5" t="s">
        <v>202</v>
      </c>
      <c r="B983" s="3" t="s">
        <v>968</v>
      </c>
      <c r="C983" s="3" t="s">
        <v>1134</v>
      </c>
      <c r="D983" s="4">
        <v>780884</v>
      </c>
      <c r="E983" s="3">
        <v>1198</v>
      </c>
      <c r="F983" s="3">
        <v>3</v>
      </c>
      <c r="G983" s="3" t="s">
        <v>36</v>
      </c>
      <c r="H983" s="3" t="s">
        <v>11</v>
      </c>
      <c r="I983" s="3">
        <v>5</v>
      </c>
      <c r="J983" s="3" t="s">
        <v>12</v>
      </c>
      <c r="K983" s="18">
        <v>77</v>
      </c>
      <c r="L983" s="16">
        <v>190</v>
      </c>
      <c r="M983" s="6" t="str" cm="1">
        <f t="array" ref="M983">_xlfn.IFS(L983&lt;100,"Economy",L983&lt;200,"Standard",L983&lt;350,"Powerful",L983&lt;500,"High Performance",L983&lt;800,"Sports Performance",L983&gt;=800,"Super Performance")</f>
        <v>Standard</v>
      </c>
    </row>
    <row r="984" spans="1:13" x14ac:dyDescent="0.25">
      <c r="A984" s="5" t="s">
        <v>202</v>
      </c>
      <c r="B984" s="3" t="s">
        <v>968</v>
      </c>
      <c r="C984" s="3" t="s">
        <v>1135</v>
      </c>
      <c r="D984" s="4">
        <v>550155</v>
      </c>
      <c r="E984" s="3">
        <v>1198</v>
      </c>
      <c r="F984" s="3">
        <v>3</v>
      </c>
      <c r="G984" s="3" t="s">
        <v>36</v>
      </c>
      <c r="H984" s="3" t="s">
        <v>11</v>
      </c>
      <c r="I984" s="3">
        <v>5</v>
      </c>
      <c r="J984" s="3" t="s">
        <v>12</v>
      </c>
      <c r="K984" s="18">
        <v>77</v>
      </c>
      <c r="L984" s="16">
        <v>190</v>
      </c>
      <c r="M984" s="6" t="str" cm="1">
        <f t="array" ref="M984">_xlfn.IFS(L984&lt;100,"Economy",L984&lt;200,"Standard",L984&lt;350,"Powerful",L984&lt;500,"High Performance",L984&lt;800,"Sports Performance",L984&gt;=800,"Super Performance")</f>
        <v>Standard</v>
      </c>
    </row>
    <row r="985" spans="1:13" x14ac:dyDescent="0.25">
      <c r="A985" s="5" t="s">
        <v>202</v>
      </c>
      <c r="B985" s="3" t="s">
        <v>968</v>
      </c>
      <c r="C985" s="3" t="s">
        <v>1136</v>
      </c>
      <c r="D985" s="4">
        <v>524312</v>
      </c>
      <c r="E985" s="3">
        <v>1198</v>
      </c>
      <c r="F985" s="3">
        <v>3</v>
      </c>
      <c r="G985" s="3" t="s">
        <v>10</v>
      </c>
      <c r="H985" s="3" t="s">
        <v>11</v>
      </c>
      <c r="I985" s="3">
        <v>5</v>
      </c>
      <c r="J985" s="3" t="s">
        <v>12</v>
      </c>
      <c r="K985" s="18">
        <v>82</v>
      </c>
      <c r="L985" s="16">
        <v>115</v>
      </c>
      <c r="M985" s="6" t="str" cm="1">
        <f t="array" ref="M985">_xlfn.IFS(L985&lt;100,"Economy",L985&lt;200,"Standard",L985&lt;350,"Powerful",L985&lt;500,"High Performance",L985&lt;800,"Sports Performance",L985&gt;=800,"Super Performance")</f>
        <v>Standard</v>
      </c>
    </row>
    <row r="986" spans="1:13" x14ac:dyDescent="0.25">
      <c r="A986" s="5" t="s">
        <v>22</v>
      </c>
      <c r="B986" s="3" t="s">
        <v>1137</v>
      </c>
      <c r="C986" s="3" t="s">
        <v>1116</v>
      </c>
      <c r="D986" s="4">
        <v>650000</v>
      </c>
      <c r="E986" s="3">
        <v>1199</v>
      </c>
      <c r="F986" s="3">
        <v>3</v>
      </c>
      <c r="G986" s="3" t="s">
        <v>10</v>
      </c>
      <c r="H986" s="3" t="s">
        <v>27</v>
      </c>
      <c r="I986" s="3">
        <v>5</v>
      </c>
      <c r="J986" s="3" t="s">
        <v>12</v>
      </c>
      <c r="K986" s="18">
        <v>86</v>
      </c>
      <c r="L986" s="16">
        <v>113</v>
      </c>
      <c r="M986" s="6" t="str" cm="1">
        <f t="array" ref="M986">_xlfn.IFS(L986&lt;100,"Economy",L986&lt;200,"Standard",L986&lt;350,"Powerful",L986&lt;500,"High Performance",L986&lt;800,"Sports Performance",L986&gt;=800,"Super Performance")</f>
        <v>Standard</v>
      </c>
    </row>
    <row r="987" spans="1:13" x14ac:dyDescent="0.25">
      <c r="A987" s="5" t="s">
        <v>22</v>
      </c>
      <c r="B987" s="3" t="s">
        <v>1137</v>
      </c>
      <c r="C987" s="3" t="s">
        <v>1117</v>
      </c>
      <c r="D987" s="4">
        <v>699000</v>
      </c>
      <c r="E987" s="3">
        <v>1199</v>
      </c>
      <c r="F987" s="3">
        <v>3</v>
      </c>
      <c r="G987" s="3" t="s">
        <v>10</v>
      </c>
      <c r="H987" s="3" t="s">
        <v>27</v>
      </c>
      <c r="I987" s="3">
        <v>5</v>
      </c>
      <c r="J987" s="3" t="s">
        <v>12</v>
      </c>
      <c r="K987" s="18">
        <v>86</v>
      </c>
      <c r="L987" s="16">
        <v>113</v>
      </c>
      <c r="M987" s="6" t="str" cm="1">
        <f t="array" ref="M987">_xlfn.IFS(L987&lt;100,"Economy",L987&lt;200,"Standard",L987&lt;350,"Powerful",L987&lt;500,"High Performance",L987&lt;800,"Sports Performance",L987&gt;=800,"Super Performance")</f>
        <v>Standard</v>
      </c>
    </row>
    <row r="988" spans="1:13" x14ac:dyDescent="0.25">
      <c r="A988" s="5" t="s">
        <v>22</v>
      </c>
      <c r="B988" s="3" t="s">
        <v>1137</v>
      </c>
      <c r="C988" s="3" t="s">
        <v>1120</v>
      </c>
      <c r="D988" s="4">
        <v>749000</v>
      </c>
      <c r="E988" s="3">
        <v>1199</v>
      </c>
      <c r="F988" s="3">
        <v>3</v>
      </c>
      <c r="G988" s="3" t="s">
        <v>10</v>
      </c>
      <c r="H988" s="3" t="s">
        <v>27</v>
      </c>
      <c r="I988" s="3">
        <v>5</v>
      </c>
      <c r="J988" s="3" t="s">
        <v>17</v>
      </c>
      <c r="K988" s="18">
        <v>86</v>
      </c>
      <c r="L988" s="16">
        <v>113</v>
      </c>
      <c r="M988" s="6" t="str" cm="1">
        <f t="array" ref="M988">_xlfn.IFS(L988&lt;100,"Economy",L988&lt;200,"Standard",L988&lt;350,"Powerful",L988&lt;500,"High Performance",L988&lt;800,"Sports Performance",L988&gt;=800,"Super Performance")</f>
        <v>Standard</v>
      </c>
    </row>
    <row r="989" spans="1:13" x14ac:dyDescent="0.25">
      <c r="A989" s="5" t="s">
        <v>382</v>
      </c>
      <c r="B989" s="3" t="s">
        <v>1138</v>
      </c>
      <c r="C989" s="3" t="s">
        <v>1139</v>
      </c>
      <c r="D989" s="4">
        <v>5990000</v>
      </c>
      <c r="E989" s="3">
        <v>1969</v>
      </c>
      <c r="F989" s="3">
        <v>5</v>
      </c>
      <c r="G989" s="3" t="s">
        <v>36</v>
      </c>
      <c r="H989" s="3" t="s">
        <v>66</v>
      </c>
      <c r="I989" s="3">
        <v>5</v>
      </c>
      <c r="J989" s="3" t="s">
        <v>30</v>
      </c>
      <c r="K989" s="18">
        <v>233</v>
      </c>
      <c r="L989" s="16">
        <v>480</v>
      </c>
      <c r="M989" s="6" t="str" cm="1">
        <f t="array" ref="M989">_xlfn.IFS(L989&lt;100,"Economy",L989&lt;200,"Standard",L989&lt;350,"Powerful",L989&lt;500,"High Performance",L989&lt;800,"Sports Performance",L989&gt;=800,"Super Performance")</f>
        <v>High Performance</v>
      </c>
    </row>
    <row r="990" spans="1:13" x14ac:dyDescent="0.25">
      <c r="A990" s="5" t="s">
        <v>280</v>
      </c>
      <c r="B990" s="3" t="s">
        <v>1140</v>
      </c>
      <c r="C990" s="3" t="s">
        <v>1141</v>
      </c>
      <c r="D990" s="4">
        <v>9738609</v>
      </c>
      <c r="E990" s="3">
        <v>2993</v>
      </c>
      <c r="F990" s="3">
        <v>6</v>
      </c>
      <c r="G990" s="3" t="s">
        <v>36</v>
      </c>
      <c r="H990" s="3" t="s">
        <v>27</v>
      </c>
      <c r="I990" s="3">
        <v>5</v>
      </c>
      <c r="J990" s="3" t="s">
        <v>30</v>
      </c>
      <c r="K990" s="18">
        <v>274</v>
      </c>
      <c r="L990" s="16">
        <v>600</v>
      </c>
      <c r="M990" s="6" t="str" cm="1">
        <f t="array" ref="M990">_xlfn.IFS(L990&lt;100,"Economy",L990&lt;200,"Standard",L990&lt;350,"Powerful",L990&lt;500,"High Performance",L990&lt;800,"Sports Performance",L990&gt;=800,"Super Performance")</f>
        <v>Sports Performance</v>
      </c>
    </row>
    <row r="991" spans="1:13" x14ac:dyDescent="0.25">
      <c r="A991" s="5" t="s">
        <v>382</v>
      </c>
      <c r="B991" s="3" t="s">
        <v>1142</v>
      </c>
      <c r="C991" s="3" t="s">
        <v>1143</v>
      </c>
      <c r="D991" s="4">
        <v>3283000</v>
      </c>
      <c r="E991" s="3">
        <v>1984</v>
      </c>
      <c r="F991" s="3">
        <v>5</v>
      </c>
      <c r="G991" s="3" t="s">
        <v>36</v>
      </c>
      <c r="H991" s="3" t="s">
        <v>11</v>
      </c>
      <c r="I991" s="3">
        <v>5</v>
      </c>
      <c r="J991" s="3" t="s">
        <v>30</v>
      </c>
      <c r="K991" s="18">
        <v>150</v>
      </c>
      <c r="L991" s="16">
        <v>350</v>
      </c>
      <c r="M991" s="6" t="str" cm="1">
        <f t="array" ref="M991">_xlfn.IFS(L991&lt;100,"Economy",L991&lt;200,"Standard",L991&lt;350,"Powerful",L991&lt;500,"High Performance",L991&lt;800,"Sports Performance",L991&gt;=800,"Super Performance")</f>
        <v>High Performance</v>
      </c>
    </row>
    <row r="992" spans="1:13" x14ac:dyDescent="0.25">
      <c r="A992" s="5" t="s">
        <v>280</v>
      </c>
      <c r="B992" s="3" t="s">
        <v>1140</v>
      </c>
      <c r="C992" s="3">
        <v>50</v>
      </c>
      <c r="D992" s="4">
        <v>11129599</v>
      </c>
      <c r="E992" s="3">
        <v>2993</v>
      </c>
      <c r="F992" s="3">
        <v>6</v>
      </c>
      <c r="G992" s="3" t="s">
        <v>36</v>
      </c>
      <c r="H992" s="3" t="s">
        <v>27</v>
      </c>
      <c r="I992" s="3">
        <v>5</v>
      </c>
      <c r="J992" s="3" t="s">
        <v>30</v>
      </c>
      <c r="K992" s="18">
        <v>302</v>
      </c>
      <c r="L992" s="16">
        <v>689</v>
      </c>
      <c r="M992" s="6" t="str" cm="1">
        <f t="array" ref="M992">_xlfn.IFS(L992&lt;100,"Economy",L992&lt;200,"Standard",L992&lt;350,"Powerful",L992&lt;500,"High Performance",L992&lt;800,"Sports Performance",L992&gt;=800,"Super Performance")</f>
        <v>Sports Performance</v>
      </c>
    </row>
    <row r="993" spans="1:13" x14ac:dyDescent="0.25">
      <c r="A993" s="5" t="s">
        <v>146</v>
      </c>
      <c r="B993" s="3" t="s">
        <v>585</v>
      </c>
      <c r="C993" s="3" t="s">
        <v>1144</v>
      </c>
      <c r="D993" s="4">
        <v>40499548</v>
      </c>
      <c r="E993" s="3">
        <v>4999</v>
      </c>
      <c r="F993" s="3">
        <v>8</v>
      </c>
      <c r="G993" s="3" t="s">
        <v>10</v>
      </c>
      <c r="H993" s="3" t="s">
        <v>66</v>
      </c>
      <c r="I993" s="3">
        <v>5</v>
      </c>
      <c r="J993" s="3" t="s">
        <v>30</v>
      </c>
      <c r="K993" s="18">
        <v>558</v>
      </c>
      <c r="L993" s="16">
        <v>700</v>
      </c>
      <c r="M993" s="6" t="str" cm="1">
        <f t="array" ref="M993">_xlfn.IFS(L993&lt;100,"Economy",L993&lt;200,"Standard",L993&lt;350,"Powerful",L993&lt;500,"High Performance",L993&lt;800,"Sports Performance",L993&gt;=800,"Super Performance")</f>
        <v>Sports Performance</v>
      </c>
    </row>
    <row r="994" spans="1:13" x14ac:dyDescent="0.25">
      <c r="A994" s="5" t="s">
        <v>280</v>
      </c>
      <c r="B994" s="3" t="s">
        <v>1140</v>
      </c>
      <c r="C994" s="3" t="s">
        <v>1145</v>
      </c>
      <c r="D994" s="4">
        <v>10725145</v>
      </c>
      <c r="E994" s="3">
        <v>2993</v>
      </c>
      <c r="F994" s="3">
        <v>6</v>
      </c>
      <c r="G994" s="3" t="s">
        <v>36</v>
      </c>
      <c r="H994" s="3" t="s">
        <v>27</v>
      </c>
      <c r="I994" s="3">
        <v>5</v>
      </c>
      <c r="J994" s="3" t="s">
        <v>30</v>
      </c>
      <c r="K994" s="18">
        <v>274</v>
      </c>
      <c r="L994" s="16">
        <v>600</v>
      </c>
      <c r="M994" s="6" t="str" cm="1">
        <f t="array" ref="M994">_xlfn.IFS(L994&lt;100,"Economy",L994&lt;200,"Standard",L994&lt;350,"Powerful",L994&lt;500,"High Performance",L994&lt;800,"Sports Performance",L994&gt;=800,"Super Performance")</f>
        <v>Sports Performance</v>
      </c>
    </row>
    <row r="995" spans="1:13" x14ac:dyDescent="0.25">
      <c r="A995" s="5" t="s">
        <v>146</v>
      </c>
      <c r="B995" s="3" t="s">
        <v>585</v>
      </c>
      <c r="C995" s="3" t="s">
        <v>1146</v>
      </c>
      <c r="D995" s="4">
        <v>32522000</v>
      </c>
      <c r="E995" s="3">
        <v>4999</v>
      </c>
      <c r="F995" s="3">
        <v>8</v>
      </c>
      <c r="G995" s="3" t="s">
        <v>10</v>
      </c>
      <c r="H995" s="3" t="s">
        <v>66</v>
      </c>
      <c r="I995" s="3">
        <v>5</v>
      </c>
      <c r="J995" s="3" t="s">
        <v>30</v>
      </c>
      <c r="K995" s="18">
        <v>558</v>
      </c>
      <c r="L995" s="16">
        <v>700</v>
      </c>
      <c r="M995" s="6" t="str" cm="1">
        <f t="array" ref="M995">_xlfn.IFS(L995&lt;100,"Economy",L995&lt;200,"Standard",L995&lt;350,"Powerful",L995&lt;500,"High Performance",L995&lt;800,"Sports Performance",L995&gt;=800,"Super Performance")</f>
        <v>Sports Performance</v>
      </c>
    </row>
    <row r="996" spans="1:13" x14ac:dyDescent="0.25">
      <c r="A996" s="5" t="s">
        <v>93</v>
      </c>
      <c r="B996" s="3" t="s">
        <v>1147</v>
      </c>
      <c r="C996" s="3" t="s">
        <v>1148</v>
      </c>
      <c r="D996" s="4">
        <v>354235</v>
      </c>
      <c r="E996" s="3">
        <v>796</v>
      </c>
      <c r="F996" s="3">
        <v>3</v>
      </c>
      <c r="G996" s="3" t="s">
        <v>10</v>
      </c>
      <c r="H996" s="3" t="s">
        <v>11</v>
      </c>
      <c r="I996" s="3">
        <v>5</v>
      </c>
      <c r="J996" s="3" t="s">
        <v>12</v>
      </c>
      <c r="K996" s="18">
        <v>48</v>
      </c>
      <c r="L996" s="16">
        <v>69</v>
      </c>
      <c r="M996" s="6" t="str" cm="1">
        <f t="array" ref="M996">_xlfn.IFS(L996&lt;100,"Economy",L996&lt;200,"Standard",L996&lt;350,"Powerful",L996&lt;500,"High Performance",L996&lt;800,"Sports Performance",L996&gt;=800,"Super Performance")</f>
        <v>Economy</v>
      </c>
    </row>
    <row r="997" spans="1:13" x14ac:dyDescent="0.25">
      <c r="A997" s="5" t="s">
        <v>93</v>
      </c>
      <c r="B997" s="3" t="s">
        <v>1147</v>
      </c>
      <c r="C997" s="3" t="s">
        <v>1149</v>
      </c>
      <c r="D997" s="4">
        <v>356559</v>
      </c>
      <c r="E997" s="3">
        <v>796</v>
      </c>
      <c r="F997" s="3">
        <v>3</v>
      </c>
      <c r="G997" s="3" t="s">
        <v>10</v>
      </c>
      <c r="H997" s="3" t="s">
        <v>11</v>
      </c>
      <c r="I997" s="3">
        <v>5</v>
      </c>
      <c r="J997" s="3" t="s">
        <v>12</v>
      </c>
      <c r="K997" s="18">
        <v>48</v>
      </c>
      <c r="L997" s="16">
        <v>69</v>
      </c>
      <c r="M997" s="6" t="str" cm="1">
        <f t="array" ref="M997">_xlfn.IFS(L997&lt;100,"Economy",L997&lt;200,"Standard",L997&lt;350,"Powerful",L997&lt;500,"High Performance",L997&lt;800,"Sports Performance",L997&gt;=800,"Super Performance")</f>
        <v>Economy</v>
      </c>
    </row>
    <row r="998" spans="1:13" x14ac:dyDescent="0.25">
      <c r="A998" s="5" t="s">
        <v>78</v>
      </c>
      <c r="B998" s="3" t="s">
        <v>401</v>
      </c>
      <c r="C998" s="3" t="s">
        <v>1150</v>
      </c>
      <c r="D998" s="4">
        <v>6680000</v>
      </c>
      <c r="E998" s="3">
        <v>2993</v>
      </c>
      <c r="F998" s="3">
        <v>6</v>
      </c>
      <c r="G998" s="3" t="s">
        <v>36</v>
      </c>
      <c r="H998" s="3" t="s">
        <v>27</v>
      </c>
      <c r="I998" s="3">
        <v>5</v>
      </c>
      <c r="J998" s="3" t="s">
        <v>30</v>
      </c>
      <c r="K998" s="18">
        <v>258</v>
      </c>
      <c r="L998" s="16">
        <v>560</v>
      </c>
      <c r="M998" s="6" t="str" cm="1">
        <f t="array" ref="M998">_xlfn.IFS(L998&lt;100,"Economy",L998&lt;200,"Standard",L998&lt;350,"Powerful",L998&lt;500,"High Performance",L998&lt;800,"Sports Performance",L998&gt;=800,"Super Performance")</f>
        <v>Sports Performance</v>
      </c>
    </row>
    <row r="999" spans="1:13" x14ac:dyDescent="0.25">
      <c r="A999" s="5" t="s">
        <v>93</v>
      </c>
      <c r="B999" s="3" t="s">
        <v>699</v>
      </c>
      <c r="C999" s="3" t="s">
        <v>1151</v>
      </c>
      <c r="D999" s="4">
        <v>352136</v>
      </c>
      <c r="E999" s="3">
        <v>1196</v>
      </c>
      <c r="F999" s="3">
        <v>4</v>
      </c>
      <c r="G999" s="3" t="s">
        <v>10</v>
      </c>
      <c r="H999" s="3" t="s">
        <v>226</v>
      </c>
      <c r="I999" s="3">
        <v>5</v>
      </c>
      <c r="J999" s="3" t="s">
        <v>12</v>
      </c>
      <c r="K999" s="18">
        <v>73</v>
      </c>
      <c r="L999" s="16">
        <v>101</v>
      </c>
      <c r="M999" s="6" t="str" cm="1">
        <f t="array" ref="M999">_xlfn.IFS(L999&lt;100,"Economy",L999&lt;200,"Standard",L999&lt;350,"Powerful",L999&lt;500,"High Performance",L999&lt;800,"Sports Performance",L999&gt;=800,"Super Performance")</f>
        <v>Standard</v>
      </c>
    </row>
    <row r="1000" spans="1:13" x14ac:dyDescent="0.25">
      <c r="A1000" s="5" t="s">
        <v>90</v>
      </c>
      <c r="B1000" s="3" t="s">
        <v>1152</v>
      </c>
      <c r="C1000" s="3" t="s">
        <v>625</v>
      </c>
      <c r="D1000" s="4">
        <v>75400000</v>
      </c>
      <c r="E1000" s="3">
        <v>6749</v>
      </c>
      <c r="F1000" s="3">
        <v>12</v>
      </c>
      <c r="G1000" s="3" t="s">
        <v>10</v>
      </c>
      <c r="H1000" s="3" t="s">
        <v>27</v>
      </c>
      <c r="I1000" s="3">
        <v>5</v>
      </c>
      <c r="J1000" s="3" t="s">
        <v>30</v>
      </c>
      <c r="K1000" s="18">
        <v>460</v>
      </c>
      <c r="L1000" s="16">
        <v>720</v>
      </c>
      <c r="M1000" s="6" t="str" cm="1">
        <f t="array" ref="M1000">_xlfn.IFS(L1000&lt;100,"Economy",L1000&lt;200,"Standard",L1000&lt;350,"Powerful",L1000&lt;500,"High Performance",L1000&lt;800,"Sports Performance",L1000&gt;=800,"Super Performance")</f>
        <v>Sports Performance</v>
      </c>
    </row>
    <row r="1001" spans="1:13" x14ac:dyDescent="0.25">
      <c r="A1001" s="5" t="s">
        <v>90</v>
      </c>
      <c r="B1001" s="3" t="s">
        <v>1152</v>
      </c>
      <c r="C1001" s="3" t="s">
        <v>27</v>
      </c>
      <c r="D1001" s="4">
        <v>95000000</v>
      </c>
      <c r="E1001" s="3">
        <v>6749</v>
      </c>
      <c r="F1001" s="3">
        <v>12</v>
      </c>
      <c r="G1001" s="3" t="s">
        <v>10</v>
      </c>
      <c r="H1001" s="3" t="s">
        <v>27</v>
      </c>
      <c r="I1001" s="3">
        <v>5</v>
      </c>
      <c r="J1001" s="3" t="s">
        <v>30</v>
      </c>
      <c r="K1001" s="18">
        <v>460</v>
      </c>
      <c r="L1001" s="16">
        <v>720</v>
      </c>
      <c r="M1001" s="6" t="str" cm="1">
        <f t="array" ref="M1001">_xlfn.IFS(L1001&lt;100,"Economy",L1001&lt;200,"Standard",L1001&lt;350,"Powerful",L1001&lt;500,"High Performance",L1001&lt;800,"Sports Performance",L1001&gt;=800,"Super Performance")</f>
        <v>Sports Performance</v>
      </c>
    </row>
    <row r="1002" spans="1:13" x14ac:dyDescent="0.25">
      <c r="A1002" s="5" t="s">
        <v>93</v>
      </c>
      <c r="B1002" s="3" t="s">
        <v>448</v>
      </c>
      <c r="C1002" s="3" t="s">
        <v>1153</v>
      </c>
      <c r="D1002" s="4">
        <v>607841</v>
      </c>
      <c r="E1002" s="3">
        <v>1197</v>
      </c>
      <c r="F1002" s="3">
        <v>4</v>
      </c>
      <c r="G1002" s="3" t="s">
        <v>10</v>
      </c>
      <c r="H1002" s="3" t="s">
        <v>11</v>
      </c>
      <c r="I1002" s="3">
        <v>5</v>
      </c>
      <c r="J1002" s="3" t="s">
        <v>17</v>
      </c>
      <c r="K1002" s="18">
        <v>83</v>
      </c>
      <c r="L1002" s="16">
        <v>113</v>
      </c>
      <c r="M1002" s="6" t="str" cm="1">
        <f t="array" ref="M1002">_xlfn.IFS(L1002&lt;100,"Economy",L1002&lt;200,"Standard",L1002&lt;350,"Powerful",L1002&lt;500,"High Performance",L1002&lt;800,"Sports Performance",L1002&gt;=800,"Super Performance")</f>
        <v>Standard</v>
      </c>
    </row>
    <row r="1003" spans="1:13" x14ac:dyDescent="0.25">
      <c r="A1003" s="5" t="s">
        <v>93</v>
      </c>
      <c r="B1003" s="3" t="s">
        <v>699</v>
      </c>
      <c r="C1003" s="3" t="s">
        <v>1154</v>
      </c>
      <c r="D1003" s="4">
        <v>392967</v>
      </c>
      <c r="E1003" s="3">
        <v>1196</v>
      </c>
      <c r="F1003" s="3">
        <v>4</v>
      </c>
      <c r="G1003" s="3" t="s">
        <v>10</v>
      </c>
      <c r="H1003" s="3" t="s">
        <v>226</v>
      </c>
      <c r="I1003" s="3">
        <v>5</v>
      </c>
      <c r="J1003" s="3" t="s">
        <v>12</v>
      </c>
      <c r="K1003" s="18">
        <v>73</v>
      </c>
      <c r="L1003" s="16">
        <v>101</v>
      </c>
      <c r="M1003" s="6" t="str" cm="1">
        <f t="array" ref="M1003">_xlfn.IFS(L1003&lt;100,"Economy",L1003&lt;200,"Standard",L1003&lt;350,"Powerful",L1003&lt;500,"High Performance",L1003&lt;800,"Sports Performance",L1003&gt;=800,"Super Performance")</f>
        <v>Standard</v>
      </c>
    </row>
    <row r="1004" spans="1:13" x14ac:dyDescent="0.25">
      <c r="A1004" s="5" t="s">
        <v>93</v>
      </c>
      <c r="B1004" s="3" t="s">
        <v>448</v>
      </c>
      <c r="C1004" s="3" t="s">
        <v>1155</v>
      </c>
      <c r="D1004" s="4">
        <v>560841</v>
      </c>
      <c r="E1004" s="3">
        <v>1197</v>
      </c>
      <c r="F1004" s="3">
        <v>4</v>
      </c>
      <c r="G1004" s="3" t="s">
        <v>10</v>
      </c>
      <c r="H1004" s="3" t="s">
        <v>11</v>
      </c>
      <c r="I1004" s="3">
        <v>5</v>
      </c>
      <c r="J1004" s="3" t="s">
        <v>12</v>
      </c>
      <c r="K1004" s="18">
        <v>83</v>
      </c>
      <c r="L1004" s="16">
        <v>113</v>
      </c>
      <c r="M1004" s="6" t="str" cm="1">
        <f t="array" ref="M1004">_xlfn.IFS(L1004&lt;100,"Economy",L1004&lt;200,"Standard",L1004&lt;350,"Powerful",L1004&lt;500,"High Performance",L1004&lt;800,"Sports Performance",L1004&gt;=800,"Super Performance")</f>
        <v>Standard</v>
      </c>
    </row>
    <row r="1005" spans="1:13" x14ac:dyDescent="0.25">
      <c r="A1005" s="5" t="s">
        <v>1156</v>
      </c>
      <c r="B1005" s="3" t="s">
        <v>1157</v>
      </c>
      <c r="C1005" s="3" t="s">
        <v>1158</v>
      </c>
      <c r="D1005" s="4">
        <v>506000</v>
      </c>
      <c r="E1005" s="3">
        <v>1173</v>
      </c>
      <c r="F1005" s="3">
        <v>4</v>
      </c>
      <c r="G1005" s="3" t="s">
        <v>10</v>
      </c>
      <c r="H1005" s="3" t="s">
        <v>66</v>
      </c>
      <c r="I1005" s="3">
        <v>5</v>
      </c>
      <c r="J1005" s="3" t="s">
        <v>12</v>
      </c>
      <c r="K1005" s="18">
        <v>76.599999999999994</v>
      </c>
      <c r="L1005" s="16">
        <v>103.9</v>
      </c>
      <c r="M1005" s="6" t="str" cm="1">
        <f t="array" ref="M1005">_xlfn.IFS(L1005&lt;100,"Economy",L1005&lt;200,"Standard",L1005&lt;350,"Powerful",L1005&lt;500,"High Performance",L1005&lt;800,"Sports Performance",L1005&gt;=800,"Super Performance")</f>
        <v>Standard</v>
      </c>
    </row>
    <row r="1006" spans="1:13" x14ac:dyDescent="0.25">
      <c r="A1006" s="5" t="s">
        <v>1156</v>
      </c>
      <c r="B1006" s="3" t="s">
        <v>1157</v>
      </c>
      <c r="C1006" s="3" t="s">
        <v>881</v>
      </c>
      <c r="D1006" s="4">
        <v>739000</v>
      </c>
      <c r="E1006" s="3">
        <v>1489</v>
      </c>
      <c r="F1006" s="3">
        <v>4</v>
      </c>
      <c r="G1006" s="3" t="s">
        <v>36</v>
      </c>
      <c r="H1006" s="3" t="s">
        <v>66</v>
      </c>
      <c r="I1006" s="3">
        <v>5</v>
      </c>
      <c r="J1006" s="3" t="s">
        <v>12</v>
      </c>
      <c r="K1006" s="18">
        <v>64</v>
      </c>
      <c r="L1006" s="16">
        <v>152</v>
      </c>
      <c r="M1006" s="6" t="str" cm="1">
        <f t="array" ref="M1006">_xlfn.IFS(L1006&lt;100,"Economy",L1006&lt;200,"Standard",L1006&lt;350,"Powerful",L1006&lt;500,"High Performance",L1006&lt;800,"Sports Performance",L1006&gt;=800,"Super Performance")</f>
        <v>Standard</v>
      </c>
    </row>
    <row r="1007" spans="1:13" x14ac:dyDescent="0.25">
      <c r="A1007" s="5" t="s">
        <v>1156</v>
      </c>
      <c r="B1007" s="3" t="s">
        <v>1157</v>
      </c>
      <c r="C1007" s="3" t="s">
        <v>1159</v>
      </c>
      <c r="D1007" s="4">
        <v>603000</v>
      </c>
      <c r="E1007" s="3">
        <v>1489</v>
      </c>
      <c r="F1007" s="3">
        <v>4</v>
      </c>
      <c r="G1007" s="3" t="s">
        <v>36</v>
      </c>
      <c r="H1007" s="3" t="s">
        <v>66</v>
      </c>
      <c r="I1007" s="3">
        <v>5</v>
      </c>
      <c r="J1007" s="3" t="s">
        <v>12</v>
      </c>
      <c r="K1007" s="18">
        <v>64</v>
      </c>
      <c r="L1007" s="16">
        <v>152</v>
      </c>
      <c r="M1007" s="6" t="str" cm="1">
        <f t="array" ref="M1007">_xlfn.IFS(L1007&lt;100,"Economy",L1007&lt;200,"Standard",L1007&lt;350,"Powerful",L1007&lt;500,"High Performance",L1007&lt;800,"Sports Performance",L1007&gt;=800,"Super Performance")</f>
        <v>Standard</v>
      </c>
    </row>
    <row r="1008" spans="1:13" x14ac:dyDescent="0.25">
      <c r="A1008" s="5" t="s">
        <v>1156</v>
      </c>
      <c r="B1008" s="3" t="s">
        <v>1157</v>
      </c>
      <c r="C1008" s="3" t="s">
        <v>1104</v>
      </c>
      <c r="D1008" s="4">
        <v>568623</v>
      </c>
      <c r="E1008" s="3">
        <v>1489</v>
      </c>
      <c r="F1008" s="3">
        <v>4</v>
      </c>
      <c r="G1008" s="3" t="s">
        <v>36</v>
      </c>
      <c r="H1008" s="3" t="s">
        <v>66</v>
      </c>
      <c r="I1008" s="3">
        <v>5</v>
      </c>
      <c r="J1008" s="3" t="s">
        <v>12</v>
      </c>
      <c r="K1008" s="18">
        <v>64</v>
      </c>
      <c r="L1008" s="16">
        <v>152</v>
      </c>
      <c r="M1008" s="6" t="str" cm="1">
        <f t="array" ref="M1008">_xlfn.IFS(L1008&lt;100,"Economy",L1008&lt;200,"Standard",L1008&lt;350,"Powerful",L1008&lt;500,"High Performance",L1008&lt;800,"Sports Performance",L1008&gt;=800,"Super Performance")</f>
        <v>Standard</v>
      </c>
    </row>
    <row r="1009" spans="1:13" x14ac:dyDescent="0.25">
      <c r="A1009" s="5" t="s">
        <v>1156</v>
      </c>
      <c r="B1009" s="3" t="s">
        <v>1157</v>
      </c>
      <c r="C1009" s="3" t="s">
        <v>1160</v>
      </c>
      <c r="D1009" s="4">
        <v>670000</v>
      </c>
      <c r="E1009" s="3">
        <v>1173</v>
      </c>
      <c r="F1009" s="3">
        <v>4</v>
      </c>
      <c r="G1009" s="3" t="s">
        <v>10</v>
      </c>
      <c r="H1009" s="3" t="s">
        <v>66</v>
      </c>
      <c r="I1009" s="3">
        <v>5</v>
      </c>
      <c r="J1009" s="3" t="s">
        <v>12</v>
      </c>
      <c r="K1009" s="18">
        <v>76.599999999999994</v>
      </c>
      <c r="L1009" s="16">
        <v>103.9</v>
      </c>
      <c r="M1009" s="6" t="str" cm="1">
        <f t="array" ref="M1009">_xlfn.IFS(L1009&lt;100,"Economy",L1009&lt;200,"Standard",L1009&lt;350,"Powerful",L1009&lt;500,"High Performance",L1009&lt;800,"Sports Performance",L1009&gt;=800,"Super Performance")</f>
        <v>Standard</v>
      </c>
    </row>
    <row r="1010" spans="1:13" x14ac:dyDescent="0.25">
      <c r="A1010" s="5" t="s">
        <v>55</v>
      </c>
      <c r="B1010" s="3" t="s">
        <v>1161</v>
      </c>
      <c r="C1010" s="3" t="s">
        <v>1162</v>
      </c>
      <c r="D1010" s="4">
        <v>647800</v>
      </c>
      <c r="E1010" s="3">
        <v>1364</v>
      </c>
      <c r="F1010" s="3">
        <v>4</v>
      </c>
      <c r="G1010" s="3" t="s">
        <v>36</v>
      </c>
      <c r="H1010" s="3" t="s">
        <v>11</v>
      </c>
      <c r="I1010" s="3">
        <v>5</v>
      </c>
      <c r="J1010" s="3" t="s">
        <v>12</v>
      </c>
      <c r="K1010" s="18">
        <v>68</v>
      </c>
      <c r="L1010" s="16">
        <v>170</v>
      </c>
      <c r="M1010" s="6" t="str" cm="1">
        <f t="array" ref="M1010">_xlfn.IFS(L1010&lt;100,"Economy",L1010&lt;200,"Standard",L1010&lt;350,"Powerful",L1010&lt;500,"High Performance",L1010&lt;800,"Sports Performance",L1010&gt;=800,"Super Performance")</f>
        <v>Standard</v>
      </c>
    </row>
    <row r="1011" spans="1:13" x14ac:dyDescent="0.25">
      <c r="A1011" s="5" t="s">
        <v>55</v>
      </c>
      <c r="B1011" s="3" t="s">
        <v>1161</v>
      </c>
      <c r="C1011" s="3" t="s">
        <v>58</v>
      </c>
      <c r="D1011" s="4">
        <v>581000</v>
      </c>
      <c r="E1011" s="3">
        <v>1197</v>
      </c>
      <c r="F1011" s="3">
        <v>4</v>
      </c>
      <c r="G1011" s="3" t="s">
        <v>10</v>
      </c>
      <c r="H1011" s="3" t="s">
        <v>11</v>
      </c>
      <c r="I1011" s="3">
        <v>5</v>
      </c>
      <c r="J1011" s="3" t="s">
        <v>12</v>
      </c>
      <c r="K1011" s="18">
        <v>80</v>
      </c>
      <c r="L1011" s="16">
        <v>104</v>
      </c>
      <c r="M1011" s="6" t="str" cm="1">
        <f t="array" ref="M1011">_xlfn.IFS(L1011&lt;100,"Economy",L1011&lt;200,"Standard",L1011&lt;350,"Powerful",L1011&lt;500,"High Performance",L1011&lt;800,"Sports Performance",L1011&gt;=800,"Super Performance")</f>
        <v>Standard</v>
      </c>
    </row>
    <row r="1012" spans="1:13" x14ac:dyDescent="0.25">
      <c r="A1012" s="5" t="s">
        <v>55</v>
      </c>
      <c r="B1012" s="3" t="s">
        <v>1161</v>
      </c>
      <c r="C1012" s="3" t="s">
        <v>462</v>
      </c>
      <c r="D1012" s="4">
        <v>520300</v>
      </c>
      <c r="E1012" s="3">
        <v>1197</v>
      </c>
      <c r="F1012" s="3">
        <v>4</v>
      </c>
      <c r="G1012" s="3" t="s">
        <v>10</v>
      </c>
      <c r="H1012" s="3" t="s">
        <v>11</v>
      </c>
      <c r="I1012" s="3">
        <v>5</v>
      </c>
      <c r="J1012" s="3" t="s">
        <v>12</v>
      </c>
      <c r="K1012" s="18">
        <v>80</v>
      </c>
      <c r="L1012" s="16">
        <v>104</v>
      </c>
      <c r="M1012" s="6" t="str" cm="1">
        <f t="array" ref="M1012">_xlfn.IFS(L1012&lt;100,"Economy",L1012&lt;200,"Standard",L1012&lt;350,"Powerful",L1012&lt;500,"High Performance",L1012&lt;800,"Sports Performance",L1012&gt;=800,"Super Performance")</f>
        <v>Standard</v>
      </c>
    </row>
    <row r="1013" spans="1:13" x14ac:dyDescent="0.25">
      <c r="A1013" s="5" t="s">
        <v>1156</v>
      </c>
      <c r="B1013" s="3" t="s">
        <v>1157</v>
      </c>
      <c r="C1013" s="3" t="s">
        <v>1163</v>
      </c>
      <c r="D1013" s="4">
        <v>739000</v>
      </c>
      <c r="E1013" s="3">
        <v>1248</v>
      </c>
      <c r="F1013" s="3">
        <v>4</v>
      </c>
      <c r="G1013" s="3" t="s">
        <v>36</v>
      </c>
      <c r="H1013" s="3" t="s">
        <v>66</v>
      </c>
      <c r="I1013" s="3">
        <v>5</v>
      </c>
      <c r="J1013" s="3" t="s">
        <v>12</v>
      </c>
      <c r="K1013" s="18">
        <v>72</v>
      </c>
      <c r="L1013" s="16">
        <v>183</v>
      </c>
      <c r="M1013" s="6" t="str" cm="1">
        <f t="array" ref="M1013">_xlfn.IFS(L1013&lt;100,"Economy",L1013&lt;200,"Standard",L1013&lt;350,"Powerful",L1013&lt;500,"High Performance",L1013&lt;800,"Sports Performance",L1013&gt;=800,"Super Performance")</f>
        <v>Standard</v>
      </c>
    </row>
    <row r="1014" spans="1:13" x14ac:dyDescent="0.25">
      <c r="A1014" s="5" t="s">
        <v>55</v>
      </c>
      <c r="B1014" s="3" t="s">
        <v>1161</v>
      </c>
      <c r="C1014" s="3" t="s">
        <v>1164</v>
      </c>
      <c r="D1014" s="4">
        <v>704000</v>
      </c>
      <c r="E1014" s="3">
        <v>1364</v>
      </c>
      <c r="F1014" s="3">
        <v>4</v>
      </c>
      <c r="G1014" s="3" t="s">
        <v>36</v>
      </c>
      <c r="H1014" s="3" t="s">
        <v>11</v>
      </c>
      <c r="I1014" s="3">
        <v>5</v>
      </c>
      <c r="J1014" s="3" t="s">
        <v>12</v>
      </c>
      <c r="K1014" s="18">
        <v>68</v>
      </c>
      <c r="L1014" s="16">
        <v>170</v>
      </c>
      <c r="M1014" s="6" t="str" cm="1">
        <f t="array" ref="M1014">_xlfn.IFS(L1014&lt;100,"Economy",L1014&lt;200,"Standard",L1014&lt;350,"Powerful",L1014&lt;500,"High Performance",L1014&lt;800,"Sports Performance",L1014&gt;=800,"Super Performance")</f>
        <v>Standard</v>
      </c>
    </row>
    <row r="1015" spans="1:13" x14ac:dyDescent="0.25">
      <c r="A1015" s="5" t="s">
        <v>55</v>
      </c>
      <c r="B1015" s="3" t="s">
        <v>1161</v>
      </c>
      <c r="C1015" s="3" t="s">
        <v>816</v>
      </c>
      <c r="D1015" s="4">
        <v>630000</v>
      </c>
      <c r="E1015" s="3">
        <v>1197</v>
      </c>
      <c r="F1015" s="3">
        <v>4</v>
      </c>
      <c r="G1015" s="3" t="s">
        <v>10</v>
      </c>
      <c r="H1015" s="3" t="s">
        <v>11</v>
      </c>
      <c r="I1015" s="3">
        <v>5</v>
      </c>
      <c r="J1015" s="3" t="s">
        <v>12</v>
      </c>
      <c r="K1015" s="18">
        <v>80</v>
      </c>
      <c r="L1015" s="16">
        <v>104</v>
      </c>
      <c r="M1015" s="6" t="str" cm="1">
        <f t="array" ref="M1015">_xlfn.IFS(L1015&lt;100,"Economy",L1015&lt;200,"Standard",L1015&lt;350,"Powerful",L1015&lt;500,"High Performance",L1015&lt;800,"Sports Performance",L1015&gt;=800,"Super Performance")</f>
        <v>Standard</v>
      </c>
    </row>
    <row r="1016" spans="1:13" x14ac:dyDescent="0.25">
      <c r="A1016" s="5" t="s">
        <v>55</v>
      </c>
      <c r="B1016" s="3" t="s">
        <v>1161</v>
      </c>
      <c r="C1016" s="3" t="s">
        <v>1165</v>
      </c>
      <c r="D1016" s="4">
        <v>745000</v>
      </c>
      <c r="E1016" s="3">
        <v>1364</v>
      </c>
      <c r="F1016" s="3">
        <v>4</v>
      </c>
      <c r="G1016" s="3" t="s">
        <v>36</v>
      </c>
      <c r="H1016" s="3" t="s">
        <v>11</v>
      </c>
      <c r="I1016" s="3">
        <v>5</v>
      </c>
      <c r="J1016" s="3" t="s">
        <v>12</v>
      </c>
      <c r="K1016" s="18">
        <v>68</v>
      </c>
      <c r="L1016" s="16">
        <v>170</v>
      </c>
      <c r="M1016" s="6" t="str" cm="1">
        <f t="array" ref="M1016">_xlfn.IFS(L1016&lt;100,"Economy",L1016&lt;200,"Standard",L1016&lt;350,"Powerful",L1016&lt;500,"High Performance",L1016&lt;800,"Sports Performance",L1016&gt;=800,"Super Performance")</f>
        <v>Standard</v>
      </c>
    </row>
    <row r="1017" spans="1:13" x14ac:dyDescent="0.25">
      <c r="A1017" s="5" t="s">
        <v>55</v>
      </c>
      <c r="B1017" s="3" t="s">
        <v>1161</v>
      </c>
      <c r="C1017" s="3" t="s">
        <v>1166</v>
      </c>
      <c r="D1017" s="4">
        <v>756700</v>
      </c>
      <c r="E1017" s="3">
        <v>1364</v>
      </c>
      <c r="F1017" s="3">
        <v>4</v>
      </c>
      <c r="G1017" s="3" t="s">
        <v>36</v>
      </c>
      <c r="H1017" s="3" t="s">
        <v>11</v>
      </c>
      <c r="I1017" s="3">
        <v>5</v>
      </c>
      <c r="J1017" s="3" t="s">
        <v>12</v>
      </c>
      <c r="K1017" s="18">
        <v>68</v>
      </c>
      <c r="L1017" s="16">
        <v>170</v>
      </c>
      <c r="M1017" s="6" t="str" cm="1">
        <f t="array" ref="M1017">_xlfn.IFS(L1017&lt;100,"Economy",L1017&lt;200,"Standard",L1017&lt;350,"Powerful",L1017&lt;500,"High Performance",L1017&lt;800,"Sports Performance",L1017&gt;=800,"Super Performance")</f>
        <v>Standard</v>
      </c>
    </row>
    <row r="1018" spans="1:13" x14ac:dyDescent="0.25">
      <c r="A1018" s="5" t="s">
        <v>55</v>
      </c>
      <c r="B1018" s="3" t="s">
        <v>1161</v>
      </c>
      <c r="C1018" s="3" t="s">
        <v>1167</v>
      </c>
      <c r="D1018" s="4">
        <v>720700</v>
      </c>
      <c r="E1018" s="3">
        <v>1364</v>
      </c>
      <c r="F1018" s="3">
        <v>4</v>
      </c>
      <c r="G1018" s="3" t="s">
        <v>36</v>
      </c>
      <c r="H1018" s="3" t="s">
        <v>11</v>
      </c>
      <c r="I1018" s="3">
        <v>5</v>
      </c>
      <c r="J1018" s="3" t="s">
        <v>12</v>
      </c>
      <c r="K1018" s="18">
        <v>68</v>
      </c>
      <c r="L1018" s="16">
        <v>170</v>
      </c>
      <c r="M1018" s="6" t="str" cm="1">
        <f t="array" ref="M1018">_xlfn.IFS(L1018&lt;100,"Economy",L1018&lt;200,"Standard",L1018&lt;350,"Powerful",L1018&lt;500,"High Performance",L1018&lt;800,"Sports Performance",L1018&gt;=800,"Super Performance")</f>
        <v>Standard</v>
      </c>
    </row>
    <row r="1019" spans="1:13" x14ac:dyDescent="0.25">
      <c r="A1019" s="5" t="s">
        <v>55</v>
      </c>
      <c r="B1019" s="3" t="s">
        <v>1161</v>
      </c>
      <c r="C1019" s="3" t="s">
        <v>1168</v>
      </c>
      <c r="D1019" s="4">
        <v>597700</v>
      </c>
      <c r="E1019" s="3">
        <v>1197</v>
      </c>
      <c r="F1019" s="3">
        <v>4</v>
      </c>
      <c r="G1019" s="3" t="s">
        <v>10</v>
      </c>
      <c r="H1019" s="3" t="s">
        <v>11</v>
      </c>
      <c r="I1019" s="3">
        <v>5</v>
      </c>
      <c r="J1019" s="3" t="s">
        <v>12</v>
      </c>
      <c r="K1019" s="18">
        <v>80</v>
      </c>
      <c r="L1019" s="16">
        <v>104</v>
      </c>
      <c r="M1019" s="6" t="str" cm="1">
        <f t="array" ref="M1019">_xlfn.IFS(L1019&lt;100,"Economy",L1019&lt;200,"Standard",L1019&lt;350,"Powerful",L1019&lt;500,"High Performance",L1019&lt;800,"Sports Performance",L1019&gt;=800,"Super Performance")</f>
        <v>Standard</v>
      </c>
    </row>
    <row r="1020" spans="1:13" x14ac:dyDescent="0.25">
      <c r="A1020" s="5" t="s">
        <v>55</v>
      </c>
      <c r="B1020" s="3" t="s">
        <v>1161</v>
      </c>
      <c r="C1020" s="3" t="s">
        <v>1169</v>
      </c>
      <c r="D1020" s="4">
        <v>641700</v>
      </c>
      <c r="E1020" s="3">
        <v>1197</v>
      </c>
      <c r="F1020" s="3">
        <v>4</v>
      </c>
      <c r="G1020" s="3" t="s">
        <v>10</v>
      </c>
      <c r="H1020" s="3" t="s">
        <v>11</v>
      </c>
      <c r="I1020" s="3">
        <v>5</v>
      </c>
      <c r="J1020" s="3" t="s">
        <v>12</v>
      </c>
      <c r="K1020" s="18">
        <v>80</v>
      </c>
      <c r="L1020" s="16">
        <v>104</v>
      </c>
      <c r="M1020" s="6" t="str" cm="1">
        <f t="array" ref="M1020">_xlfn.IFS(L1020&lt;100,"Economy",L1020&lt;200,"Standard",L1020&lt;350,"Powerful",L1020&lt;500,"High Performance",L1020&lt;800,"Sports Performance",L1020&gt;=800,"Super Performance")</f>
        <v>Standard</v>
      </c>
    </row>
    <row r="1021" spans="1:13" x14ac:dyDescent="0.25">
      <c r="A1021" s="5" t="s">
        <v>55</v>
      </c>
      <c r="B1021" s="3" t="s">
        <v>1161</v>
      </c>
      <c r="C1021" s="3" t="s">
        <v>1170</v>
      </c>
      <c r="D1021" s="4">
        <v>686000</v>
      </c>
      <c r="E1021" s="3">
        <v>1364</v>
      </c>
      <c r="F1021" s="3">
        <v>4</v>
      </c>
      <c r="G1021" s="3" t="s">
        <v>36</v>
      </c>
      <c r="H1021" s="3" t="s">
        <v>11</v>
      </c>
      <c r="I1021" s="3">
        <v>5</v>
      </c>
      <c r="J1021" s="3" t="s">
        <v>12</v>
      </c>
      <c r="K1021" s="18">
        <v>68</v>
      </c>
      <c r="L1021" s="16">
        <v>170</v>
      </c>
      <c r="M1021" s="6" t="str" cm="1">
        <f t="array" ref="M1021">_xlfn.IFS(L1021&lt;100,"Economy",L1021&lt;200,"Standard",L1021&lt;350,"Powerful",L1021&lt;500,"High Performance",L1021&lt;800,"Sports Performance",L1021&gt;=800,"Super Performance")</f>
        <v>Standard</v>
      </c>
    </row>
    <row r="1022" spans="1:13" x14ac:dyDescent="0.25">
      <c r="A1022" s="5" t="s">
        <v>55</v>
      </c>
      <c r="B1022" s="3" t="s">
        <v>1161</v>
      </c>
      <c r="C1022" s="3" t="s">
        <v>1171</v>
      </c>
      <c r="D1022" s="4">
        <v>662700</v>
      </c>
      <c r="E1022" s="3">
        <v>1197</v>
      </c>
      <c r="F1022" s="3">
        <v>4</v>
      </c>
      <c r="G1022" s="3" t="s">
        <v>10</v>
      </c>
      <c r="H1022" s="3" t="s">
        <v>11</v>
      </c>
      <c r="I1022" s="3">
        <v>5</v>
      </c>
      <c r="J1022" s="3" t="s">
        <v>12</v>
      </c>
      <c r="K1022" s="18">
        <v>80</v>
      </c>
      <c r="L1022" s="16">
        <v>104</v>
      </c>
      <c r="M1022" s="6" t="str" cm="1">
        <f t="array" ref="M1022">_xlfn.IFS(L1022&lt;100,"Economy",L1022&lt;200,"Standard",L1022&lt;350,"Powerful",L1022&lt;500,"High Performance",L1022&lt;800,"Sports Performance",L1022&gt;=800,"Super Performance")</f>
        <v>Standard</v>
      </c>
    </row>
    <row r="1023" spans="1:13" x14ac:dyDescent="0.25">
      <c r="A1023" s="5" t="s">
        <v>55</v>
      </c>
      <c r="B1023" s="3" t="s">
        <v>1161</v>
      </c>
      <c r="C1023" s="3" t="s">
        <v>1158</v>
      </c>
      <c r="D1023" s="4">
        <v>558400</v>
      </c>
      <c r="E1023" s="3">
        <v>1197</v>
      </c>
      <c r="F1023" s="3">
        <v>4</v>
      </c>
      <c r="G1023" s="3" t="s">
        <v>10</v>
      </c>
      <c r="H1023" s="3" t="s">
        <v>11</v>
      </c>
      <c r="I1023" s="3">
        <v>5</v>
      </c>
      <c r="J1023" s="3" t="s">
        <v>12</v>
      </c>
      <c r="K1023" s="18">
        <v>80</v>
      </c>
      <c r="L1023" s="16">
        <v>104</v>
      </c>
      <c r="M1023" s="6" t="str" cm="1">
        <f t="array" ref="M1023">_xlfn.IFS(L1023&lt;100,"Economy",L1023&lt;200,"Standard",L1023&lt;350,"Powerful",L1023&lt;500,"High Performance",L1023&lt;800,"Sports Performance",L1023&gt;=800,"Super Performance")</f>
        <v>Standard</v>
      </c>
    </row>
    <row r="1024" spans="1:13" x14ac:dyDescent="0.25">
      <c r="A1024" s="5" t="s">
        <v>93</v>
      </c>
      <c r="B1024" s="3" t="s">
        <v>837</v>
      </c>
      <c r="C1024" s="3" t="s">
        <v>97</v>
      </c>
      <c r="D1024" s="4">
        <v>553423</v>
      </c>
      <c r="E1024" s="3">
        <v>1197</v>
      </c>
      <c r="F1024" s="3">
        <v>4</v>
      </c>
      <c r="G1024" s="3" t="s">
        <v>10</v>
      </c>
      <c r="H1024" s="3" t="s">
        <v>27</v>
      </c>
      <c r="I1024" s="3">
        <v>5</v>
      </c>
      <c r="J1024" s="3" t="s">
        <v>12</v>
      </c>
      <c r="K1024" s="18">
        <v>83</v>
      </c>
      <c r="L1024" s="16">
        <v>115</v>
      </c>
      <c r="M1024" s="6" t="str" cm="1">
        <f t="array" ref="M1024">_xlfn.IFS(L1024&lt;100,"Economy",L1024&lt;200,"Standard",L1024&lt;350,"Powerful",L1024&lt;500,"High Performance",L1024&lt;800,"Sports Performance",L1024&gt;=800,"Super Performance")</f>
        <v>Standard</v>
      </c>
    </row>
    <row r="1025" spans="1:13" x14ac:dyDescent="0.25">
      <c r="A1025" s="5" t="s">
        <v>55</v>
      </c>
      <c r="B1025" s="3" t="s">
        <v>1161</v>
      </c>
      <c r="C1025" s="3" t="s">
        <v>1172</v>
      </c>
      <c r="D1025" s="4">
        <v>777700</v>
      </c>
      <c r="E1025" s="3">
        <v>1364</v>
      </c>
      <c r="F1025" s="3">
        <v>4</v>
      </c>
      <c r="G1025" s="3" t="s">
        <v>36</v>
      </c>
      <c r="H1025" s="3" t="s">
        <v>11</v>
      </c>
      <c r="I1025" s="3">
        <v>5</v>
      </c>
      <c r="J1025" s="3" t="s">
        <v>12</v>
      </c>
      <c r="K1025" s="18">
        <v>68</v>
      </c>
      <c r="L1025" s="16">
        <v>170</v>
      </c>
      <c r="M1025" s="6" t="str" cm="1">
        <f t="array" ref="M1025">_xlfn.IFS(L1025&lt;100,"Economy",L1025&lt;200,"Standard",L1025&lt;350,"Powerful",L1025&lt;500,"High Performance",L1025&lt;800,"Sports Performance",L1025&gt;=800,"Super Performance")</f>
        <v>Standard</v>
      </c>
    </row>
    <row r="1026" spans="1:13" x14ac:dyDescent="0.25">
      <c r="A1026" s="5" t="s">
        <v>93</v>
      </c>
      <c r="B1026" s="3" t="s">
        <v>837</v>
      </c>
      <c r="C1026" s="3" t="s">
        <v>715</v>
      </c>
      <c r="D1026" s="4">
        <v>653523</v>
      </c>
      <c r="E1026" s="3">
        <v>1248</v>
      </c>
      <c r="F1026" s="3">
        <v>4</v>
      </c>
      <c r="G1026" s="3" t="s">
        <v>36</v>
      </c>
      <c r="H1026" s="3" t="s">
        <v>27</v>
      </c>
      <c r="I1026" s="3">
        <v>5</v>
      </c>
      <c r="J1026" s="3" t="s">
        <v>12</v>
      </c>
      <c r="K1026" s="18">
        <v>75</v>
      </c>
      <c r="L1026" s="16">
        <v>190</v>
      </c>
      <c r="M1026" s="6" t="str" cm="1">
        <f t="array" ref="M1026">_xlfn.IFS(L1026&lt;100,"Economy",L1026&lt;200,"Standard",L1026&lt;350,"Powerful",L1026&lt;500,"High Performance",L1026&lt;800,"Sports Performance",L1026&gt;=800,"Super Performance")</f>
        <v>Standard</v>
      </c>
    </row>
    <row r="1027" spans="1:13" x14ac:dyDescent="0.25">
      <c r="A1027" s="5" t="s">
        <v>7</v>
      </c>
      <c r="B1027" s="3" t="s">
        <v>1173</v>
      </c>
      <c r="C1027" s="3" t="s">
        <v>1174</v>
      </c>
      <c r="D1027" s="4">
        <v>697803</v>
      </c>
      <c r="E1027" s="3">
        <v>1396</v>
      </c>
      <c r="F1027" s="3">
        <v>4</v>
      </c>
      <c r="G1027" s="3" t="s">
        <v>36</v>
      </c>
      <c r="H1027" s="3" t="s">
        <v>11</v>
      </c>
      <c r="I1027" s="3">
        <v>5</v>
      </c>
      <c r="J1027" s="3" t="s">
        <v>12</v>
      </c>
      <c r="K1027" s="18">
        <v>90</v>
      </c>
      <c r="L1027" s="16">
        <v>220</v>
      </c>
      <c r="M1027" s="6" t="str" cm="1">
        <f t="array" ref="M1027">_xlfn.IFS(L1027&lt;100,"Economy",L1027&lt;200,"Standard",L1027&lt;350,"Powerful",L1027&lt;500,"High Performance",L1027&lt;800,"Sports Performance",L1027&gt;=800,"Super Performance")</f>
        <v>Powerful</v>
      </c>
    </row>
    <row r="1028" spans="1:13" x14ac:dyDescent="0.25">
      <c r="A1028" s="5" t="s">
        <v>7</v>
      </c>
      <c r="B1028" s="3" t="s">
        <v>1173</v>
      </c>
      <c r="C1028" s="3" t="s">
        <v>1175</v>
      </c>
      <c r="D1028" s="4">
        <v>721693</v>
      </c>
      <c r="E1028" s="3">
        <v>1197</v>
      </c>
      <c r="F1028" s="3">
        <v>4</v>
      </c>
      <c r="G1028" s="3" t="s">
        <v>10</v>
      </c>
      <c r="H1028" s="3" t="s">
        <v>11</v>
      </c>
      <c r="I1028" s="3">
        <v>5</v>
      </c>
      <c r="J1028" s="3" t="s">
        <v>12</v>
      </c>
      <c r="K1028" s="18">
        <v>84</v>
      </c>
      <c r="L1028" s="16">
        <v>115</v>
      </c>
      <c r="M1028" s="6" t="str" cm="1">
        <f t="array" ref="M1028">_xlfn.IFS(L1028&lt;100,"Economy",L1028&lt;200,"Standard",L1028&lt;350,"Powerful",L1028&lt;500,"High Performance",L1028&lt;800,"Sports Performance",L1028&gt;=800,"Super Performance")</f>
        <v>Standard</v>
      </c>
    </row>
    <row r="1029" spans="1:13" x14ac:dyDescent="0.25">
      <c r="A1029" s="5" t="s">
        <v>7</v>
      </c>
      <c r="B1029" s="3" t="s">
        <v>1173</v>
      </c>
      <c r="C1029" s="3" t="s">
        <v>1176</v>
      </c>
      <c r="D1029" s="4">
        <v>634950</v>
      </c>
      <c r="E1029" s="3">
        <v>1197</v>
      </c>
      <c r="F1029" s="3">
        <v>4</v>
      </c>
      <c r="G1029" s="3" t="s">
        <v>10</v>
      </c>
      <c r="H1029" s="3" t="s">
        <v>11</v>
      </c>
      <c r="I1029" s="3">
        <v>5</v>
      </c>
      <c r="J1029" s="3" t="s">
        <v>12</v>
      </c>
      <c r="K1029" s="18">
        <v>84</v>
      </c>
      <c r="L1029" s="16">
        <v>115</v>
      </c>
      <c r="M1029" s="6" t="str" cm="1">
        <f t="array" ref="M1029">_xlfn.IFS(L1029&lt;100,"Economy",L1029&lt;200,"Standard",L1029&lt;350,"Powerful",L1029&lt;500,"High Performance",L1029&lt;800,"Sports Performance",L1029&gt;=800,"Super Performance")</f>
        <v>Standard</v>
      </c>
    </row>
    <row r="1030" spans="1:13" x14ac:dyDescent="0.25">
      <c r="A1030" s="5" t="s">
        <v>7</v>
      </c>
      <c r="B1030" s="3" t="s">
        <v>1173</v>
      </c>
      <c r="C1030" s="3" t="s">
        <v>1177</v>
      </c>
      <c r="D1030" s="4">
        <v>770803</v>
      </c>
      <c r="E1030" s="3">
        <v>1396</v>
      </c>
      <c r="F1030" s="3">
        <v>4</v>
      </c>
      <c r="G1030" s="3" t="s">
        <v>36</v>
      </c>
      <c r="H1030" s="3" t="s">
        <v>11</v>
      </c>
      <c r="I1030" s="3">
        <v>5</v>
      </c>
      <c r="J1030" s="3" t="s">
        <v>12</v>
      </c>
      <c r="K1030" s="18">
        <v>90</v>
      </c>
      <c r="L1030" s="16">
        <v>220</v>
      </c>
      <c r="M1030" s="6" t="str" cm="1">
        <f t="array" ref="M1030">_xlfn.IFS(L1030&lt;100,"Economy",L1030&lt;200,"Standard",L1030&lt;350,"Powerful",L1030&lt;500,"High Performance",L1030&lt;800,"Sports Performance",L1030&gt;=800,"Super Performance")</f>
        <v>Powerful</v>
      </c>
    </row>
    <row r="1031" spans="1:13" x14ac:dyDescent="0.25">
      <c r="A1031" s="5" t="s">
        <v>7</v>
      </c>
      <c r="B1031" s="3" t="s">
        <v>1173</v>
      </c>
      <c r="C1031" s="3" t="s">
        <v>1178</v>
      </c>
      <c r="D1031" s="4">
        <v>808993</v>
      </c>
      <c r="E1031" s="3">
        <v>1197</v>
      </c>
      <c r="F1031" s="3">
        <v>4</v>
      </c>
      <c r="G1031" s="3" t="s">
        <v>10</v>
      </c>
      <c r="H1031" s="3" t="s">
        <v>11</v>
      </c>
      <c r="I1031" s="3">
        <v>5</v>
      </c>
      <c r="J1031" s="3" t="s">
        <v>12</v>
      </c>
      <c r="K1031" s="18">
        <v>84</v>
      </c>
      <c r="L1031" s="16">
        <v>114</v>
      </c>
      <c r="M1031" s="6" t="str" cm="1">
        <f t="array" ref="M1031">_xlfn.IFS(L1031&lt;100,"Economy",L1031&lt;200,"Standard",L1031&lt;350,"Powerful",L1031&lt;500,"High Performance",L1031&lt;800,"Sports Performance",L1031&gt;=800,"Super Performance")</f>
        <v>Standard</v>
      </c>
    </row>
    <row r="1032" spans="1:13" x14ac:dyDescent="0.25">
      <c r="A1032" s="5" t="s">
        <v>7</v>
      </c>
      <c r="B1032" s="3" t="s">
        <v>1173</v>
      </c>
      <c r="C1032" s="3" t="s">
        <v>1179</v>
      </c>
      <c r="D1032" s="4">
        <v>876103</v>
      </c>
      <c r="E1032" s="3">
        <v>1396</v>
      </c>
      <c r="F1032" s="3">
        <v>4</v>
      </c>
      <c r="G1032" s="3" t="s">
        <v>36</v>
      </c>
      <c r="H1032" s="3" t="s">
        <v>11</v>
      </c>
      <c r="I1032" s="3">
        <v>5</v>
      </c>
      <c r="J1032" s="3" t="s">
        <v>12</v>
      </c>
      <c r="K1032" s="18">
        <v>90</v>
      </c>
      <c r="L1032" s="16">
        <v>220</v>
      </c>
      <c r="M1032" s="6" t="str" cm="1">
        <f t="array" ref="M1032">_xlfn.IFS(L1032&lt;100,"Economy",L1032&lt;200,"Standard",L1032&lt;350,"Powerful",L1032&lt;500,"High Performance",L1032&lt;800,"Sports Performance",L1032&gt;=800,"Super Performance")</f>
        <v>Powerful</v>
      </c>
    </row>
    <row r="1033" spans="1:13" x14ac:dyDescent="0.25">
      <c r="A1033" s="5" t="s">
        <v>7</v>
      </c>
      <c r="B1033" s="3" t="s">
        <v>1173</v>
      </c>
      <c r="C1033" s="3" t="s">
        <v>1180</v>
      </c>
      <c r="D1033" s="4">
        <v>934003</v>
      </c>
      <c r="E1033" s="3">
        <v>1396</v>
      </c>
      <c r="F1033" s="3">
        <v>4</v>
      </c>
      <c r="G1033" s="3" t="s">
        <v>36</v>
      </c>
      <c r="H1033" s="3" t="s">
        <v>11</v>
      </c>
      <c r="I1033" s="3">
        <v>5</v>
      </c>
      <c r="J1033" s="3" t="s">
        <v>12</v>
      </c>
      <c r="K1033" s="18">
        <v>90</v>
      </c>
      <c r="L1033" s="16">
        <v>220</v>
      </c>
      <c r="M1033" s="6" t="str" cm="1">
        <f t="array" ref="M1033">_xlfn.IFS(L1033&lt;100,"Economy",L1033&lt;200,"Standard",L1033&lt;350,"Powerful",L1033&lt;500,"High Performance",L1033&lt;800,"Sports Performance",L1033&gt;=800,"Super Performance")</f>
        <v>Powerful</v>
      </c>
    </row>
    <row r="1034" spans="1:13" x14ac:dyDescent="0.25">
      <c r="A1034" s="5" t="s">
        <v>7</v>
      </c>
      <c r="B1034" s="3" t="s">
        <v>1173</v>
      </c>
      <c r="C1034" s="3" t="s">
        <v>1181</v>
      </c>
      <c r="D1034" s="4">
        <v>831693</v>
      </c>
      <c r="E1034" s="3">
        <v>1197</v>
      </c>
      <c r="F1034" s="3">
        <v>4</v>
      </c>
      <c r="G1034" s="3" t="s">
        <v>10</v>
      </c>
      <c r="H1034" s="3" t="s">
        <v>11</v>
      </c>
      <c r="I1034" s="3">
        <v>5</v>
      </c>
      <c r="J1034" s="3" t="s">
        <v>12</v>
      </c>
      <c r="K1034" s="18">
        <v>84</v>
      </c>
      <c r="L1034" s="16">
        <v>115</v>
      </c>
      <c r="M1034" s="6" t="str" cm="1">
        <f t="array" ref="M1034">_xlfn.IFS(L1034&lt;100,"Economy",L1034&lt;200,"Standard",L1034&lt;350,"Powerful",L1034&lt;500,"High Performance",L1034&lt;800,"Sports Performance",L1034&gt;=800,"Super Performance")</f>
        <v>Standard</v>
      </c>
    </row>
    <row r="1035" spans="1:13" x14ac:dyDescent="0.25">
      <c r="A1035" s="5" t="s">
        <v>7</v>
      </c>
      <c r="B1035" s="3" t="s">
        <v>1173</v>
      </c>
      <c r="C1035" s="3" t="s">
        <v>1182</v>
      </c>
      <c r="D1035" s="4">
        <v>751693</v>
      </c>
      <c r="E1035" s="3">
        <v>1197</v>
      </c>
      <c r="F1035" s="3">
        <v>4</v>
      </c>
      <c r="G1035" s="3" t="s">
        <v>10</v>
      </c>
      <c r="H1035" s="3" t="s">
        <v>11</v>
      </c>
      <c r="I1035" s="3">
        <v>5</v>
      </c>
      <c r="J1035" s="3" t="s">
        <v>12</v>
      </c>
      <c r="K1035" s="18">
        <v>84</v>
      </c>
      <c r="L1035" s="16">
        <v>115</v>
      </c>
      <c r="M1035" s="6" t="str" cm="1">
        <f t="array" ref="M1035">_xlfn.IFS(L1035&lt;100,"Economy",L1035&lt;200,"Standard",L1035&lt;350,"Powerful",L1035&lt;500,"High Performance",L1035&lt;800,"Sports Performance",L1035&gt;=800,"Super Performance")</f>
        <v>Standard</v>
      </c>
    </row>
    <row r="1036" spans="1:13" x14ac:dyDescent="0.25">
      <c r="A1036" s="5" t="s">
        <v>7</v>
      </c>
      <c r="B1036" s="3" t="s">
        <v>1173</v>
      </c>
      <c r="C1036" s="3" t="s">
        <v>1183</v>
      </c>
      <c r="D1036" s="4">
        <v>920993</v>
      </c>
      <c r="E1036" s="3">
        <v>1197</v>
      </c>
      <c r="F1036" s="3">
        <v>4</v>
      </c>
      <c r="G1036" s="3" t="s">
        <v>10</v>
      </c>
      <c r="H1036" s="3" t="s">
        <v>11</v>
      </c>
      <c r="I1036" s="3">
        <v>5</v>
      </c>
      <c r="J1036" s="3" t="s">
        <v>30</v>
      </c>
      <c r="K1036" s="18">
        <v>83</v>
      </c>
      <c r="L1036" s="16">
        <v>115</v>
      </c>
      <c r="M1036" s="6" t="str" cm="1">
        <f t="array" ref="M1036">_xlfn.IFS(L1036&lt;100,"Economy",L1036&lt;200,"Standard",L1036&lt;350,"Powerful",L1036&lt;500,"High Performance",L1036&lt;800,"Sports Performance",L1036&gt;=800,"Super Performance")</f>
        <v>Standard</v>
      </c>
    </row>
    <row r="1037" spans="1:13" x14ac:dyDescent="0.25">
      <c r="A1037" s="5" t="s">
        <v>7</v>
      </c>
      <c r="B1037" s="3" t="s">
        <v>1173</v>
      </c>
      <c r="C1037" s="3" t="s">
        <v>1184</v>
      </c>
      <c r="D1037" s="4">
        <v>846103</v>
      </c>
      <c r="E1037" s="3">
        <v>1396</v>
      </c>
      <c r="F1037" s="3">
        <v>4</v>
      </c>
      <c r="G1037" s="3" t="s">
        <v>36</v>
      </c>
      <c r="H1037" s="3" t="s">
        <v>11</v>
      </c>
      <c r="I1037" s="3">
        <v>5</v>
      </c>
      <c r="J1037" s="3" t="s">
        <v>12</v>
      </c>
      <c r="K1037" s="18">
        <v>90</v>
      </c>
      <c r="L1037" s="16">
        <v>220</v>
      </c>
      <c r="M1037" s="6" t="str" cm="1">
        <f t="array" ref="M1037">_xlfn.IFS(L1037&lt;100,"Economy",L1037&lt;200,"Standard",L1037&lt;350,"Powerful",L1037&lt;500,"High Performance",L1037&lt;800,"Sports Performance",L1037&gt;=800,"Super Performance")</f>
        <v>Powerful</v>
      </c>
    </row>
    <row r="1038" spans="1:13" x14ac:dyDescent="0.25">
      <c r="A1038" s="5" t="s">
        <v>55</v>
      </c>
      <c r="B1038" s="3" t="s">
        <v>1185</v>
      </c>
      <c r="C1038" s="3" t="s">
        <v>1162</v>
      </c>
      <c r="D1038" s="4">
        <v>734700</v>
      </c>
      <c r="E1038" s="3">
        <v>1364</v>
      </c>
      <c r="F1038" s="3">
        <v>4</v>
      </c>
      <c r="G1038" s="3" t="s">
        <v>36</v>
      </c>
      <c r="H1038" s="3" t="s">
        <v>27</v>
      </c>
      <c r="I1038" s="3">
        <v>5</v>
      </c>
      <c r="J1038" s="3" t="s">
        <v>12</v>
      </c>
      <c r="K1038" s="18">
        <v>68</v>
      </c>
      <c r="L1038" s="16">
        <v>170</v>
      </c>
      <c r="M1038" s="6" t="str" cm="1">
        <f t="array" ref="M1038">_xlfn.IFS(L1038&lt;100,"Economy",L1038&lt;200,"Standard",L1038&lt;350,"Powerful",L1038&lt;500,"High Performance",L1038&lt;800,"Sports Performance",L1038&gt;=800,"Super Performance")</f>
        <v>Standard</v>
      </c>
    </row>
    <row r="1039" spans="1:13" x14ac:dyDescent="0.25">
      <c r="A1039" s="5" t="s">
        <v>55</v>
      </c>
      <c r="B1039" s="3" t="s">
        <v>1185</v>
      </c>
      <c r="C1039" s="3" t="s">
        <v>58</v>
      </c>
      <c r="D1039" s="4">
        <v>718600</v>
      </c>
      <c r="E1039" s="3">
        <v>1496</v>
      </c>
      <c r="F1039" s="3">
        <v>4</v>
      </c>
      <c r="G1039" s="3" t="s">
        <v>10</v>
      </c>
      <c r="H1039" s="3" t="s">
        <v>27</v>
      </c>
      <c r="I1039" s="3">
        <v>5</v>
      </c>
      <c r="J1039" s="3" t="s">
        <v>12</v>
      </c>
      <c r="K1039" s="18">
        <v>90</v>
      </c>
      <c r="L1039" s="16">
        <v>132</v>
      </c>
      <c r="M1039" s="6" t="str" cm="1">
        <f t="array" ref="M1039">_xlfn.IFS(L1039&lt;100,"Economy",L1039&lt;200,"Standard",L1039&lt;350,"Powerful",L1039&lt;500,"High Performance",L1039&lt;800,"Sports Performance",L1039&gt;=800,"Super Performance")</f>
        <v>Standard</v>
      </c>
    </row>
    <row r="1040" spans="1:13" x14ac:dyDescent="0.25">
      <c r="A1040" s="5" t="s">
        <v>55</v>
      </c>
      <c r="B1040" s="3" t="s">
        <v>1185</v>
      </c>
      <c r="C1040" s="3" t="s">
        <v>462</v>
      </c>
      <c r="D1040" s="4">
        <v>627100</v>
      </c>
      <c r="E1040" s="3">
        <v>1496</v>
      </c>
      <c r="F1040" s="3">
        <v>4</v>
      </c>
      <c r="G1040" s="3" t="s">
        <v>10</v>
      </c>
      <c r="H1040" s="3" t="s">
        <v>27</v>
      </c>
      <c r="I1040" s="3">
        <v>5</v>
      </c>
      <c r="J1040" s="3" t="s">
        <v>12</v>
      </c>
      <c r="K1040" s="18">
        <v>90</v>
      </c>
      <c r="L1040" s="16">
        <v>132</v>
      </c>
      <c r="M1040" s="6" t="str" cm="1">
        <f t="array" ref="M1040">_xlfn.IFS(L1040&lt;100,"Economy",L1040&lt;200,"Standard",L1040&lt;350,"Powerful",L1040&lt;500,"High Performance",L1040&lt;800,"Sports Performance",L1040&gt;=800,"Super Performance")</f>
        <v>Standard</v>
      </c>
    </row>
    <row r="1041" spans="1:13" x14ac:dyDescent="0.25">
      <c r="A1041" s="5" t="s">
        <v>55</v>
      </c>
      <c r="B1041" s="3" t="s">
        <v>1185</v>
      </c>
      <c r="C1041" s="3" t="s">
        <v>1164</v>
      </c>
      <c r="D1041" s="4">
        <v>828600</v>
      </c>
      <c r="E1041" s="3">
        <v>1364</v>
      </c>
      <c r="F1041" s="3">
        <v>4</v>
      </c>
      <c r="G1041" s="3" t="s">
        <v>36</v>
      </c>
      <c r="H1041" s="3" t="s">
        <v>27</v>
      </c>
      <c r="I1041" s="3">
        <v>5</v>
      </c>
      <c r="J1041" s="3" t="s">
        <v>12</v>
      </c>
      <c r="K1041" s="18">
        <v>68</v>
      </c>
      <c r="L1041" s="16">
        <v>170</v>
      </c>
      <c r="M1041" s="6" t="str" cm="1">
        <f t="array" ref="M1041">_xlfn.IFS(L1041&lt;100,"Economy",L1041&lt;200,"Standard",L1041&lt;350,"Powerful",L1041&lt;500,"High Performance",L1041&lt;800,"Sports Performance",L1041&gt;=800,"Super Performance")</f>
        <v>Standard</v>
      </c>
    </row>
    <row r="1042" spans="1:13" x14ac:dyDescent="0.25">
      <c r="A1042" s="5" t="s">
        <v>55</v>
      </c>
      <c r="B1042" s="3" t="s">
        <v>1185</v>
      </c>
      <c r="C1042" s="3" t="s">
        <v>816</v>
      </c>
      <c r="D1042" s="4">
        <v>778400</v>
      </c>
      <c r="E1042" s="3">
        <v>1496</v>
      </c>
      <c r="F1042" s="3">
        <v>4</v>
      </c>
      <c r="G1042" s="3" t="s">
        <v>10</v>
      </c>
      <c r="H1042" s="3" t="s">
        <v>27</v>
      </c>
      <c r="I1042" s="3">
        <v>5</v>
      </c>
      <c r="J1042" s="3" t="s">
        <v>12</v>
      </c>
      <c r="K1042" s="18">
        <v>90</v>
      </c>
      <c r="L1042" s="16">
        <v>132</v>
      </c>
      <c r="M1042" s="6" t="str" cm="1">
        <f t="array" ref="M1042">_xlfn.IFS(L1042&lt;100,"Economy",L1042&lt;200,"Standard",L1042&lt;350,"Powerful",L1042&lt;500,"High Performance",L1042&lt;800,"Sports Performance",L1042&gt;=800,"Super Performance")</f>
        <v>Standard</v>
      </c>
    </row>
    <row r="1043" spans="1:13" x14ac:dyDescent="0.25">
      <c r="A1043" s="5" t="s">
        <v>55</v>
      </c>
      <c r="B1043" s="3" t="s">
        <v>1185</v>
      </c>
      <c r="C1043" s="3" t="s">
        <v>1165</v>
      </c>
      <c r="D1043" s="4">
        <v>888400</v>
      </c>
      <c r="E1043" s="3">
        <v>1364</v>
      </c>
      <c r="F1043" s="3">
        <v>4</v>
      </c>
      <c r="G1043" s="3" t="s">
        <v>36</v>
      </c>
      <c r="H1043" s="3" t="s">
        <v>27</v>
      </c>
      <c r="I1043" s="3">
        <v>5</v>
      </c>
      <c r="J1043" s="3" t="s">
        <v>12</v>
      </c>
      <c r="K1043" s="18">
        <v>68</v>
      </c>
      <c r="L1043" s="16">
        <v>170</v>
      </c>
      <c r="M1043" s="6" t="str" cm="1">
        <f t="array" ref="M1043">_xlfn.IFS(L1043&lt;100,"Economy",L1043&lt;200,"Standard",L1043&lt;350,"Powerful",L1043&lt;500,"High Performance",L1043&lt;800,"Sports Performance",L1043&gt;=800,"Super Performance")</f>
        <v>Standard</v>
      </c>
    </row>
    <row r="1044" spans="1:13" x14ac:dyDescent="0.25">
      <c r="A1044" s="5" t="s">
        <v>55</v>
      </c>
      <c r="B1044" s="3" t="s">
        <v>1185</v>
      </c>
      <c r="C1044" s="3" t="s">
        <v>1170</v>
      </c>
      <c r="D1044" s="4">
        <v>799600</v>
      </c>
      <c r="E1044" s="3">
        <v>1364</v>
      </c>
      <c r="F1044" s="3">
        <v>4</v>
      </c>
      <c r="G1044" s="3" t="s">
        <v>36</v>
      </c>
      <c r="H1044" s="3" t="s">
        <v>27</v>
      </c>
      <c r="I1044" s="3">
        <v>5</v>
      </c>
      <c r="J1044" s="3" t="s">
        <v>12</v>
      </c>
      <c r="K1044" s="18">
        <v>68</v>
      </c>
      <c r="L1044" s="16">
        <v>170</v>
      </c>
      <c r="M1044" s="6" t="str" cm="1">
        <f t="array" ref="M1044">_xlfn.IFS(L1044&lt;100,"Economy",L1044&lt;200,"Standard",L1044&lt;350,"Powerful",L1044&lt;500,"High Performance",L1044&lt;800,"Sports Performance",L1044&gt;=800,"Super Performance")</f>
        <v>Standard</v>
      </c>
    </row>
    <row r="1045" spans="1:13" x14ac:dyDescent="0.25">
      <c r="A1045" s="5" t="s">
        <v>55</v>
      </c>
      <c r="B1045" s="3" t="s">
        <v>1185</v>
      </c>
      <c r="C1045" s="3" t="s">
        <v>1186</v>
      </c>
      <c r="D1045" s="4">
        <v>803400</v>
      </c>
      <c r="E1045" s="3">
        <v>1496</v>
      </c>
      <c r="F1045" s="3">
        <v>4</v>
      </c>
      <c r="G1045" s="3" t="s">
        <v>10</v>
      </c>
      <c r="H1045" s="3" t="s">
        <v>27</v>
      </c>
      <c r="I1045" s="3">
        <v>5</v>
      </c>
      <c r="J1045" s="3" t="s">
        <v>12</v>
      </c>
      <c r="K1045" s="18">
        <v>90</v>
      </c>
      <c r="L1045" s="16">
        <v>132</v>
      </c>
      <c r="M1045" s="6" t="str" cm="1">
        <f t="array" ref="M1045">_xlfn.IFS(L1045&lt;100,"Economy",L1045&lt;200,"Standard",L1045&lt;350,"Powerful",L1045&lt;500,"High Performance",L1045&lt;800,"Sports Performance",L1045&gt;=800,"Super Performance")</f>
        <v>Standard</v>
      </c>
    </row>
    <row r="1046" spans="1:13" x14ac:dyDescent="0.25">
      <c r="A1046" s="5" t="s">
        <v>55</v>
      </c>
      <c r="B1046" s="3" t="s">
        <v>1185</v>
      </c>
      <c r="C1046" s="3" t="s">
        <v>1187</v>
      </c>
      <c r="D1046" s="4">
        <v>913400</v>
      </c>
      <c r="E1046" s="3">
        <v>1364</v>
      </c>
      <c r="F1046" s="3">
        <v>4</v>
      </c>
      <c r="G1046" s="3" t="s">
        <v>36</v>
      </c>
      <c r="H1046" s="3" t="s">
        <v>27</v>
      </c>
      <c r="I1046" s="3">
        <v>5</v>
      </c>
      <c r="J1046" s="3" t="s">
        <v>12</v>
      </c>
      <c r="K1046" s="18">
        <v>68</v>
      </c>
      <c r="L1046" s="16">
        <v>170</v>
      </c>
      <c r="M1046" s="6" t="str" cm="1">
        <f t="array" ref="M1046">_xlfn.IFS(L1046&lt;100,"Economy",L1046&lt;200,"Standard",L1046&lt;350,"Powerful",L1046&lt;500,"High Performance",L1046&lt;800,"Sports Performance",L1046&gt;=800,"Super Performance")</f>
        <v>Standard</v>
      </c>
    </row>
    <row r="1047" spans="1:13" x14ac:dyDescent="0.25">
      <c r="A1047" s="5" t="s">
        <v>55</v>
      </c>
      <c r="B1047" s="3" t="s">
        <v>1185</v>
      </c>
      <c r="C1047" s="3" t="s">
        <v>1158</v>
      </c>
      <c r="D1047" s="4">
        <v>689600</v>
      </c>
      <c r="E1047" s="3">
        <v>1496</v>
      </c>
      <c r="F1047" s="3">
        <v>4</v>
      </c>
      <c r="G1047" s="3" t="s">
        <v>10</v>
      </c>
      <c r="H1047" s="3" t="s">
        <v>27</v>
      </c>
      <c r="I1047" s="3">
        <v>5</v>
      </c>
      <c r="J1047" s="3" t="s">
        <v>12</v>
      </c>
      <c r="K1047" s="18">
        <v>90</v>
      </c>
      <c r="L1047" s="16">
        <v>132</v>
      </c>
      <c r="M1047" s="6" t="str" cm="1">
        <f t="array" ref="M1047">_xlfn.IFS(L1047&lt;100,"Economy",L1047&lt;200,"Standard",L1047&lt;350,"Powerful",L1047&lt;500,"High Performance",L1047&lt;800,"Sports Performance",L1047&gt;=800,"Super Performance")</f>
        <v>Standard</v>
      </c>
    </row>
    <row r="1048" spans="1:13" x14ac:dyDescent="0.25">
      <c r="A1048" s="5" t="s">
        <v>55</v>
      </c>
      <c r="B1048" s="3" t="s">
        <v>461</v>
      </c>
      <c r="C1048" s="3" t="s">
        <v>1162</v>
      </c>
      <c r="D1048" s="4">
        <v>766000</v>
      </c>
      <c r="E1048" s="3">
        <v>1364</v>
      </c>
      <c r="F1048" s="3">
        <v>4</v>
      </c>
      <c r="G1048" s="3" t="s">
        <v>36</v>
      </c>
      <c r="H1048" s="3" t="s">
        <v>11</v>
      </c>
      <c r="I1048" s="3">
        <v>5</v>
      </c>
      <c r="J1048" s="3" t="s">
        <v>12</v>
      </c>
      <c r="K1048" s="18">
        <v>68</v>
      </c>
      <c r="L1048" s="16">
        <v>170</v>
      </c>
      <c r="M1048" s="6" t="str" cm="1">
        <f t="array" ref="M1048">_xlfn.IFS(L1048&lt;100,"Economy",L1048&lt;200,"Standard",L1048&lt;350,"Powerful",L1048&lt;500,"High Performance",L1048&lt;800,"Sports Performance",L1048&gt;=800,"Super Performance")</f>
        <v>Standard</v>
      </c>
    </row>
    <row r="1049" spans="1:13" x14ac:dyDescent="0.25">
      <c r="A1049" s="5" t="s">
        <v>55</v>
      </c>
      <c r="B1049" s="3" t="s">
        <v>461</v>
      </c>
      <c r="C1049" s="3" t="s">
        <v>1164</v>
      </c>
      <c r="D1049" s="4">
        <v>797500</v>
      </c>
      <c r="E1049" s="3">
        <v>1364</v>
      </c>
      <c r="F1049" s="3">
        <v>4</v>
      </c>
      <c r="G1049" s="3" t="s">
        <v>36</v>
      </c>
      <c r="H1049" s="3" t="s">
        <v>11</v>
      </c>
      <c r="I1049" s="3">
        <v>5</v>
      </c>
      <c r="J1049" s="3" t="s">
        <v>12</v>
      </c>
      <c r="K1049" s="18">
        <v>68</v>
      </c>
      <c r="L1049" s="16">
        <v>170</v>
      </c>
      <c r="M1049" s="6" t="str" cm="1">
        <f t="array" ref="M1049">_xlfn.IFS(L1049&lt;100,"Economy",L1049&lt;200,"Standard",L1049&lt;350,"Powerful",L1049&lt;500,"High Performance",L1049&lt;800,"Sports Performance",L1049&gt;=800,"Super Performance")</f>
        <v>Standard</v>
      </c>
    </row>
    <row r="1050" spans="1:13" x14ac:dyDescent="0.25">
      <c r="A1050" s="5" t="s">
        <v>55</v>
      </c>
      <c r="B1050" s="3" t="s">
        <v>461</v>
      </c>
      <c r="C1050" s="3" t="s">
        <v>58</v>
      </c>
      <c r="D1050" s="4">
        <v>802000</v>
      </c>
      <c r="E1050" s="3">
        <v>1496</v>
      </c>
      <c r="F1050" s="3">
        <v>4</v>
      </c>
      <c r="G1050" s="3" t="s">
        <v>10</v>
      </c>
      <c r="H1050" s="3" t="s">
        <v>11</v>
      </c>
      <c r="I1050" s="3">
        <v>5</v>
      </c>
      <c r="J1050" s="3" t="s">
        <v>12</v>
      </c>
      <c r="K1050" s="18">
        <v>90</v>
      </c>
      <c r="L1050" s="16">
        <v>132</v>
      </c>
      <c r="M1050" s="6" t="str" cm="1">
        <f t="array" ref="M1050">_xlfn.IFS(L1050&lt;100,"Economy",L1050&lt;200,"Standard",L1050&lt;350,"Powerful",L1050&lt;500,"High Performance",L1050&lt;800,"Sports Performance",L1050&gt;=800,"Super Performance")</f>
        <v>Standard</v>
      </c>
    </row>
    <row r="1051" spans="1:13" x14ac:dyDescent="0.25">
      <c r="A1051" s="5" t="s">
        <v>202</v>
      </c>
      <c r="B1051" s="3" t="s">
        <v>1188</v>
      </c>
      <c r="C1051" s="3" t="s">
        <v>317</v>
      </c>
      <c r="D1051" s="4">
        <v>750428</v>
      </c>
      <c r="E1051" s="3">
        <v>1461</v>
      </c>
      <c r="F1051" s="3">
        <v>4</v>
      </c>
      <c r="G1051" s="3" t="s">
        <v>36</v>
      </c>
      <c r="H1051" s="3" t="s">
        <v>11</v>
      </c>
      <c r="I1051" s="3">
        <v>5</v>
      </c>
      <c r="J1051" s="3" t="s">
        <v>12</v>
      </c>
      <c r="K1051" s="18">
        <v>65</v>
      </c>
      <c r="L1051" s="16">
        <v>160</v>
      </c>
      <c r="M1051" s="6" t="str" cm="1">
        <f t="array" ref="M1051">_xlfn.IFS(L1051&lt;100,"Economy",L1051&lt;200,"Standard",L1051&lt;350,"Powerful",L1051&lt;500,"High Performance",L1051&lt;800,"Sports Performance",L1051&gt;=800,"Super Performance")</f>
        <v>Standard</v>
      </c>
    </row>
    <row r="1052" spans="1:13" x14ac:dyDescent="0.25">
      <c r="A1052" s="5" t="s">
        <v>202</v>
      </c>
      <c r="B1052" s="3" t="s">
        <v>1188</v>
      </c>
      <c r="C1052" s="3" t="s">
        <v>315</v>
      </c>
      <c r="D1052" s="4">
        <v>685729</v>
      </c>
      <c r="E1052" s="3">
        <v>1461</v>
      </c>
      <c r="F1052" s="3">
        <v>4</v>
      </c>
      <c r="G1052" s="3" t="s">
        <v>36</v>
      </c>
      <c r="H1052" s="3" t="s">
        <v>11</v>
      </c>
      <c r="I1052" s="3">
        <v>5</v>
      </c>
      <c r="J1052" s="3" t="s">
        <v>12</v>
      </c>
      <c r="K1052" s="18">
        <v>65</v>
      </c>
      <c r="L1052" s="16">
        <v>160</v>
      </c>
      <c r="M1052" s="6" t="str" cm="1">
        <f t="array" ref="M1052">_xlfn.IFS(L1052&lt;100,"Economy",L1052&lt;200,"Standard",L1052&lt;350,"Powerful",L1052&lt;500,"High Performance",L1052&lt;800,"Sports Performance",L1052&gt;=800,"Super Performance")</f>
        <v>Standard</v>
      </c>
    </row>
    <row r="1053" spans="1:13" x14ac:dyDescent="0.25">
      <c r="A1053" s="5" t="s">
        <v>202</v>
      </c>
      <c r="B1053" s="3" t="s">
        <v>1188</v>
      </c>
      <c r="C1053" s="3" t="s">
        <v>316</v>
      </c>
      <c r="D1053" s="4">
        <v>657628</v>
      </c>
      <c r="E1053" s="3">
        <v>1461</v>
      </c>
      <c r="F1053" s="3">
        <v>4</v>
      </c>
      <c r="G1053" s="3" t="s">
        <v>36</v>
      </c>
      <c r="H1053" s="3" t="s">
        <v>11</v>
      </c>
      <c r="I1053" s="3">
        <v>5</v>
      </c>
      <c r="J1053" s="3" t="s">
        <v>12</v>
      </c>
      <c r="K1053" s="18">
        <v>65</v>
      </c>
      <c r="L1053" s="16">
        <v>160</v>
      </c>
      <c r="M1053" s="6" t="str" cm="1">
        <f t="array" ref="M1053">_xlfn.IFS(L1053&lt;100,"Economy",L1053&lt;200,"Standard",L1053&lt;350,"Powerful",L1053&lt;500,"High Performance",L1053&lt;800,"Sports Performance",L1053&gt;=800,"Super Performance")</f>
        <v>Standard</v>
      </c>
    </row>
    <row r="1054" spans="1:13" x14ac:dyDescent="0.25">
      <c r="A1054" s="5" t="s">
        <v>55</v>
      </c>
      <c r="B1054" s="3" t="s">
        <v>461</v>
      </c>
      <c r="C1054" s="3" t="s">
        <v>1189</v>
      </c>
      <c r="D1054" s="4">
        <v>816000</v>
      </c>
      <c r="E1054" s="3">
        <v>1364</v>
      </c>
      <c r="F1054" s="3">
        <v>4</v>
      </c>
      <c r="G1054" s="3" t="s">
        <v>36</v>
      </c>
      <c r="H1054" s="3" t="s">
        <v>11</v>
      </c>
      <c r="I1054" s="3">
        <v>5</v>
      </c>
      <c r="J1054" s="3" t="s">
        <v>12</v>
      </c>
      <c r="K1054" s="18">
        <v>68</v>
      </c>
      <c r="L1054" s="16">
        <v>170</v>
      </c>
      <c r="M1054" s="6" t="str" cm="1">
        <f t="array" ref="M1054">_xlfn.IFS(L1054&lt;100,"Economy",L1054&lt;200,"Standard",L1054&lt;350,"Powerful",L1054&lt;500,"High Performance",L1054&lt;800,"Sports Performance",L1054&gt;=800,"Super Performance")</f>
        <v>Standard</v>
      </c>
    </row>
    <row r="1055" spans="1:13" x14ac:dyDescent="0.25">
      <c r="A1055" s="5" t="s">
        <v>572</v>
      </c>
      <c r="B1055" s="3" t="s">
        <v>1190</v>
      </c>
      <c r="C1055" s="3" t="s">
        <v>1191</v>
      </c>
      <c r="D1055" s="4">
        <v>3149599</v>
      </c>
      <c r="E1055" s="3">
        <v>1968</v>
      </c>
      <c r="F1055" s="3">
        <v>4</v>
      </c>
      <c r="G1055" s="3" t="s">
        <v>36</v>
      </c>
      <c r="H1055" s="3" t="s">
        <v>27</v>
      </c>
      <c r="I1055" s="3">
        <v>5</v>
      </c>
      <c r="J1055" s="3" t="s">
        <v>30</v>
      </c>
      <c r="K1055" s="18">
        <v>177</v>
      </c>
      <c r="L1055" s="16">
        <v>350</v>
      </c>
      <c r="M1055" s="6" t="str" cm="1">
        <f t="array" ref="M1055">_xlfn.IFS(L1055&lt;100,"Economy",L1055&lt;200,"Standard",L1055&lt;350,"Powerful",L1055&lt;500,"High Performance",L1055&lt;800,"Sports Performance",L1055&gt;=800,"Super Performance")</f>
        <v>High Performance</v>
      </c>
    </row>
    <row r="1056" spans="1:13" x14ac:dyDescent="0.25">
      <c r="A1056" s="5" t="s">
        <v>572</v>
      </c>
      <c r="B1056" s="3" t="s">
        <v>1190</v>
      </c>
      <c r="C1056" s="3" t="s">
        <v>1192</v>
      </c>
      <c r="D1056" s="4">
        <v>2899599</v>
      </c>
      <c r="E1056" s="3">
        <v>1798</v>
      </c>
      <c r="F1056" s="3">
        <v>4</v>
      </c>
      <c r="G1056" s="3" t="s">
        <v>10</v>
      </c>
      <c r="H1056" s="3" t="s">
        <v>27</v>
      </c>
      <c r="I1056" s="3">
        <v>5</v>
      </c>
      <c r="J1056" s="3" t="s">
        <v>30</v>
      </c>
      <c r="K1056" s="18">
        <v>180</v>
      </c>
      <c r="L1056" s="16">
        <v>250</v>
      </c>
      <c r="M1056" s="6" t="str" cm="1">
        <f t="array" ref="M1056">_xlfn.IFS(L1056&lt;100,"Economy",L1056&lt;200,"Standard",L1056&lt;350,"Powerful",L1056&lt;500,"High Performance",L1056&lt;800,"Sports Performance",L1056&gt;=800,"Super Performance")</f>
        <v>Powerful</v>
      </c>
    </row>
    <row r="1057" spans="1:13" x14ac:dyDescent="0.25">
      <c r="A1057" s="5" t="s">
        <v>301</v>
      </c>
      <c r="B1057" s="3" t="s">
        <v>467</v>
      </c>
      <c r="C1057" s="3" t="s">
        <v>1193</v>
      </c>
      <c r="D1057" s="4">
        <v>796132</v>
      </c>
      <c r="E1057" s="3">
        <v>1248</v>
      </c>
      <c r="F1057" s="3">
        <v>4</v>
      </c>
      <c r="G1057" s="3" t="s">
        <v>36</v>
      </c>
      <c r="H1057" s="3" t="s">
        <v>304</v>
      </c>
      <c r="I1057" s="3">
        <v>5</v>
      </c>
      <c r="J1057" s="3" t="s">
        <v>12</v>
      </c>
      <c r="K1057" s="18">
        <v>93</v>
      </c>
      <c r="L1057" s="16">
        <v>209</v>
      </c>
      <c r="M1057" s="6" t="str" cm="1">
        <f t="array" ref="M1057">_xlfn.IFS(L1057&lt;100,"Economy",L1057&lt;200,"Standard",L1057&lt;350,"Powerful",L1057&lt;500,"High Performance",L1057&lt;800,"Sports Performance",L1057&gt;=800,"Super Performance")</f>
        <v>Powerful</v>
      </c>
    </row>
    <row r="1058" spans="1:13" x14ac:dyDescent="0.25">
      <c r="A1058" s="5" t="s">
        <v>301</v>
      </c>
      <c r="B1058" s="3" t="s">
        <v>467</v>
      </c>
      <c r="C1058" s="3" t="s">
        <v>1194</v>
      </c>
      <c r="D1058" s="4">
        <v>876341</v>
      </c>
      <c r="E1058" s="3">
        <v>1248</v>
      </c>
      <c r="F1058" s="3">
        <v>4</v>
      </c>
      <c r="G1058" s="3" t="s">
        <v>36</v>
      </c>
      <c r="H1058" s="3" t="s">
        <v>304</v>
      </c>
      <c r="I1058" s="3">
        <v>5</v>
      </c>
      <c r="J1058" s="3" t="s">
        <v>12</v>
      </c>
      <c r="K1058" s="18">
        <v>93</v>
      </c>
      <c r="L1058" s="16">
        <v>209</v>
      </c>
      <c r="M1058" s="6" t="str" cm="1">
        <f t="array" ref="M1058">_xlfn.IFS(L1058&lt;100,"Economy",L1058&lt;200,"Standard",L1058&lt;350,"Powerful",L1058&lt;500,"High Performance",L1058&lt;800,"Sports Performance",L1058&gt;=800,"Super Performance")</f>
        <v>Powerful</v>
      </c>
    </row>
    <row r="1059" spans="1:13" x14ac:dyDescent="0.25">
      <c r="A1059" s="5" t="s">
        <v>68</v>
      </c>
      <c r="B1059" s="3" t="s">
        <v>474</v>
      </c>
      <c r="C1059" s="3" t="s">
        <v>497</v>
      </c>
      <c r="D1059" s="4">
        <v>3221200</v>
      </c>
      <c r="E1059" s="3">
        <v>1968</v>
      </c>
      <c r="F1059" s="3">
        <v>4</v>
      </c>
      <c r="G1059" s="3" t="s">
        <v>36</v>
      </c>
      <c r="H1059" s="3" t="s">
        <v>27</v>
      </c>
      <c r="I1059" s="3">
        <v>5</v>
      </c>
      <c r="J1059" s="3" t="s">
        <v>30</v>
      </c>
      <c r="K1059" s="18">
        <v>143</v>
      </c>
      <c r="L1059" s="16">
        <v>320</v>
      </c>
      <c r="M1059" s="6" t="str" cm="1">
        <f t="array" ref="M1059">_xlfn.IFS(L1059&lt;100,"Economy",L1059&lt;200,"Standard",L1059&lt;350,"Powerful",L1059&lt;500,"High Performance",L1059&lt;800,"Sports Performance",L1059&gt;=800,"Super Performance")</f>
        <v>Powerful</v>
      </c>
    </row>
    <row r="1060" spans="1:13" x14ac:dyDescent="0.25">
      <c r="A1060" s="5" t="s">
        <v>68</v>
      </c>
      <c r="B1060" s="3" t="s">
        <v>474</v>
      </c>
      <c r="C1060" s="3" t="s">
        <v>496</v>
      </c>
      <c r="D1060" s="4">
        <v>3021200</v>
      </c>
      <c r="E1060" s="3">
        <v>1968</v>
      </c>
      <c r="F1060" s="3">
        <v>4</v>
      </c>
      <c r="G1060" s="3" t="s">
        <v>36</v>
      </c>
      <c r="H1060" s="3" t="s">
        <v>27</v>
      </c>
      <c r="I1060" s="3">
        <v>5</v>
      </c>
      <c r="J1060" s="3" t="s">
        <v>30</v>
      </c>
      <c r="K1060" s="18">
        <v>143</v>
      </c>
      <c r="L1060" s="16">
        <v>320</v>
      </c>
      <c r="M1060" s="6" t="str" cm="1">
        <f t="array" ref="M1060">_xlfn.IFS(L1060&lt;100,"Economy",L1060&lt;200,"Standard",L1060&lt;350,"Powerful",L1060&lt;500,"High Performance",L1060&lt;800,"Sports Performance",L1060&gt;=800,"Super Performance")</f>
        <v>Powerful</v>
      </c>
    </row>
    <row r="1061" spans="1:13" x14ac:dyDescent="0.25">
      <c r="A1061" s="5" t="s">
        <v>90</v>
      </c>
      <c r="B1061" s="3" t="s">
        <v>1195</v>
      </c>
      <c r="C1061" s="3" t="s">
        <v>1196</v>
      </c>
      <c r="D1061" s="4">
        <v>2988311</v>
      </c>
      <c r="E1061" s="3">
        <v>1595</v>
      </c>
      <c r="F1061" s="3">
        <v>4</v>
      </c>
      <c r="G1061" s="3" t="s">
        <v>10</v>
      </c>
      <c r="H1061" s="3" t="s">
        <v>226</v>
      </c>
      <c r="I1061" s="3">
        <v>5</v>
      </c>
      <c r="J1061" s="3" t="s">
        <v>30</v>
      </c>
      <c r="K1061" s="18">
        <v>122</v>
      </c>
      <c r="L1061" s="16">
        <v>200</v>
      </c>
      <c r="M1061" s="6" t="str" cm="1">
        <f t="array" ref="M1061">_xlfn.IFS(L1061&lt;100,"Economy",L1061&lt;200,"Standard",L1061&lt;350,"Powerful",L1061&lt;500,"High Performance",L1061&lt;800,"Sports Performance",L1061&gt;=800,"Super Performance")</f>
        <v>Powerful</v>
      </c>
    </row>
    <row r="1062" spans="1:13" x14ac:dyDescent="0.25">
      <c r="A1062" s="5" t="s">
        <v>90</v>
      </c>
      <c r="B1062" s="3" t="s">
        <v>1195</v>
      </c>
      <c r="C1062" s="3" t="s">
        <v>1197</v>
      </c>
      <c r="D1062" s="4">
        <v>3198662</v>
      </c>
      <c r="E1062" s="3">
        <v>1595</v>
      </c>
      <c r="F1062" s="3">
        <v>4</v>
      </c>
      <c r="G1062" s="3" t="s">
        <v>10</v>
      </c>
      <c r="H1062" s="3" t="s">
        <v>226</v>
      </c>
      <c r="I1062" s="3">
        <v>5</v>
      </c>
      <c r="J1062" s="3" t="s">
        <v>30</v>
      </c>
      <c r="K1062" s="18">
        <v>122</v>
      </c>
      <c r="L1062" s="16">
        <v>200</v>
      </c>
      <c r="M1062" s="6" t="str" cm="1">
        <f t="array" ref="M1062">_xlfn.IFS(L1062&lt;100,"Economy",L1062&lt;200,"Standard",L1062&lt;350,"Powerful",L1062&lt;500,"High Performance",L1062&lt;800,"Sports Performance",L1062&gt;=800,"Super Performance")</f>
        <v>Powerful</v>
      </c>
    </row>
    <row r="1063" spans="1:13" x14ac:dyDescent="0.25">
      <c r="A1063" s="5" t="s">
        <v>90</v>
      </c>
      <c r="B1063" s="3" t="s">
        <v>1195</v>
      </c>
      <c r="C1063" s="3" t="s">
        <v>1198</v>
      </c>
      <c r="D1063" s="4">
        <v>3303282</v>
      </c>
      <c r="E1063" s="3">
        <v>2143</v>
      </c>
      <c r="F1063" s="3">
        <v>4</v>
      </c>
      <c r="G1063" s="3" t="s">
        <v>36</v>
      </c>
      <c r="H1063" s="3" t="s">
        <v>226</v>
      </c>
      <c r="I1063" s="3">
        <v>5</v>
      </c>
      <c r="J1063" s="3" t="s">
        <v>30</v>
      </c>
      <c r="K1063" s="18">
        <v>136</v>
      </c>
      <c r="L1063" s="16">
        <v>300</v>
      </c>
      <c r="M1063" s="6" t="str" cm="1">
        <f t="array" ref="M1063">_xlfn.IFS(L1063&lt;100,"Economy",L1063&lt;200,"Standard",L1063&lt;350,"Powerful",L1063&lt;500,"High Performance",L1063&lt;800,"Sports Performance",L1063&gt;=800,"Super Performance")</f>
        <v>Powerful</v>
      </c>
    </row>
    <row r="1064" spans="1:13" x14ac:dyDescent="0.25">
      <c r="A1064" s="5" t="s">
        <v>90</v>
      </c>
      <c r="B1064" s="3" t="s">
        <v>1195</v>
      </c>
      <c r="C1064" s="3" t="s">
        <v>1199</v>
      </c>
      <c r="D1064" s="4">
        <v>3089851</v>
      </c>
      <c r="E1064" s="3">
        <v>2143</v>
      </c>
      <c r="F1064" s="3">
        <v>4</v>
      </c>
      <c r="G1064" s="3" t="s">
        <v>36</v>
      </c>
      <c r="H1064" s="3" t="s">
        <v>226</v>
      </c>
      <c r="I1064" s="3">
        <v>5</v>
      </c>
      <c r="J1064" s="3" t="s">
        <v>30</v>
      </c>
      <c r="K1064" s="18">
        <v>136</v>
      </c>
      <c r="L1064" s="16">
        <v>300</v>
      </c>
      <c r="M1064" s="6" t="str" cm="1">
        <f t="array" ref="M1064">_xlfn.IFS(L1064&lt;100,"Economy",L1064&lt;200,"Standard",L1064&lt;350,"Powerful",L1064&lt;500,"High Performance",L1064&lt;800,"Sports Performance",L1064&gt;=800,"Super Performance")</f>
        <v>Powerful</v>
      </c>
    </row>
    <row r="1065" spans="1:13" x14ac:dyDescent="0.25">
      <c r="A1065" s="5" t="s">
        <v>90</v>
      </c>
      <c r="B1065" s="3" t="s">
        <v>1200</v>
      </c>
      <c r="C1065" s="3" t="s">
        <v>1201</v>
      </c>
      <c r="D1065" s="4">
        <v>3599000</v>
      </c>
      <c r="E1065" s="3">
        <v>1991</v>
      </c>
      <c r="F1065" s="3">
        <v>4</v>
      </c>
      <c r="G1065" s="3" t="s">
        <v>10</v>
      </c>
      <c r="H1065" s="3" t="s">
        <v>27</v>
      </c>
      <c r="I1065" s="3">
        <v>5</v>
      </c>
      <c r="J1065" s="3" t="s">
        <v>30</v>
      </c>
      <c r="K1065" s="18">
        <v>183</v>
      </c>
      <c r="L1065" s="16">
        <v>300</v>
      </c>
      <c r="M1065" s="6" t="str" cm="1">
        <f t="array" ref="M1065">_xlfn.IFS(L1065&lt;100,"Economy",L1065&lt;200,"Standard",L1065&lt;350,"Powerful",L1065&lt;500,"High Performance",L1065&lt;800,"Sports Performance",L1065&gt;=800,"Super Performance")</f>
        <v>Powerful</v>
      </c>
    </row>
    <row r="1066" spans="1:13" x14ac:dyDescent="0.25">
      <c r="A1066" s="5" t="s">
        <v>572</v>
      </c>
      <c r="B1066" s="3" t="s">
        <v>1202</v>
      </c>
      <c r="C1066" s="3" t="s">
        <v>1203</v>
      </c>
      <c r="D1066" s="4">
        <v>3299599</v>
      </c>
      <c r="E1066" s="3">
        <v>1968</v>
      </c>
      <c r="F1066" s="3">
        <v>4</v>
      </c>
      <c r="G1066" s="3" t="s">
        <v>36</v>
      </c>
      <c r="H1066" s="3" t="s">
        <v>66</v>
      </c>
      <c r="I1066" s="3">
        <v>5</v>
      </c>
      <c r="J1066" s="3" t="s">
        <v>30</v>
      </c>
      <c r="K1066" s="18">
        <v>177</v>
      </c>
      <c r="L1066" s="16">
        <v>350</v>
      </c>
      <c r="M1066" s="6" t="str" cm="1">
        <f t="array" ref="M1066">_xlfn.IFS(L1066&lt;100,"Economy",L1066&lt;200,"Standard",L1066&lt;350,"Powerful",L1066&lt;500,"High Performance",L1066&lt;800,"Sports Performance",L1066&gt;=800,"Super Performance")</f>
        <v>High Performance</v>
      </c>
    </row>
    <row r="1067" spans="1:13" x14ac:dyDescent="0.25">
      <c r="A1067" s="5" t="s">
        <v>90</v>
      </c>
      <c r="B1067" s="3" t="s">
        <v>1200</v>
      </c>
      <c r="C1067" s="3" t="s">
        <v>1204</v>
      </c>
      <c r="D1067" s="4">
        <v>3699000</v>
      </c>
      <c r="E1067" s="3">
        <v>2143</v>
      </c>
      <c r="F1067" s="3">
        <v>4</v>
      </c>
      <c r="G1067" s="3" t="s">
        <v>36</v>
      </c>
      <c r="H1067" s="3" t="s">
        <v>27</v>
      </c>
      <c r="I1067" s="3">
        <v>5</v>
      </c>
      <c r="J1067" s="3" t="s">
        <v>30</v>
      </c>
      <c r="K1067" s="18">
        <v>136</v>
      </c>
      <c r="L1067" s="16">
        <v>300</v>
      </c>
      <c r="M1067" s="6" t="str" cm="1">
        <f t="array" ref="M1067">_xlfn.IFS(L1067&lt;100,"Economy",L1067&lt;200,"Standard",L1067&lt;350,"Powerful",L1067&lt;500,"High Performance",L1067&lt;800,"Sports Performance",L1067&gt;=800,"Super Performance")</f>
        <v>Powerful</v>
      </c>
    </row>
    <row r="1068" spans="1:13" x14ac:dyDescent="0.25">
      <c r="A1068" s="5" t="s">
        <v>572</v>
      </c>
      <c r="B1068" s="3" t="s">
        <v>1202</v>
      </c>
      <c r="C1068" s="3" t="s">
        <v>1205</v>
      </c>
      <c r="D1068" s="4">
        <v>3678599</v>
      </c>
      <c r="E1068" s="3">
        <v>1968</v>
      </c>
      <c r="F1068" s="3">
        <v>4</v>
      </c>
      <c r="G1068" s="3" t="s">
        <v>36</v>
      </c>
      <c r="H1068" s="3" t="s">
        <v>66</v>
      </c>
      <c r="I1068" s="3">
        <v>5</v>
      </c>
      <c r="J1068" s="3" t="s">
        <v>30</v>
      </c>
      <c r="K1068" s="18">
        <v>148</v>
      </c>
      <c r="L1068" s="16">
        <v>340</v>
      </c>
      <c r="M1068" s="6" t="str" cm="1">
        <f t="array" ref="M1068">_xlfn.IFS(L1068&lt;100,"Economy",L1068&lt;200,"Standard",L1068&lt;350,"Powerful",L1068&lt;500,"High Performance",L1068&lt;800,"Sports Performance",L1068&gt;=800,"Super Performance")</f>
        <v>Powerful</v>
      </c>
    </row>
    <row r="1069" spans="1:13" x14ac:dyDescent="0.25">
      <c r="A1069" s="5" t="s">
        <v>90</v>
      </c>
      <c r="B1069" s="3" t="s">
        <v>1200</v>
      </c>
      <c r="C1069" s="3" t="s">
        <v>1206</v>
      </c>
      <c r="D1069" s="4">
        <v>3172000</v>
      </c>
      <c r="E1069" s="3">
        <v>2143</v>
      </c>
      <c r="F1069" s="3">
        <v>4</v>
      </c>
      <c r="G1069" s="3" t="s">
        <v>36</v>
      </c>
      <c r="H1069" s="3" t="s">
        <v>27</v>
      </c>
      <c r="I1069" s="3">
        <v>5</v>
      </c>
      <c r="J1069" s="3" t="s">
        <v>30</v>
      </c>
      <c r="K1069" s="18">
        <v>136</v>
      </c>
      <c r="L1069" s="16">
        <v>300</v>
      </c>
      <c r="M1069" s="6" t="str" cm="1">
        <f t="array" ref="M1069">_xlfn.IFS(L1069&lt;100,"Economy",L1069&lt;200,"Standard",L1069&lt;350,"Powerful",L1069&lt;500,"High Performance",L1069&lt;800,"Sports Performance",L1069&gt;=800,"Super Performance")</f>
        <v>Powerful</v>
      </c>
    </row>
    <row r="1070" spans="1:13" x14ac:dyDescent="0.25">
      <c r="A1070" s="5" t="s">
        <v>143</v>
      </c>
      <c r="B1070" s="3" t="s">
        <v>1207</v>
      </c>
      <c r="C1070" s="3" t="s">
        <v>145</v>
      </c>
      <c r="D1070" s="4">
        <v>4120000</v>
      </c>
      <c r="E1070" s="3">
        <v>1998</v>
      </c>
      <c r="F1070" s="3">
        <v>4</v>
      </c>
      <c r="G1070" s="3" t="s">
        <v>10</v>
      </c>
      <c r="H1070" s="3" t="s">
        <v>11</v>
      </c>
      <c r="I1070" s="3">
        <v>5</v>
      </c>
      <c r="J1070" s="3" t="s">
        <v>12</v>
      </c>
      <c r="K1070" s="18">
        <v>192</v>
      </c>
      <c r="L1070" s="16">
        <v>280</v>
      </c>
      <c r="M1070" s="6" t="str" cm="1">
        <f t="array" ref="M1070">_xlfn.IFS(L1070&lt;100,"Economy",L1070&lt;200,"Standard",L1070&lt;350,"Powerful",L1070&lt;500,"High Performance",L1070&lt;800,"Sports Performance",L1070&gt;=800,"Super Performance")</f>
        <v>Powerful</v>
      </c>
    </row>
    <row r="1071" spans="1:13" x14ac:dyDescent="0.25">
      <c r="A1071" s="5" t="s">
        <v>280</v>
      </c>
      <c r="B1071" s="3" t="s">
        <v>1208</v>
      </c>
      <c r="C1071" s="3" t="s">
        <v>1209</v>
      </c>
      <c r="D1071" s="4">
        <v>5436329</v>
      </c>
      <c r="E1071" s="3">
        <v>1999</v>
      </c>
      <c r="F1071" s="3">
        <v>4</v>
      </c>
      <c r="G1071" s="3" t="s">
        <v>10</v>
      </c>
      <c r="H1071" s="3" t="s">
        <v>27</v>
      </c>
      <c r="I1071" s="3">
        <v>5</v>
      </c>
      <c r="J1071" s="3" t="s">
        <v>30</v>
      </c>
      <c r="K1071" s="18">
        <v>247</v>
      </c>
      <c r="L1071" s="16">
        <v>340</v>
      </c>
      <c r="M1071" s="6" t="str" cm="1">
        <f t="array" ref="M1071">_xlfn.IFS(L1071&lt;100,"Economy",L1071&lt;200,"Standard",L1071&lt;350,"Powerful",L1071&lt;500,"High Performance",L1071&lt;800,"Sports Performance",L1071&gt;=800,"Super Performance")</f>
        <v>Powerful</v>
      </c>
    </row>
    <row r="1072" spans="1:13" x14ac:dyDescent="0.25">
      <c r="A1072" s="5" t="s">
        <v>572</v>
      </c>
      <c r="B1072" s="3" t="s">
        <v>1202</v>
      </c>
      <c r="C1072" s="3" t="s">
        <v>1210</v>
      </c>
      <c r="D1072" s="4">
        <v>3299599</v>
      </c>
      <c r="E1072" s="3">
        <v>1968</v>
      </c>
      <c r="F1072" s="3">
        <v>4</v>
      </c>
      <c r="G1072" s="3" t="s">
        <v>36</v>
      </c>
      <c r="H1072" s="3" t="s">
        <v>66</v>
      </c>
      <c r="I1072" s="3">
        <v>5</v>
      </c>
      <c r="J1072" s="3" t="s">
        <v>30</v>
      </c>
      <c r="K1072" s="18">
        <v>177</v>
      </c>
      <c r="L1072" s="16">
        <v>350</v>
      </c>
      <c r="M1072" s="6" t="str" cm="1">
        <f t="array" ref="M1072">_xlfn.IFS(L1072&lt;100,"Economy",L1072&lt;200,"Standard",L1072&lt;350,"Powerful",L1072&lt;500,"High Performance",L1072&lt;800,"Sports Performance",L1072&gt;=800,"Super Performance")</f>
        <v>High Performance</v>
      </c>
    </row>
    <row r="1073" spans="1:13" x14ac:dyDescent="0.25">
      <c r="A1073" s="5" t="s">
        <v>280</v>
      </c>
      <c r="B1073" s="3" t="s">
        <v>1208</v>
      </c>
      <c r="C1073" s="3" t="s">
        <v>1211</v>
      </c>
      <c r="D1073" s="4">
        <v>6138811</v>
      </c>
      <c r="E1073" s="3">
        <v>1999</v>
      </c>
      <c r="F1073" s="3">
        <v>4</v>
      </c>
      <c r="G1073" s="3" t="s">
        <v>36</v>
      </c>
      <c r="H1073" s="3" t="s">
        <v>27</v>
      </c>
      <c r="I1073" s="3">
        <v>5</v>
      </c>
      <c r="J1073" s="3" t="s">
        <v>30</v>
      </c>
      <c r="K1073" s="18">
        <v>180</v>
      </c>
      <c r="L1073" s="16">
        <v>430</v>
      </c>
      <c r="M1073" s="6" t="str" cm="1">
        <f t="array" ref="M1073">_xlfn.IFS(L1073&lt;100,"Economy",L1073&lt;200,"Standard",L1073&lt;350,"Powerful",L1073&lt;500,"High Performance",L1073&lt;800,"Sports Performance",L1073&gt;=800,"Super Performance")</f>
        <v>High Performance</v>
      </c>
    </row>
    <row r="1074" spans="1:13" x14ac:dyDescent="0.25">
      <c r="A1074" s="5" t="s">
        <v>280</v>
      </c>
      <c r="B1074" s="3" t="s">
        <v>1208</v>
      </c>
      <c r="C1074" s="3" t="s">
        <v>1212</v>
      </c>
      <c r="D1074" s="4">
        <v>5506622</v>
      </c>
      <c r="E1074" s="3">
        <v>1999</v>
      </c>
      <c r="F1074" s="3">
        <v>4</v>
      </c>
      <c r="G1074" s="3" t="s">
        <v>36</v>
      </c>
      <c r="H1074" s="3" t="s">
        <v>27</v>
      </c>
      <c r="I1074" s="3">
        <v>5</v>
      </c>
      <c r="J1074" s="3" t="s">
        <v>30</v>
      </c>
      <c r="K1074" s="18">
        <v>180</v>
      </c>
      <c r="L1074" s="16">
        <v>430</v>
      </c>
      <c r="M1074" s="6" t="str" cm="1">
        <f t="array" ref="M1074">_xlfn.IFS(L1074&lt;100,"Economy",L1074&lt;200,"Standard",L1074&lt;350,"Powerful",L1074&lt;500,"High Performance",L1074&lt;800,"Sports Performance",L1074&gt;=800,"Super Performance")</f>
        <v>High Performance</v>
      </c>
    </row>
    <row r="1075" spans="1:13" x14ac:dyDescent="0.25">
      <c r="A1075" s="5" t="s">
        <v>280</v>
      </c>
      <c r="B1075" s="3" t="s">
        <v>1208</v>
      </c>
      <c r="C1075" s="3" t="s">
        <v>1213</v>
      </c>
      <c r="D1075" s="4">
        <v>6073446</v>
      </c>
      <c r="E1075" s="3">
        <v>1999</v>
      </c>
      <c r="F1075" s="3">
        <v>4</v>
      </c>
      <c r="G1075" s="3" t="s">
        <v>10</v>
      </c>
      <c r="H1075" s="3" t="s">
        <v>27</v>
      </c>
      <c r="I1075" s="3">
        <v>5</v>
      </c>
      <c r="J1075" s="3" t="s">
        <v>30</v>
      </c>
      <c r="K1075" s="18">
        <v>247</v>
      </c>
      <c r="L1075" s="16">
        <v>340</v>
      </c>
      <c r="M1075" s="6" t="str" cm="1">
        <f t="array" ref="M1075">_xlfn.IFS(L1075&lt;100,"Economy",L1075&lt;200,"Standard",L1075&lt;350,"Powerful",L1075&lt;500,"High Performance",L1075&lt;800,"Sports Performance",L1075&gt;=800,"Super Performance")</f>
        <v>Powerful</v>
      </c>
    </row>
    <row r="1076" spans="1:13" x14ac:dyDescent="0.25">
      <c r="A1076" s="5" t="s">
        <v>78</v>
      </c>
      <c r="B1076" s="3" t="s">
        <v>1214</v>
      </c>
      <c r="C1076" s="3" t="s">
        <v>1215</v>
      </c>
      <c r="D1076" s="4">
        <v>5880000</v>
      </c>
      <c r="E1076" s="3">
        <v>1998</v>
      </c>
      <c r="F1076" s="3">
        <v>4</v>
      </c>
      <c r="G1076" s="3" t="s">
        <v>10</v>
      </c>
      <c r="H1076" s="3" t="s">
        <v>66</v>
      </c>
      <c r="I1076" s="3">
        <v>5</v>
      </c>
      <c r="J1076" s="3" t="s">
        <v>30</v>
      </c>
      <c r="K1076" s="18">
        <v>248</v>
      </c>
      <c r="L1076" s="16">
        <v>350</v>
      </c>
      <c r="M1076" s="6" t="str" cm="1">
        <f t="array" ref="M1076">_xlfn.IFS(L1076&lt;100,"Economy",L1076&lt;200,"Standard",L1076&lt;350,"Powerful",L1076&lt;500,"High Performance",L1076&lt;800,"Sports Performance",L1076&gt;=800,"Super Performance")</f>
        <v>High Performance</v>
      </c>
    </row>
    <row r="1077" spans="1:13" x14ac:dyDescent="0.25">
      <c r="A1077" s="5" t="s">
        <v>280</v>
      </c>
      <c r="B1077" s="3" t="s">
        <v>1208</v>
      </c>
      <c r="C1077" s="3" t="s">
        <v>1216</v>
      </c>
      <c r="D1077" s="4">
        <v>4977080</v>
      </c>
      <c r="E1077" s="3">
        <v>1999</v>
      </c>
      <c r="F1077" s="3">
        <v>4</v>
      </c>
      <c r="G1077" s="3" t="s">
        <v>36</v>
      </c>
      <c r="H1077" s="3" t="s">
        <v>27</v>
      </c>
      <c r="I1077" s="3">
        <v>5</v>
      </c>
      <c r="J1077" s="3" t="s">
        <v>30</v>
      </c>
      <c r="K1077" s="18">
        <v>180</v>
      </c>
      <c r="L1077" s="16">
        <v>430</v>
      </c>
      <c r="M1077" s="6" t="str" cm="1">
        <f t="array" ref="M1077">_xlfn.IFS(L1077&lt;100,"Economy",L1077&lt;200,"Standard",L1077&lt;350,"Powerful",L1077&lt;500,"High Performance",L1077&lt;800,"Sports Performance",L1077&gt;=800,"Super Performance")</f>
        <v>High Performance</v>
      </c>
    </row>
    <row r="1078" spans="1:13" x14ac:dyDescent="0.25">
      <c r="A1078" s="5" t="s">
        <v>78</v>
      </c>
      <c r="B1078" s="3" t="s">
        <v>1214</v>
      </c>
      <c r="C1078" s="3" t="s">
        <v>1217</v>
      </c>
      <c r="D1078" s="4">
        <v>5930000</v>
      </c>
      <c r="E1078" s="3">
        <v>1995</v>
      </c>
      <c r="F1078" s="3">
        <v>4</v>
      </c>
      <c r="G1078" s="3" t="s">
        <v>36</v>
      </c>
      <c r="H1078" s="3" t="s">
        <v>66</v>
      </c>
      <c r="I1078" s="3">
        <v>5</v>
      </c>
      <c r="J1078" s="3" t="s">
        <v>30</v>
      </c>
      <c r="K1078" s="18">
        <v>190</v>
      </c>
      <c r="L1078" s="16">
        <v>400</v>
      </c>
      <c r="M1078" s="6" t="str" cm="1">
        <f t="array" ref="M1078">_xlfn.IFS(L1078&lt;100,"Economy",L1078&lt;200,"Standard",L1078&lt;350,"Powerful",L1078&lt;500,"High Performance",L1078&lt;800,"Sports Performance",L1078&gt;=800,"Super Performance")</f>
        <v>High Performance</v>
      </c>
    </row>
    <row r="1079" spans="1:13" x14ac:dyDescent="0.25">
      <c r="A1079" s="5" t="s">
        <v>78</v>
      </c>
      <c r="B1079" s="3" t="s">
        <v>1214</v>
      </c>
      <c r="C1079" s="3" t="s">
        <v>1218</v>
      </c>
      <c r="D1079" s="4">
        <v>5600000</v>
      </c>
      <c r="E1079" s="3">
        <v>1995</v>
      </c>
      <c r="F1079" s="3">
        <v>4</v>
      </c>
      <c r="G1079" s="3" t="s">
        <v>36</v>
      </c>
      <c r="H1079" s="3" t="s">
        <v>66</v>
      </c>
      <c r="I1079" s="3">
        <v>5</v>
      </c>
      <c r="J1079" s="3" t="s">
        <v>30</v>
      </c>
      <c r="K1079" s="18">
        <v>190</v>
      </c>
      <c r="L1079" s="16">
        <v>400</v>
      </c>
      <c r="M1079" s="6" t="str" cm="1">
        <f t="array" ref="M1079">_xlfn.IFS(L1079&lt;100,"Economy",L1079&lt;200,"Standard",L1079&lt;350,"Powerful",L1079&lt;500,"High Performance",L1079&lt;800,"Sports Performance",L1079&gt;=800,"Super Performance")</f>
        <v>High Performance</v>
      </c>
    </row>
    <row r="1080" spans="1:13" x14ac:dyDescent="0.25">
      <c r="A1080" s="5" t="s">
        <v>93</v>
      </c>
      <c r="B1080" s="3" t="s">
        <v>712</v>
      </c>
      <c r="C1080" s="3" t="s">
        <v>97</v>
      </c>
      <c r="D1080" s="4">
        <v>519000</v>
      </c>
      <c r="E1080" s="3">
        <v>1197</v>
      </c>
      <c r="F1080" s="3">
        <v>4</v>
      </c>
      <c r="G1080" s="3" t="s">
        <v>10</v>
      </c>
      <c r="H1080" s="3" t="s">
        <v>11</v>
      </c>
      <c r="I1080" s="3">
        <v>5</v>
      </c>
      <c r="J1080" s="3" t="s">
        <v>12</v>
      </c>
      <c r="K1080" s="18">
        <v>83</v>
      </c>
      <c r="L1080" s="16">
        <v>113</v>
      </c>
      <c r="M1080" s="6" t="str" cm="1">
        <f t="array" ref="M1080">_xlfn.IFS(L1080&lt;100,"Economy",L1080&lt;200,"Standard",L1080&lt;350,"Powerful",L1080&lt;500,"High Performance",L1080&lt;800,"Sports Performance",L1080&gt;=800,"Super Performance")</f>
        <v>Standard</v>
      </c>
    </row>
    <row r="1081" spans="1:13" x14ac:dyDescent="0.25">
      <c r="A1081" s="5" t="s">
        <v>22</v>
      </c>
      <c r="B1081" s="3" t="s">
        <v>843</v>
      </c>
      <c r="C1081" s="3" t="s">
        <v>332</v>
      </c>
      <c r="D1081" s="4">
        <v>582287</v>
      </c>
      <c r="E1081" s="3">
        <v>1193</v>
      </c>
      <c r="F1081" s="3">
        <v>4</v>
      </c>
      <c r="G1081" s="3" t="s">
        <v>10</v>
      </c>
      <c r="H1081" s="3" t="s">
        <v>27</v>
      </c>
      <c r="I1081" s="3">
        <v>5</v>
      </c>
      <c r="J1081" s="3" t="s">
        <v>12</v>
      </c>
      <c r="K1081" s="18">
        <v>90</v>
      </c>
      <c r="L1081" s="16">
        <v>140</v>
      </c>
      <c r="M1081" s="6" t="str" cm="1">
        <f t="array" ref="M1081">_xlfn.IFS(L1081&lt;100,"Economy",L1081&lt;200,"Standard",L1081&lt;350,"Powerful",L1081&lt;500,"High Performance",L1081&lt;800,"Sports Performance",L1081&gt;=800,"Super Performance")</f>
        <v>Standard</v>
      </c>
    </row>
    <row r="1082" spans="1:13" x14ac:dyDescent="0.25">
      <c r="A1082" s="5" t="s">
        <v>22</v>
      </c>
      <c r="B1082" s="3" t="s">
        <v>843</v>
      </c>
      <c r="C1082" s="3" t="s">
        <v>459</v>
      </c>
      <c r="D1082" s="4">
        <v>653926</v>
      </c>
      <c r="E1082" s="3">
        <v>1193</v>
      </c>
      <c r="F1082" s="3">
        <v>4</v>
      </c>
      <c r="G1082" s="3" t="s">
        <v>10</v>
      </c>
      <c r="H1082" s="3" t="s">
        <v>27</v>
      </c>
      <c r="I1082" s="3">
        <v>5</v>
      </c>
      <c r="J1082" s="3" t="s">
        <v>12</v>
      </c>
      <c r="K1082" s="18">
        <v>90</v>
      </c>
      <c r="L1082" s="16">
        <v>140</v>
      </c>
      <c r="M1082" s="6" t="str" cm="1">
        <f t="array" ref="M1082">_xlfn.IFS(L1082&lt;100,"Economy",L1082&lt;200,"Standard",L1082&lt;350,"Powerful",L1082&lt;500,"High Performance",L1082&lt;800,"Sports Performance",L1082&gt;=800,"Super Performance")</f>
        <v>Standard</v>
      </c>
    </row>
    <row r="1083" spans="1:13" x14ac:dyDescent="0.25">
      <c r="A1083" s="5" t="s">
        <v>22</v>
      </c>
      <c r="B1083" s="3" t="s">
        <v>843</v>
      </c>
      <c r="C1083" s="3" t="s">
        <v>460</v>
      </c>
      <c r="D1083" s="4">
        <v>672641</v>
      </c>
      <c r="E1083" s="3">
        <v>1193</v>
      </c>
      <c r="F1083" s="3">
        <v>4</v>
      </c>
      <c r="G1083" s="3" t="s">
        <v>10</v>
      </c>
      <c r="H1083" s="3" t="s">
        <v>27</v>
      </c>
      <c r="I1083" s="3">
        <v>5</v>
      </c>
      <c r="J1083" s="3" t="s">
        <v>12</v>
      </c>
      <c r="K1083" s="18">
        <v>90</v>
      </c>
      <c r="L1083" s="16">
        <v>140</v>
      </c>
      <c r="M1083" s="6" t="str" cm="1">
        <f t="array" ref="M1083">_xlfn.IFS(L1083&lt;100,"Economy",L1083&lt;200,"Standard",L1083&lt;350,"Powerful",L1083&lt;500,"High Performance",L1083&lt;800,"Sports Performance",L1083&gt;=800,"Super Performance")</f>
        <v>Standard</v>
      </c>
    </row>
    <row r="1084" spans="1:13" x14ac:dyDescent="0.25">
      <c r="A1084" s="5" t="s">
        <v>301</v>
      </c>
      <c r="B1084" s="3" t="s">
        <v>1219</v>
      </c>
      <c r="C1084" s="3" t="s">
        <v>1220</v>
      </c>
      <c r="D1084" s="4">
        <v>862175</v>
      </c>
      <c r="E1084" s="3">
        <v>1248</v>
      </c>
      <c r="F1084" s="3">
        <v>4</v>
      </c>
      <c r="G1084" s="3" t="s">
        <v>36</v>
      </c>
      <c r="H1084" s="3" t="s">
        <v>27</v>
      </c>
      <c r="I1084" s="3">
        <v>5</v>
      </c>
      <c r="J1084" s="3" t="s">
        <v>12</v>
      </c>
      <c r="K1084" s="18">
        <v>93</v>
      </c>
      <c r="L1084" s="16">
        <v>209</v>
      </c>
      <c r="M1084" s="6" t="str" cm="1">
        <f t="array" ref="M1084">_xlfn.IFS(L1084&lt;100,"Economy",L1084&lt;200,"Standard",L1084&lt;350,"Powerful",L1084&lt;500,"High Performance",L1084&lt;800,"Sports Performance",L1084&gt;=800,"Super Performance")</f>
        <v>Powerful</v>
      </c>
    </row>
    <row r="1085" spans="1:13" x14ac:dyDescent="0.25">
      <c r="A1085" s="5" t="s">
        <v>301</v>
      </c>
      <c r="B1085" s="3" t="s">
        <v>1219</v>
      </c>
      <c r="C1085" s="3" t="s">
        <v>1221</v>
      </c>
      <c r="D1085" s="4">
        <v>715860</v>
      </c>
      <c r="E1085" s="3">
        <v>1368</v>
      </c>
      <c r="F1085" s="3">
        <v>4</v>
      </c>
      <c r="G1085" s="3" t="s">
        <v>10</v>
      </c>
      <c r="H1085" s="3" t="s">
        <v>27</v>
      </c>
      <c r="I1085" s="3">
        <v>5</v>
      </c>
      <c r="J1085" s="3" t="s">
        <v>12</v>
      </c>
      <c r="K1085" s="18">
        <v>114</v>
      </c>
      <c r="L1085" s="16">
        <v>207</v>
      </c>
      <c r="M1085" s="6" t="str" cm="1">
        <f t="array" ref="M1085">_xlfn.IFS(L1085&lt;100,"Economy",L1085&lt;200,"Standard",L1085&lt;350,"Powerful",L1085&lt;500,"High Performance",L1085&lt;800,"Sports Performance",L1085&gt;=800,"Super Performance")</f>
        <v>Powerful</v>
      </c>
    </row>
    <row r="1086" spans="1:13" x14ac:dyDescent="0.25">
      <c r="A1086" s="5" t="s">
        <v>22</v>
      </c>
      <c r="B1086" s="3" t="s">
        <v>843</v>
      </c>
      <c r="C1086" s="3" t="s">
        <v>458</v>
      </c>
      <c r="D1086" s="4">
        <v>732475</v>
      </c>
      <c r="E1086" s="3">
        <v>1193</v>
      </c>
      <c r="F1086" s="3">
        <v>4</v>
      </c>
      <c r="G1086" s="3" t="s">
        <v>10</v>
      </c>
      <c r="H1086" s="3" t="s">
        <v>27</v>
      </c>
      <c r="I1086" s="3">
        <v>5</v>
      </c>
      <c r="J1086" s="3" t="s">
        <v>12</v>
      </c>
      <c r="K1086" s="18">
        <v>90</v>
      </c>
      <c r="L1086" s="16">
        <v>140</v>
      </c>
      <c r="M1086" s="6" t="str" cm="1">
        <f t="array" ref="M1086">_xlfn.IFS(L1086&lt;100,"Economy",L1086&lt;200,"Standard",L1086&lt;350,"Powerful",L1086&lt;500,"High Performance",L1086&lt;800,"Sports Performance",L1086&gt;=800,"Super Performance")</f>
        <v>Standard</v>
      </c>
    </row>
    <row r="1087" spans="1:13" x14ac:dyDescent="0.25">
      <c r="A1087" s="5" t="s">
        <v>93</v>
      </c>
      <c r="B1087" s="3" t="s">
        <v>1222</v>
      </c>
      <c r="C1087" s="3" t="s">
        <v>715</v>
      </c>
      <c r="D1087" s="4">
        <v>762742</v>
      </c>
      <c r="E1087" s="3">
        <v>1248</v>
      </c>
      <c r="F1087" s="3">
        <v>4</v>
      </c>
      <c r="G1087" s="3" t="s">
        <v>36</v>
      </c>
      <c r="H1087" s="3" t="s">
        <v>66</v>
      </c>
      <c r="I1087" s="3">
        <v>5</v>
      </c>
      <c r="J1087" s="3" t="s">
        <v>12</v>
      </c>
      <c r="K1087" s="18">
        <v>90</v>
      </c>
      <c r="L1087" s="16">
        <v>200</v>
      </c>
      <c r="M1087" s="6" t="str" cm="1">
        <f t="array" ref="M1087">_xlfn.IFS(L1087&lt;100,"Economy",L1087&lt;200,"Standard",L1087&lt;350,"Powerful",L1087&lt;500,"High Performance",L1087&lt;800,"Sports Performance",L1087&gt;=800,"Super Performance")</f>
        <v>Powerful</v>
      </c>
    </row>
    <row r="1088" spans="1:13" x14ac:dyDescent="0.25">
      <c r="A1088" s="5" t="s">
        <v>301</v>
      </c>
      <c r="B1088" s="3" t="s">
        <v>1219</v>
      </c>
      <c r="C1088" s="3" t="s">
        <v>1223</v>
      </c>
      <c r="D1088" s="4">
        <v>932025</v>
      </c>
      <c r="E1088" s="3">
        <v>1248</v>
      </c>
      <c r="F1088" s="3">
        <v>4</v>
      </c>
      <c r="G1088" s="3" t="s">
        <v>36</v>
      </c>
      <c r="H1088" s="3" t="s">
        <v>27</v>
      </c>
      <c r="I1088" s="3">
        <v>5</v>
      </c>
      <c r="J1088" s="3" t="s">
        <v>12</v>
      </c>
      <c r="K1088" s="18">
        <v>93</v>
      </c>
      <c r="L1088" s="16">
        <v>209</v>
      </c>
      <c r="M1088" s="6" t="str" cm="1">
        <f t="array" ref="M1088">_xlfn.IFS(L1088&lt;100,"Economy",L1088&lt;200,"Standard",L1088&lt;350,"Powerful",L1088&lt;500,"High Performance",L1088&lt;800,"Sports Performance",L1088&gt;=800,"Super Performance")</f>
        <v>Powerful</v>
      </c>
    </row>
    <row r="1089" spans="1:13" x14ac:dyDescent="0.25">
      <c r="A1089" s="5" t="s">
        <v>301</v>
      </c>
      <c r="B1089" s="3" t="s">
        <v>1219</v>
      </c>
      <c r="C1089" s="3" t="s">
        <v>1224</v>
      </c>
      <c r="D1089" s="4">
        <v>997763</v>
      </c>
      <c r="E1089" s="3">
        <v>1368</v>
      </c>
      <c r="F1089" s="3">
        <v>4</v>
      </c>
      <c r="G1089" s="3" t="s">
        <v>10</v>
      </c>
      <c r="H1089" s="3" t="s">
        <v>27</v>
      </c>
      <c r="I1089" s="3">
        <v>5</v>
      </c>
      <c r="J1089" s="3" t="s">
        <v>12</v>
      </c>
      <c r="K1089" s="18">
        <v>114</v>
      </c>
      <c r="L1089" s="16">
        <v>207</v>
      </c>
      <c r="M1089" s="6" t="str" cm="1">
        <f t="array" ref="M1089">_xlfn.IFS(L1089&lt;100,"Economy",L1089&lt;200,"Standard",L1089&lt;350,"Powerful",L1089&lt;500,"High Performance",L1089&lt;800,"Sports Performance",L1089&gt;=800,"Super Performance")</f>
        <v>Powerful</v>
      </c>
    </row>
    <row r="1090" spans="1:13" x14ac:dyDescent="0.25">
      <c r="A1090" s="5" t="s">
        <v>301</v>
      </c>
      <c r="B1090" s="3" t="s">
        <v>1219</v>
      </c>
      <c r="C1090" s="3" t="s">
        <v>1225</v>
      </c>
      <c r="D1090" s="4">
        <v>991434</v>
      </c>
      <c r="E1090" s="3">
        <v>1248</v>
      </c>
      <c r="F1090" s="3">
        <v>4</v>
      </c>
      <c r="G1090" s="3" t="s">
        <v>36</v>
      </c>
      <c r="H1090" s="3" t="s">
        <v>27</v>
      </c>
      <c r="I1090" s="3">
        <v>5</v>
      </c>
      <c r="J1090" s="3" t="s">
        <v>12</v>
      </c>
      <c r="K1090" s="18">
        <v>93</v>
      </c>
      <c r="L1090" s="16">
        <v>209</v>
      </c>
      <c r="M1090" s="6" t="str" cm="1">
        <f t="array" ref="M1090">_xlfn.IFS(L1090&lt;100,"Economy",L1090&lt;200,"Standard",L1090&lt;350,"Powerful",L1090&lt;500,"High Performance",L1090&lt;800,"Sports Performance",L1090&gt;=800,"Super Performance")</f>
        <v>Powerful</v>
      </c>
    </row>
    <row r="1091" spans="1:13" x14ac:dyDescent="0.25">
      <c r="A1091" s="5" t="s">
        <v>93</v>
      </c>
      <c r="B1091" s="3" t="s">
        <v>1222</v>
      </c>
      <c r="C1091" s="3" t="s">
        <v>1226</v>
      </c>
      <c r="D1091" s="4">
        <v>987743</v>
      </c>
      <c r="E1091" s="3">
        <v>1248</v>
      </c>
      <c r="F1091" s="3">
        <v>4</v>
      </c>
      <c r="G1091" s="3" t="s">
        <v>36</v>
      </c>
      <c r="H1091" s="3" t="s">
        <v>66</v>
      </c>
      <c r="I1091" s="3">
        <v>5</v>
      </c>
      <c r="J1091" s="3" t="s">
        <v>12</v>
      </c>
      <c r="K1091" s="18">
        <v>90</v>
      </c>
      <c r="L1091" s="16">
        <v>200</v>
      </c>
      <c r="M1091" s="6" t="str" cm="1">
        <f t="array" ref="M1091">_xlfn.IFS(L1091&lt;100,"Economy",L1091&lt;200,"Standard",L1091&lt;350,"Powerful",L1091&lt;500,"High Performance",L1091&lt;800,"Sports Performance",L1091&gt;=800,"Super Performance")</f>
        <v>Powerful</v>
      </c>
    </row>
    <row r="1092" spans="1:13" x14ac:dyDescent="0.25">
      <c r="A1092" s="5" t="s">
        <v>93</v>
      </c>
      <c r="B1092" s="3" t="s">
        <v>1222</v>
      </c>
      <c r="C1092" s="3" t="s">
        <v>716</v>
      </c>
      <c r="D1092" s="4">
        <v>814742</v>
      </c>
      <c r="E1092" s="3">
        <v>1248</v>
      </c>
      <c r="F1092" s="3">
        <v>4</v>
      </c>
      <c r="G1092" s="3" t="s">
        <v>36</v>
      </c>
      <c r="H1092" s="3" t="s">
        <v>66</v>
      </c>
      <c r="I1092" s="3">
        <v>5</v>
      </c>
      <c r="J1092" s="3" t="s">
        <v>12</v>
      </c>
      <c r="K1092" s="18">
        <v>90</v>
      </c>
      <c r="L1092" s="16">
        <v>200</v>
      </c>
      <c r="M1092" s="6" t="str" cm="1">
        <f t="array" ref="M1092">_xlfn.IFS(L1092&lt;100,"Economy",L1092&lt;200,"Standard",L1092&lt;350,"Powerful",L1092&lt;500,"High Performance",L1092&lt;800,"Sports Performance",L1092&gt;=800,"Super Performance")</f>
        <v>Powerful</v>
      </c>
    </row>
    <row r="1093" spans="1:13" x14ac:dyDescent="0.25">
      <c r="A1093" s="5" t="s">
        <v>93</v>
      </c>
      <c r="B1093" s="3" t="s">
        <v>1222</v>
      </c>
      <c r="C1093" s="3" t="s">
        <v>1227</v>
      </c>
      <c r="D1093" s="4">
        <v>1003552</v>
      </c>
      <c r="E1093" s="3">
        <v>1248</v>
      </c>
      <c r="F1093" s="3">
        <v>4</v>
      </c>
      <c r="G1093" s="3" t="s">
        <v>36</v>
      </c>
      <c r="H1093" s="3" t="s">
        <v>66</v>
      </c>
      <c r="I1093" s="3">
        <v>5</v>
      </c>
      <c r="J1093" s="3" t="s">
        <v>12</v>
      </c>
      <c r="K1093" s="18">
        <v>90</v>
      </c>
      <c r="L1093" s="16">
        <v>200</v>
      </c>
      <c r="M1093" s="6" t="str" cm="1">
        <f t="array" ref="M1093">_xlfn.IFS(L1093&lt;100,"Economy",L1093&lt;200,"Standard",L1093&lt;350,"Powerful",L1093&lt;500,"High Performance",L1093&lt;800,"Sports Performance",L1093&gt;=800,"Super Performance")</f>
        <v>Powerful</v>
      </c>
    </row>
    <row r="1094" spans="1:13" x14ac:dyDescent="0.25">
      <c r="A1094" s="5" t="s">
        <v>93</v>
      </c>
      <c r="B1094" s="3" t="s">
        <v>1222</v>
      </c>
      <c r="C1094" s="3" t="s">
        <v>718</v>
      </c>
      <c r="D1094" s="4">
        <v>892243</v>
      </c>
      <c r="E1094" s="3">
        <v>1248</v>
      </c>
      <c r="F1094" s="3">
        <v>4</v>
      </c>
      <c r="G1094" s="3" t="s">
        <v>36</v>
      </c>
      <c r="H1094" s="3" t="s">
        <v>66</v>
      </c>
      <c r="I1094" s="3">
        <v>5</v>
      </c>
      <c r="J1094" s="3" t="s">
        <v>12</v>
      </c>
      <c r="K1094" s="18">
        <v>90</v>
      </c>
      <c r="L1094" s="16">
        <v>200</v>
      </c>
      <c r="M1094" s="6" t="str" cm="1">
        <f t="array" ref="M1094">_xlfn.IFS(L1094&lt;100,"Economy",L1094&lt;200,"Standard",L1094&lt;350,"Powerful",L1094&lt;500,"High Performance",L1094&lt;800,"Sports Performance",L1094&gt;=800,"Super Performance")</f>
        <v>Powerful</v>
      </c>
    </row>
    <row r="1095" spans="1:13" x14ac:dyDescent="0.25">
      <c r="A1095" s="5" t="s">
        <v>93</v>
      </c>
      <c r="B1095" s="3" t="s">
        <v>1222</v>
      </c>
      <c r="C1095" s="3" t="s">
        <v>1228</v>
      </c>
      <c r="D1095" s="4">
        <v>942243</v>
      </c>
      <c r="E1095" s="3">
        <v>1248</v>
      </c>
      <c r="F1095" s="3">
        <v>4</v>
      </c>
      <c r="G1095" s="3" t="s">
        <v>36</v>
      </c>
      <c r="H1095" s="3" t="s">
        <v>66</v>
      </c>
      <c r="I1095" s="3">
        <v>5</v>
      </c>
      <c r="J1095" s="3" t="s">
        <v>30</v>
      </c>
      <c r="K1095" s="18">
        <v>90</v>
      </c>
      <c r="L1095" s="16">
        <v>200</v>
      </c>
      <c r="M1095" s="6" t="str" cm="1">
        <f t="array" ref="M1095">_xlfn.IFS(L1095&lt;100,"Economy",L1095&lt;200,"Standard",L1095&lt;350,"Powerful",L1095&lt;500,"High Performance",L1095&lt;800,"Sports Performance",L1095&gt;=800,"Super Performance")</f>
        <v>Powerful</v>
      </c>
    </row>
    <row r="1096" spans="1:13" x14ac:dyDescent="0.25">
      <c r="A1096" s="5" t="s">
        <v>93</v>
      </c>
      <c r="B1096" s="3" t="s">
        <v>1222</v>
      </c>
      <c r="C1096" s="3" t="s">
        <v>1229</v>
      </c>
      <c r="D1096" s="4">
        <v>864742</v>
      </c>
      <c r="E1096" s="3">
        <v>1248</v>
      </c>
      <c r="F1096" s="3">
        <v>4</v>
      </c>
      <c r="G1096" s="3" t="s">
        <v>36</v>
      </c>
      <c r="H1096" s="3" t="s">
        <v>66</v>
      </c>
      <c r="I1096" s="3">
        <v>5</v>
      </c>
      <c r="J1096" s="3" t="s">
        <v>30</v>
      </c>
      <c r="K1096" s="18">
        <v>90</v>
      </c>
      <c r="L1096" s="16">
        <v>200</v>
      </c>
      <c r="M1096" s="6" t="str" cm="1">
        <f t="array" ref="M1096">_xlfn.IFS(L1096&lt;100,"Economy",L1096&lt;200,"Standard",L1096&lt;350,"Powerful",L1096&lt;500,"High Performance",L1096&lt;800,"Sports Performance",L1096&gt;=800,"Super Performance")</f>
        <v>Powerful</v>
      </c>
    </row>
    <row r="1097" spans="1:13" x14ac:dyDescent="0.25">
      <c r="A1097" s="5" t="s">
        <v>93</v>
      </c>
      <c r="B1097" s="3" t="s">
        <v>1222</v>
      </c>
      <c r="C1097" s="3" t="s">
        <v>1230</v>
      </c>
      <c r="D1097" s="4">
        <v>1037742</v>
      </c>
      <c r="E1097" s="3">
        <v>1248</v>
      </c>
      <c r="F1097" s="3">
        <v>4</v>
      </c>
      <c r="G1097" s="3" t="s">
        <v>36</v>
      </c>
      <c r="H1097" s="3" t="s">
        <v>66</v>
      </c>
      <c r="I1097" s="3">
        <v>5</v>
      </c>
      <c r="J1097" s="3" t="s">
        <v>12</v>
      </c>
      <c r="K1097" s="18">
        <v>90</v>
      </c>
      <c r="L1097" s="16">
        <v>200</v>
      </c>
      <c r="M1097" s="6" t="str" cm="1">
        <f t="array" ref="M1097">_xlfn.IFS(L1097&lt;100,"Economy",L1097&lt;200,"Standard",L1097&lt;350,"Powerful",L1097&lt;500,"High Performance",L1097&lt;800,"Sports Performance",L1097&gt;=800,"Super Performance")</f>
        <v>Powerful</v>
      </c>
    </row>
    <row r="1098" spans="1:13" x14ac:dyDescent="0.25">
      <c r="A1098" s="5" t="s">
        <v>93</v>
      </c>
      <c r="B1098" s="3" t="s">
        <v>1222</v>
      </c>
      <c r="C1098" s="3" t="s">
        <v>1231</v>
      </c>
      <c r="D1098" s="4">
        <v>1059742</v>
      </c>
      <c r="E1098" s="3">
        <v>1248</v>
      </c>
      <c r="F1098" s="3">
        <v>4</v>
      </c>
      <c r="G1098" s="3" t="s">
        <v>36</v>
      </c>
      <c r="H1098" s="3" t="s">
        <v>66</v>
      </c>
      <c r="I1098" s="3">
        <v>5</v>
      </c>
      <c r="J1098" s="3" t="s">
        <v>30</v>
      </c>
      <c r="K1098" s="18">
        <v>90</v>
      </c>
      <c r="L1098" s="16">
        <v>200</v>
      </c>
      <c r="M1098" s="6" t="str" cm="1">
        <f t="array" ref="M1098">_xlfn.IFS(L1098&lt;100,"Economy",L1098&lt;200,"Standard",L1098&lt;350,"Powerful",L1098&lt;500,"High Performance",L1098&lt;800,"Sports Performance",L1098&gt;=800,"Super Performance")</f>
        <v>Powerful</v>
      </c>
    </row>
    <row r="1099" spans="1:13" x14ac:dyDescent="0.25">
      <c r="A1099" s="5" t="s">
        <v>7</v>
      </c>
      <c r="B1099" s="3" t="s">
        <v>882</v>
      </c>
      <c r="C1099" s="3" t="s">
        <v>1232</v>
      </c>
      <c r="D1099" s="4">
        <v>858536</v>
      </c>
      <c r="E1099" s="3">
        <v>1197</v>
      </c>
      <c r="F1099" s="3">
        <v>4</v>
      </c>
      <c r="G1099" s="3" t="s">
        <v>10</v>
      </c>
      <c r="H1099" s="3" t="s">
        <v>11</v>
      </c>
      <c r="I1099" s="3">
        <v>5</v>
      </c>
      <c r="J1099" s="3" t="s">
        <v>12</v>
      </c>
      <c r="K1099" s="18">
        <v>83</v>
      </c>
      <c r="L1099" s="16">
        <v>114</v>
      </c>
      <c r="M1099" s="6" t="str" cm="1">
        <f t="array" ref="M1099">_xlfn.IFS(L1099&lt;100,"Economy",L1099&lt;200,"Standard",L1099&lt;350,"Powerful",L1099&lt;500,"High Performance",L1099&lt;800,"Sports Performance",L1099&gt;=800,"Super Performance")</f>
        <v>Standard</v>
      </c>
    </row>
    <row r="1100" spans="1:13" x14ac:dyDescent="0.25">
      <c r="A1100" s="5" t="s">
        <v>350</v>
      </c>
      <c r="B1100" s="3" t="s">
        <v>1233</v>
      </c>
      <c r="C1100" s="3" t="s">
        <v>766</v>
      </c>
      <c r="D1100" s="4">
        <v>799990</v>
      </c>
      <c r="E1100" s="3">
        <v>1498</v>
      </c>
      <c r="F1100" s="3">
        <v>4</v>
      </c>
      <c r="G1100" s="3" t="s">
        <v>10</v>
      </c>
      <c r="H1100" s="3" t="s">
        <v>66</v>
      </c>
      <c r="I1100" s="3">
        <v>5</v>
      </c>
      <c r="J1100" s="3" t="s">
        <v>12</v>
      </c>
      <c r="K1100" s="18">
        <v>106</v>
      </c>
      <c r="L1100" s="16">
        <v>142</v>
      </c>
      <c r="M1100" s="6" t="str" cm="1">
        <f t="array" ref="M1100">_xlfn.IFS(L1100&lt;100,"Economy",L1100&lt;200,"Standard",L1100&lt;350,"Powerful",L1100&lt;500,"High Performance",L1100&lt;800,"Sports Performance",L1100&gt;=800,"Super Performance")</f>
        <v>Standard</v>
      </c>
    </row>
    <row r="1101" spans="1:13" x14ac:dyDescent="0.25">
      <c r="A1101" s="5" t="s">
        <v>350</v>
      </c>
      <c r="B1101" s="3" t="s">
        <v>1233</v>
      </c>
      <c r="C1101" s="3" t="s">
        <v>1234</v>
      </c>
      <c r="D1101" s="4">
        <v>919990</v>
      </c>
      <c r="E1101" s="3">
        <v>1498</v>
      </c>
      <c r="F1101" s="3">
        <v>4</v>
      </c>
      <c r="G1101" s="3" t="s">
        <v>10</v>
      </c>
      <c r="H1101" s="3" t="s">
        <v>66</v>
      </c>
      <c r="I1101" s="3">
        <v>5</v>
      </c>
      <c r="J1101" s="3" t="s">
        <v>12</v>
      </c>
      <c r="K1101" s="18">
        <v>106</v>
      </c>
      <c r="L1101" s="16">
        <v>142</v>
      </c>
      <c r="M1101" s="6" t="str" cm="1">
        <f t="array" ref="M1101">_xlfn.IFS(L1101&lt;100,"Economy",L1101&lt;200,"Standard",L1101&lt;350,"Powerful",L1101&lt;500,"High Performance",L1101&lt;800,"Sports Performance",L1101&gt;=800,"Super Performance")</f>
        <v>Standard</v>
      </c>
    </row>
    <row r="1102" spans="1:13" x14ac:dyDescent="0.25">
      <c r="A1102" s="5" t="s">
        <v>7</v>
      </c>
      <c r="B1102" s="3" t="s">
        <v>882</v>
      </c>
      <c r="C1102" s="3" t="s">
        <v>1235</v>
      </c>
      <c r="D1102" s="4">
        <v>882298</v>
      </c>
      <c r="E1102" s="3">
        <v>1197</v>
      </c>
      <c r="F1102" s="3">
        <v>4</v>
      </c>
      <c r="G1102" s="3" t="s">
        <v>10</v>
      </c>
      <c r="H1102" s="3" t="s">
        <v>11</v>
      </c>
      <c r="I1102" s="3">
        <v>5</v>
      </c>
      <c r="J1102" s="3" t="s">
        <v>12</v>
      </c>
      <c r="K1102" s="18">
        <v>83</v>
      </c>
      <c r="L1102" s="16">
        <v>114</v>
      </c>
      <c r="M1102" s="6" t="str" cm="1">
        <f t="array" ref="M1102">_xlfn.IFS(L1102&lt;100,"Economy",L1102&lt;200,"Standard",L1102&lt;350,"Powerful",L1102&lt;500,"High Performance",L1102&lt;800,"Sports Performance",L1102&gt;=800,"Super Performance")</f>
        <v>Standard</v>
      </c>
    </row>
    <row r="1103" spans="1:13" x14ac:dyDescent="0.25">
      <c r="A1103" s="5" t="s">
        <v>350</v>
      </c>
      <c r="B1103" s="3" t="s">
        <v>1233</v>
      </c>
      <c r="C1103" s="3" t="s">
        <v>1236</v>
      </c>
      <c r="D1103" s="4">
        <v>999990</v>
      </c>
      <c r="E1103" s="3">
        <v>1498</v>
      </c>
      <c r="F1103" s="3">
        <v>4</v>
      </c>
      <c r="G1103" s="3" t="s">
        <v>10</v>
      </c>
      <c r="H1103" s="3" t="s">
        <v>66</v>
      </c>
      <c r="I1103" s="3">
        <v>5</v>
      </c>
      <c r="J1103" s="3" t="s">
        <v>60</v>
      </c>
      <c r="K1103" s="18">
        <v>106</v>
      </c>
      <c r="L1103" s="16">
        <v>142</v>
      </c>
      <c r="M1103" s="6" t="str" cm="1">
        <f t="array" ref="M1103">_xlfn.IFS(L1103&lt;100,"Economy",L1103&lt;200,"Standard",L1103&lt;350,"Powerful",L1103&lt;500,"High Performance",L1103&lt;800,"Sports Performance",L1103&gt;=800,"Super Performance")</f>
        <v>Standard</v>
      </c>
    </row>
    <row r="1104" spans="1:13" x14ac:dyDescent="0.25">
      <c r="A1104" s="5" t="s">
        <v>350</v>
      </c>
      <c r="B1104" s="3" t="s">
        <v>1233</v>
      </c>
      <c r="C1104" s="3" t="s">
        <v>1237</v>
      </c>
      <c r="D1104" s="4">
        <v>929990</v>
      </c>
      <c r="E1104" s="3">
        <v>1461</v>
      </c>
      <c r="F1104" s="3">
        <v>4</v>
      </c>
      <c r="G1104" s="3" t="s">
        <v>36</v>
      </c>
      <c r="H1104" s="3" t="s">
        <v>66</v>
      </c>
      <c r="I1104" s="3">
        <v>5</v>
      </c>
      <c r="J1104" s="3" t="s">
        <v>12</v>
      </c>
      <c r="K1104" s="18">
        <v>85</v>
      </c>
      <c r="L1104" s="16">
        <v>200</v>
      </c>
      <c r="M1104" s="6" t="str" cm="1">
        <f t="array" ref="M1104">_xlfn.IFS(L1104&lt;100,"Economy",L1104&lt;200,"Standard",L1104&lt;350,"Powerful",L1104&lt;500,"High Performance",L1104&lt;800,"Sports Performance",L1104&gt;=800,"Super Performance")</f>
        <v>Powerful</v>
      </c>
    </row>
    <row r="1105" spans="1:13" x14ac:dyDescent="0.25">
      <c r="A1105" s="5" t="s">
        <v>350</v>
      </c>
      <c r="B1105" s="3" t="s">
        <v>1233</v>
      </c>
      <c r="C1105" s="3" t="s">
        <v>1238</v>
      </c>
      <c r="D1105" s="4">
        <v>999990</v>
      </c>
      <c r="E1105" s="3">
        <v>1461</v>
      </c>
      <c r="F1105" s="3">
        <v>4</v>
      </c>
      <c r="G1105" s="3" t="s">
        <v>36</v>
      </c>
      <c r="H1105" s="3" t="s">
        <v>66</v>
      </c>
      <c r="I1105" s="3">
        <v>5</v>
      </c>
      <c r="J1105" s="3" t="s">
        <v>12</v>
      </c>
      <c r="K1105" s="18">
        <v>85</v>
      </c>
      <c r="L1105" s="16">
        <v>200</v>
      </c>
      <c r="M1105" s="6" t="str" cm="1">
        <f t="array" ref="M1105">_xlfn.IFS(L1105&lt;100,"Economy",L1105&lt;200,"Standard",L1105&lt;350,"Powerful",L1105&lt;500,"High Performance",L1105&lt;800,"Sports Performance",L1105&gt;=800,"Super Performance")</f>
        <v>Powerful</v>
      </c>
    </row>
    <row r="1106" spans="1:13" x14ac:dyDescent="0.25">
      <c r="A1106" s="5" t="s">
        <v>350</v>
      </c>
      <c r="B1106" s="3" t="s">
        <v>1233</v>
      </c>
      <c r="C1106" s="3" t="s">
        <v>1239</v>
      </c>
      <c r="D1106" s="4">
        <v>1119990</v>
      </c>
      <c r="E1106" s="3">
        <v>1461</v>
      </c>
      <c r="F1106" s="3">
        <v>4</v>
      </c>
      <c r="G1106" s="3" t="s">
        <v>36</v>
      </c>
      <c r="H1106" s="3" t="s">
        <v>66</v>
      </c>
      <c r="I1106" s="3">
        <v>5</v>
      </c>
      <c r="J1106" s="3" t="s">
        <v>30</v>
      </c>
      <c r="K1106" s="18">
        <v>110</v>
      </c>
      <c r="L1106" s="16">
        <v>245</v>
      </c>
      <c r="M1106" s="6" t="str" cm="1">
        <f t="array" ref="M1106">_xlfn.IFS(L1106&lt;100,"Economy",L1106&lt;200,"Standard",L1106&lt;350,"Powerful",L1106&lt;500,"High Performance",L1106&lt;800,"Sports Performance",L1106&gt;=800,"Super Performance")</f>
        <v>Powerful</v>
      </c>
    </row>
    <row r="1107" spans="1:13" x14ac:dyDescent="0.25">
      <c r="A1107" s="5" t="s">
        <v>105</v>
      </c>
      <c r="B1107" s="3" t="s">
        <v>106</v>
      </c>
      <c r="C1107" s="3" t="s">
        <v>1240</v>
      </c>
      <c r="D1107" s="4">
        <v>1075000</v>
      </c>
      <c r="E1107" s="3">
        <v>2596</v>
      </c>
      <c r="F1107" s="3">
        <v>4</v>
      </c>
      <c r="G1107" s="3" t="s">
        <v>36</v>
      </c>
      <c r="H1107" s="3" t="s">
        <v>66</v>
      </c>
      <c r="I1107" s="3">
        <v>5</v>
      </c>
      <c r="J1107" s="3" t="s">
        <v>12</v>
      </c>
      <c r="K1107" s="18">
        <v>85</v>
      </c>
      <c r="L1107" s="16">
        <v>230</v>
      </c>
      <c r="M1107" s="6" t="str" cm="1">
        <f t="array" ref="M1107">_xlfn.IFS(L1107&lt;100,"Economy",L1107&lt;200,"Standard",L1107&lt;350,"Powerful",L1107&lt;500,"High Performance",L1107&lt;800,"Sports Performance",L1107&gt;=800,"Super Performance")</f>
        <v>Powerful</v>
      </c>
    </row>
    <row r="1108" spans="1:13" x14ac:dyDescent="0.25">
      <c r="A1108" s="5" t="s">
        <v>350</v>
      </c>
      <c r="B1108" s="3" t="s">
        <v>1233</v>
      </c>
      <c r="C1108" s="3" t="s">
        <v>1241</v>
      </c>
      <c r="D1108" s="4">
        <v>1249990</v>
      </c>
      <c r="E1108" s="3">
        <v>1461</v>
      </c>
      <c r="F1108" s="3">
        <v>4</v>
      </c>
      <c r="G1108" s="3" t="s">
        <v>36</v>
      </c>
      <c r="H1108" s="3" t="s">
        <v>66</v>
      </c>
      <c r="I1108" s="3">
        <v>5</v>
      </c>
      <c r="J1108" s="3" t="s">
        <v>30</v>
      </c>
      <c r="K1108" s="18">
        <v>110</v>
      </c>
      <c r="L1108" s="16">
        <v>245</v>
      </c>
      <c r="M1108" s="6" t="str" cm="1">
        <f t="array" ref="M1108">_xlfn.IFS(L1108&lt;100,"Economy",L1108&lt;200,"Standard",L1108&lt;350,"Powerful",L1108&lt;500,"High Performance",L1108&lt;800,"Sports Performance",L1108&gt;=800,"Super Performance")</f>
        <v>Powerful</v>
      </c>
    </row>
    <row r="1109" spans="1:13" x14ac:dyDescent="0.25">
      <c r="A1109" s="5" t="s">
        <v>350</v>
      </c>
      <c r="B1109" s="3" t="s">
        <v>1233</v>
      </c>
      <c r="C1109" s="3" t="s">
        <v>1242</v>
      </c>
      <c r="D1109" s="4">
        <v>1249990</v>
      </c>
      <c r="E1109" s="3">
        <v>1461</v>
      </c>
      <c r="F1109" s="3">
        <v>4</v>
      </c>
      <c r="G1109" s="3" t="s">
        <v>36</v>
      </c>
      <c r="H1109" s="3" t="s">
        <v>66</v>
      </c>
      <c r="I1109" s="3">
        <v>5</v>
      </c>
      <c r="J1109" s="3" t="s">
        <v>30</v>
      </c>
      <c r="K1109" s="18">
        <v>110</v>
      </c>
      <c r="L1109" s="16">
        <v>245</v>
      </c>
      <c r="M1109" s="6" t="str" cm="1">
        <f t="array" ref="M1109">_xlfn.IFS(L1109&lt;100,"Economy",L1109&lt;200,"Standard",L1109&lt;350,"Powerful",L1109&lt;500,"High Performance",L1109&lt;800,"Sports Performance",L1109&gt;=800,"Super Performance")</f>
        <v>Powerful</v>
      </c>
    </row>
    <row r="1110" spans="1:13" x14ac:dyDescent="0.25">
      <c r="A1110" s="5" t="s">
        <v>350</v>
      </c>
      <c r="B1110" s="3" t="s">
        <v>1233</v>
      </c>
      <c r="C1110" s="3" t="s">
        <v>1243</v>
      </c>
      <c r="D1110" s="4">
        <v>1209990</v>
      </c>
      <c r="E1110" s="3">
        <v>1461</v>
      </c>
      <c r="F1110" s="3">
        <v>4</v>
      </c>
      <c r="G1110" s="3" t="s">
        <v>36</v>
      </c>
      <c r="H1110" s="3" t="s">
        <v>66</v>
      </c>
      <c r="I1110" s="3">
        <v>5</v>
      </c>
      <c r="J1110" s="3" t="s">
        <v>30</v>
      </c>
      <c r="K1110" s="18">
        <v>110</v>
      </c>
      <c r="L1110" s="16">
        <v>245</v>
      </c>
      <c r="M1110" s="6" t="str" cm="1">
        <f t="array" ref="M1110">_xlfn.IFS(L1110&lt;100,"Economy",L1110&lt;200,"Standard",L1110&lt;350,"Powerful",L1110&lt;500,"High Performance",L1110&lt;800,"Sports Performance",L1110&gt;=800,"Super Performance")</f>
        <v>Powerful</v>
      </c>
    </row>
    <row r="1111" spans="1:13" x14ac:dyDescent="0.25">
      <c r="A1111" s="5" t="s">
        <v>572</v>
      </c>
      <c r="B1111" s="3" t="s">
        <v>1244</v>
      </c>
      <c r="C1111" s="3" t="s">
        <v>1245</v>
      </c>
      <c r="D1111" s="4">
        <v>1425599</v>
      </c>
      <c r="E1111" s="3">
        <v>1498</v>
      </c>
      <c r="F1111" s="3">
        <v>4</v>
      </c>
      <c r="G1111" s="3" t="s">
        <v>36</v>
      </c>
      <c r="H1111" s="3" t="s">
        <v>27</v>
      </c>
      <c r="I1111" s="3">
        <v>5</v>
      </c>
      <c r="J1111" s="3" t="s">
        <v>30</v>
      </c>
      <c r="K1111" s="18">
        <v>110</v>
      </c>
      <c r="L1111" s="16">
        <v>250</v>
      </c>
      <c r="M1111" s="6" t="str" cm="1">
        <f t="array" ref="M1111">_xlfn.IFS(L1111&lt;100,"Economy",L1111&lt;200,"Standard",L1111&lt;350,"Powerful",L1111&lt;500,"High Performance",L1111&lt;800,"Sports Performance",L1111&gt;=800,"Super Performance")</f>
        <v>Powerful</v>
      </c>
    </row>
    <row r="1112" spans="1:13" x14ac:dyDescent="0.25">
      <c r="A1112" s="5" t="s">
        <v>105</v>
      </c>
      <c r="B1112" s="3" t="s">
        <v>106</v>
      </c>
      <c r="C1112" s="3" t="s">
        <v>1246</v>
      </c>
      <c r="D1112" s="4">
        <v>1225000</v>
      </c>
      <c r="E1112" s="3">
        <v>2596</v>
      </c>
      <c r="F1112" s="3">
        <v>4</v>
      </c>
      <c r="G1112" s="3" t="s">
        <v>36</v>
      </c>
      <c r="H1112" s="3" t="s">
        <v>66</v>
      </c>
      <c r="I1112" s="3">
        <v>5</v>
      </c>
      <c r="J1112" s="3" t="s">
        <v>12</v>
      </c>
      <c r="K1112" s="18">
        <v>85</v>
      </c>
      <c r="L1112" s="16">
        <v>230</v>
      </c>
      <c r="M1112" s="6" t="str" cm="1">
        <f t="array" ref="M1112">_xlfn.IFS(L1112&lt;100,"Economy",L1112&lt;200,"Standard",L1112&lt;350,"Powerful",L1112&lt;500,"High Performance",L1112&lt;800,"Sports Performance",L1112&gt;=800,"Super Performance")</f>
        <v>Powerful</v>
      </c>
    </row>
    <row r="1113" spans="1:13" x14ac:dyDescent="0.25">
      <c r="A1113" s="5" t="s">
        <v>202</v>
      </c>
      <c r="B1113" s="3" t="s">
        <v>1069</v>
      </c>
      <c r="C1113" s="3" t="s">
        <v>1247</v>
      </c>
      <c r="D1113" s="4">
        <v>1236258</v>
      </c>
      <c r="E1113" s="3">
        <v>2179</v>
      </c>
      <c r="F1113" s="3">
        <v>4</v>
      </c>
      <c r="G1113" s="3" t="s">
        <v>36</v>
      </c>
      <c r="H1113" s="3" t="s">
        <v>66</v>
      </c>
      <c r="I1113" s="3">
        <v>5</v>
      </c>
      <c r="J1113" s="3" t="s">
        <v>12</v>
      </c>
      <c r="K1113" s="18">
        <v>121</v>
      </c>
      <c r="L1113" s="16">
        <v>280</v>
      </c>
      <c r="M1113" s="6" t="str" cm="1">
        <f t="array" ref="M1113">_xlfn.IFS(L1113&lt;100,"Economy",L1113&lt;200,"Standard",L1113&lt;350,"Powerful",L1113&lt;500,"High Performance",L1113&lt;800,"Sports Performance",L1113&gt;=800,"Super Performance")</f>
        <v>Powerful</v>
      </c>
    </row>
    <row r="1114" spans="1:13" x14ac:dyDescent="0.25">
      <c r="A1114" s="5" t="s">
        <v>202</v>
      </c>
      <c r="B1114" s="3" t="s">
        <v>1069</v>
      </c>
      <c r="C1114" s="3" t="s">
        <v>1248</v>
      </c>
      <c r="D1114" s="4">
        <v>1123158</v>
      </c>
      <c r="E1114" s="3">
        <v>2179</v>
      </c>
      <c r="F1114" s="3">
        <v>4</v>
      </c>
      <c r="G1114" s="3" t="s">
        <v>36</v>
      </c>
      <c r="H1114" s="3" t="s">
        <v>66</v>
      </c>
      <c r="I1114" s="3">
        <v>5</v>
      </c>
      <c r="J1114" s="3" t="s">
        <v>12</v>
      </c>
      <c r="K1114" s="18">
        <v>121</v>
      </c>
      <c r="L1114" s="16">
        <v>280</v>
      </c>
      <c r="M1114" s="6" t="str" cm="1">
        <f t="array" ref="M1114">_xlfn.IFS(L1114&lt;100,"Economy",L1114&lt;200,"Standard",L1114&lt;350,"Powerful",L1114&lt;500,"High Performance",L1114&lt;800,"Sports Performance",L1114&gt;=800,"Super Performance")</f>
        <v>Powerful</v>
      </c>
    </row>
    <row r="1115" spans="1:13" x14ac:dyDescent="0.25">
      <c r="A1115" s="5" t="s">
        <v>572</v>
      </c>
      <c r="B1115" s="3" t="s">
        <v>1244</v>
      </c>
      <c r="C1115" s="3" t="s">
        <v>1249</v>
      </c>
      <c r="D1115" s="4">
        <v>1299599</v>
      </c>
      <c r="E1115" s="3">
        <v>1498</v>
      </c>
      <c r="F1115" s="3">
        <v>4</v>
      </c>
      <c r="G1115" s="3" t="s">
        <v>36</v>
      </c>
      <c r="H1115" s="3" t="s">
        <v>27</v>
      </c>
      <c r="I1115" s="3">
        <v>5</v>
      </c>
      <c r="J1115" s="3" t="s">
        <v>12</v>
      </c>
      <c r="K1115" s="18">
        <v>110</v>
      </c>
      <c r="L1115" s="16">
        <v>250</v>
      </c>
      <c r="M1115" s="6" t="str" cm="1">
        <f t="array" ref="M1115">_xlfn.IFS(L1115&lt;100,"Economy",L1115&lt;200,"Standard",L1115&lt;350,"Powerful",L1115&lt;500,"High Performance",L1115&lt;800,"Sports Performance",L1115&gt;=800,"Super Performance")</f>
        <v>Powerful</v>
      </c>
    </row>
    <row r="1116" spans="1:13" x14ac:dyDescent="0.25">
      <c r="A1116" s="5" t="s">
        <v>572</v>
      </c>
      <c r="B1116" s="3" t="s">
        <v>1244</v>
      </c>
      <c r="C1116" s="3" t="s">
        <v>1250</v>
      </c>
      <c r="D1116" s="4">
        <v>1139599</v>
      </c>
      <c r="E1116" s="3">
        <v>1598</v>
      </c>
      <c r="F1116" s="3">
        <v>4</v>
      </c>
      <c r="G1116" s="3" t="s">
        <v>10</v>
      </c>
      <c r="H1116" s="3" t="s">
        <v>27</v>
      </c>
      <c r="I1116" s="3">
        <v>5</v>
      </c>
      <c r="J1116" s="3" t="s">
        <v>12</v>
      </c>
      <c r="K1116" s="18">
        <v>105</v>
      </c>
      <c r="L1116" s="16">
        <v>153</v>
      </c>
      <c r="M1116" s="6" t="str" cm="1">
        <f t="array" ref="M1116">_xlfn.IFS(L1116&lt;100,"Economy",L1116&lt;200,"Standard",L1116&lt;350,"Powerful",L1116&lt;500,"High Performance",L1116&lt;800,"Sports Performance",L1116&gt;=800,"Super Performance")</f>
        <v>Standard</v>
      </c>
    </row>
    <row r="1117" spans="1:13" x14ac:dyDescent="0.25">
      <c r="A1117" s="5" t="s">
        <v>572</v>
      </c>
      <c r="B1117" s="3" t="s">
        <v>1244</v>
      </c>
      <c r="C1117" s="3" t="s">
        <v>1251</v>
      </c>
      <c r="D1117" s="4">
        <v>1269599</v>
      </c>
      <c r="E1117" s="3">
        <v>1598</v>
      </c>
      <c r="F1117" s="3">
        <v>4</v>
      </c>
      <c r="G1117" s="3" t="s">
        <v>10</v>
      </c>
      <c r="H1117" s="3" t="s">
        <v>27</v>
      </c>
      <c r="I1117" s="3">
        <v>5</v>
      </c>
      <c r="J1117" s="3" t="s">
        <v>30</v>
      </c>
      <c r="K1117" s="18">
        <v>105</v>
      </c>
      <c r="L1117" s="16">
        <v>153</v>
      </c>
      <c r="M1117" s="6" t="str" cm="1">
        <f t="array" ref="M1117">_xlfn.IFS(L1117&lt;100,"Economy",L1117&lt;200,"Standard",L1117&lt;350,"Powerful",L1117&lt;500,"High Performance",L1117&lt;800,"Sports Performance",L1117&gt;=800,"Super Performance")</f>
        <v>Standard</v>
      </c>
    </row>
    <row r="1118" spans="1:13" x14ac:dyDescent="0.25">
      <c r="A1118" s="5" t="s">
        <v>55</v>
      </c>
      <c r="B1118" s="3" t="s">
        <v>488</v>
      </c>
      <c r="C1118" s="3" t="s">
        <v>1252</v>
      </c>
      <c r="D1118" s="4">
        <v>1936000</v>
      </c>
      <c r="E1118" s="3">
        <v>1364</v>
      </c>
      <c r="F1118" s="3">
        <v>4</v>
      </c>
      <c r="G1118" s="3" t="s">
        <v>36</v>
      </c>
      <c r="H1118" s="3" t="s">
        <v>27</v>
      </c>
      <c r="I1118" s="3">
        <v>5</v>
      </c>
      <c r="J1118" s="3" t="s">
        <v>12</v>
      </c>
      <c r="K1118" s="18">
        <v>88.4</v>
      </c>
      <c r="L1118" s="16">
        <v>205</v>
      </c>
      <c r="M1118" s="6" t="str" cm="1">
        <f t="array" ref="M1118">_xlfn.IFS(L1118&lt;100,"Economy",L1118&lt;200,"Standard",L1118&lt;350,"Powerful",L1118&lt;500,"High Performance",L1118&lt;800,"Sports Performance",L1118&gt;=800,"Super Performance")</f>
        <v>Powerful</v>
      </c>
    </row>
    <row r="1119" spans="1:13" x14ac:dyDescent="0.25">
      <c r="A1119" s="5" t="s">
        <v>572</v>
      </c>
      <c r="B1119" s="3" t="s">
        <v>1253</v>
      </c>
      <c r="C1119" s="3" t="s">
        <v>1254</v>
      </c>
      <c r="D1119" s="4">
        <v>2599599</v>
      </c>
      <c r="E1119" s="3">
        <v>1798</v>
      </c>
      <c r="F1119" s="3">
        <v>4</v>
      </c>
      <c r="G1119" s="3" t="s">
        <v>10</v>
      </c>
      <c r="H1119" s="3" t="s">
        <v>27</v>
      </c>
      <c r="I1119" s="3">
        <v>5</v>
      </c>
      <c r="J1119" s="3" t="s">
        <v>12</v>
      </c>
      <c r="K1119" s="18">
        <v>180</v>
      </c>
      <c r="L1119" s="16">
        <v>320</v>
      </c>
      <c r="M1119" s="6" t="str" cm="1">
        <f t="array" ref="M1119">_xlfn.IFS(L1119&lt;100,"Economy",L1119&lt;200,"Standard",L1119&lt;350,"Powerful",L1119&lt;500,"High Performance",L1119&lt;800,"Sports Performance",L1119&gt;=800,"Super Performance")</f>
        <v>Powerful</v>
      </c>
    </row>
    <row r="1120" spans="1:13" x14ac:dyDescent="0.25">
      <c r="A1120" s="5" t="s">
        <v>55</v>
      </c>
      <c r="B1120" s="3" t="s">
        <v>488</v>
      </c>
      <c r="C1120" s="3" t="s">
        <v>1255</v>
      </c>
      <c r="D1120" s="4">
        <v>1771000</v>
      </c>
      <c r="E1120" s="3">
        <v>1364</v>
      </c>
      <c r="F1120" s="3">
        <v>4</v>
      </c>
      <c r="G1120" s="3" t="s">
        <v>36</v>
      </c>
      <c r="H1120" s="3" t="s">
        <v>27</v>
      </c>
      <c r="I1120" s="3">
        <v>5</v>
      </c>
      <c r="J1120" s="3" t="s">
        <v>12</v>
      </c>
      <c r="K1120" s="18">
        <v>88.4</v>
      </c>
      <c r="L1120" s="16">
        <v>205</v>
      </c>
      <c r="M1120" s="6" t="str" cm="1">
        <f t="array" ref="M1120">_xlfn.IFS(L1120&lt;100,"Economy",L1120&lt;200,"Standard",L1120&lt;350,"Powerful",L1120&lt;500,"High Performance",L1120&lt;800,"Sports Performance",L1120&gt;=800,"Super Performance")</f>
        <v>Powerful</v>
      </c>
    </row>
    <row r="1121" spans="1:13" x14ac:dyDescent="0.25">
      <c r="A1121" s="5" t="s">
        <v>572</v>
      </c>
      <c r="B1121" s="3" t="s">
        <v>1253</v>
      </c>
      <c r="C1121" s="3" t="s">
        <v>1256</v>
      </c>
      <c r="D1121" s="4">
        <v>3099599</v>
      </c>
      <c r="E1121" s="3">
        <v>1798</v>
      </c>
      <c r="F1121" s="3">
        <v>4</v>
      </c>
      <c r="G1121" s="3" t="s">
        <v>10</v>
      </c>
      <c r="H1121" s="3" t="s">
        <v>27</v>
      </c>
      <c r="I1121" s="3">
        <v>5</v>
      </c>
      <c r="J1121" s="3" t="s">
        <v>30</v>
      </c>
      <c r="K1121" s="18">
        <v>180</v>
      </c>
      <c r="L1121" s="16">
        <v>250</v>
      </c>
      <c r="M1121" s="6" t="str" cm="1">
        <f t="array" ref="M1121">_xlfn.IFS(L1121&lt;100,"Economy",L1121&lt;200,"Standard",L1121&lt;350,"Powerful",L1121&lt;500,"High Performance",L1121&lt;800,"Sports Performance",L1121&gt;=800,"Super Performance")</f>
        <v>Powerful</v>
      </c>
    </row>
    <row r="1122" spans="1:13" x14ac:dyDescent="0.25">
      <c r="A1122" s="5" t="s">
        <v>572</v>
      </c>
      <c r="B1122" s="3" t="s">
        <v>1253</v>
      </c>
      <c r="C1122" s="3" t="s">
        <v>1257</v>
      </c>
      <c r="D1122" s="4">
        <v>3029599</v>
      </c>
      <c r="E1122" s="3">
        <v>1968</v>
      </c>
      <c r="F1122" s="3">
        <v>4</v>
      </c>
      <c r="G1122" s="3" t="s">
        <v>36</v>
      </c>
      <c r="H1122" s="3" t="s">
        <v>27</v>
      </c>
      <c r="I1122" s="3">
        <v>5</v>
      </c>
      <c r="J1122" s="3" t="s">
        <v>30</v>
      </c>
      <c r="K1122" s="18">
        <v>177</v>
      </c>
      <c r="L1122" s="16">
        <v>350</v>
      </c>
      <c r="M1122" s="6" t="str" cm="1">
        <f t="array" ref="M1122">_xlfn.IFS(L1122&lt;100,"Economy",L1122&lt;200,"Standard",L1122&lt;350,"Powerful",L1122&lt;500,"High Performance",L1122&lt;800,"Sports Performance",L1122&gt;=800,"Super Performance")</f>
        <v>High Performance</v>
      </c>
    </row>
    <row r="1123" spans="1:13" x14ac:dyDescent="0.25">
      <c r="A1123" s="5" t="s">
        <v>572</v>
      </c>
      <c r="B1123" s="3" t="s">
        <v>1253</v>
      </c>
      <c r="C1123" s="3" t="s">
        <v>1258</v>
      </c>
      <c r="D1123" s="4">
        <v>3349599</v>
      </c>
      <c r="E1123" s="3">
        <v>1968</v>
      </c>
      <c r="F1123" s="3">
        <v>4</v>
      </c>
      <c r="G1123" s="3" t="s">
        <v>36</v>
      </c>
      <c r="H1123" s="3" t="s">
        <v>27</v>
      </c>
      <c r="I1123" s="3">
        <v>5</v>
      </c>
      <c r="J1123" s="3" t="s">
        <v>30</v>
      </c>
      <c r="K1123" s="18">
        <v>177</v>
      </c>
      <c r="L1123" s="16">
        <v>350</v>
      </c>
      <c r="M1123" s="6" t="str" cm="1">
        <f t="array" ref="M1123">_xlfn.IFS(L1123&lt;100,"Economy",L1123&lt;200,"Standard",L1123&lt;350,"Powerful",L1123&lt;500,"High Performance",L1123&lt;800,"Sports Performance",L1123&gt;=800,"Super Performance")</f>
        <v>High Performance</v>
      </c>
    </row>
    <row r="1124" spans="1:13" x14ac:dyDescent="0.25">
      <c r="A1124" s="5" t="s">
        <v>572</v>
      </c>
      <c r="B1124" s="3" t="s">
        <v>1253</v>
      </c>
      <c r="C1124" s="3" t="s">
        <v>1259</v>
      </c>
      <c r="D1124" s="4">
        <v>2779599</v>
      </c>
      <c r="E1124" s="3">
        <v>1798</v>
      </c>
      <c r="F1124" s="3">
        <v>4</v>
      </c>
      <c r="G1124" s="3" t="s">
        <v>10</v>
      </c>
      <c r="H1124" s="3" t="s">
        <v>27</v>
      </c>
      <c r="I1124" s="3">
        <v>5</v>
      </c>
      <c r="J1124" s="3" t="s">
        <v>30</v>
      </c>
      <c r="K1124" s="18">
        <v>180</v>
      </c>
      <c r="L1124" s="16">
        <v>250</v>
      </c>
      <c r="M1124" s="6" t="str" cm="1">
        <f t="array" ref="M1124">_xlfn.IFS(L1124&lt;100,"Economy",L1124&lt;200,"Standard",L1124&lt;350,"Powerful",L1124&lt;500,"High Performance",L1124&lt;800,"Sports Performance",L1124&gt;=800,"Super Performance")</f>
        <v>Powerful</v>
      </c>
    </row>
    <row r="1125" spans="1:13" x14ac:dyDescent="0.25">
      <c r="A1125" s="5" t="s">
        <v>382</v>
      </c>
      <c r="B1125" s="3" t="s">
        <v>652</v>
      </c>
      <c r="C1125" s="3" t="s">
        <v>1260</v>
      </c>
      <c r="D1125" s="4">
        <v>5602000</v>
      </c>
      <c r="E1125" s="3">
        <v>1969</v>
      </c>
      <c r="F1125" s="3">
        <v>4</v>
      </c>
      <c r="G1125" s="3" t="s">
        <v>10</v>
      </c>
      <c r="H1125" s="3" t="s">
        <v>27</v>
      </c>
      <c r="I1125" s="3">
        <v>5</v>
      </c>
      <c r="J1125" s="3" t="s">
        <v>30</v>
      </c>
      <c r="K1125" s="18">
        <v>372</v>
      </c>
      <c r="L1125" s="16">
        <v>470</v>
      </c>
      <c r="M1125" s="6" t="str" cm="1">
        <f t="array" ref="M1125">_xlfn.IFS(L1125&lt;100,"Economy",L1125&lt;200,"Standard",L1125&lt;350,"Powerful",L1125&lt;500,"High Performance",L1125&lt;800,"Sports Performance",L1125&gt;=800,"Super Performance")</f>
        <v>High Performance</v>
      </c>
    </row>
    <row r="1126" spans="1:13" x14ac:dyDescent="0.25">
      <c r="A1126" s="5" t="s">
        <v>90</v>
      </c>
      <c r="B1126" s="3" t="s">
        <v>386</v>
      </c>
      <c r="C1126" s="3" t="s">
        <v>1261</v>
      </c>
      <c r="D1126" s="4">
        <v>5861062</v>
      </c>
      <c r="E1126" s="3">
        <v>1991</v>
      </c>
      <c r="F1126" s="3">
        <v>4</v>
      </c>
      <c r="G1126" s="3" t="s">
        <v>10</v>
      </c>
      <c r="H1126" s="3" t="s">
        <v>27</v>
      </c>
      <c r="I1126" s="3">
        <v>5</v>
      </c>
      <c r="J1126" s="3" t="s">
        <v>30</v>
      </c>
      <c r="K1126" s="18">
        <v>184</v>
      </c>
      <c r="L1126" s="16">
        <v>300</v>
      </c>
      <c r="M1126" s="6" t="str" cm="1">
        <f t="array" ref="M1126">_xlfn.IFS(L1126&lt;100,"Economy",L1126&lt;200,"Standard",L1126&lt;350,"Powerful",L1126&lt;500,"High Performance",L1126&lt;800,"Sports Performance",L1126&gt;=800,"Super Performance")</f>
        <v>Powerful</v>
      </c>
    </row>
    <row r="1127" spans="1:13" x14ac:dyDescent="0.25">
      <c r="A1127" s="5" t="s">
        <v>572</v>
      </c>
      <c r="B1127" s="3" t="s">
        <v>1253</v>
      </c>
      <c r="C1127" s="3" t="s">
        <v>1262</v>
      </c>
      <c r="D1127" s="4">
        <v>2599599</v>
      </c>
      <c r="E1127" s="3">
        <v>1798</v>
      </c>
      <c r="F1127" s="3">
        <v>4</v>
      </c>
      <c r="G1127" s="3" t="s">
        <v>10</v>
      </c>
      <c r="H1127" s="3" t="s">
        <v>27</v>
      </c>
      <c r="I1127" s="3">
        <v>5</v>
      </c>
      <c r="J1127" s="3" t="s">
        <v>30</v>
      </c>
      <c r="K1127" s="18">
        <v>180</v>
      </c>
      <c r="L1127" s="16">
        <v>250</v>
      </c>
      <c r="M1127" s="6" t="str" cm="1">
        <f t="array" ref="M1127">_xlfn.IFS(L1127&lt;100,"Economy",L1127&lt;200,"Standard",L1127&lt;350,"Powerful",L1127&lt;500,"High Performance",L1127&lt;800,"Sports Performance",L1127&gt;=800,"Super Performance")</f>
        <v>Powerful</v>
      </c>
    </row>
    <row r="1128" spans="1:13" x14ac:dyDescent="0.25">
      <c r="A1128" s="5" t="s">
        <v>572</v>
      </c>
      <c r="B1128" s="3" t="s">
        <v>1253</v>
      </c>
      <c r="C1128" s="3" t="s">
        <v>1263</v>
      </c>
      <c r="D1128" s="4">
        <v>2849599</v>
      </c>
      <c r="E1128" s="3">
        <v>1968</v>
      </c>
      <c r="F1128" s="3">
        <v>4</v>
      </c>
      <c r="G1128" s="3" t="s">
        <v>36</v>
      </c>
      <c r="H1128" s="3" t="s">
        <v>27</v>
      </c>
      <c r="I1128" s="3">
        <v>5</v>
      </c>
      <c r="J1128" s="3" t="s">
        <v>30</v>
      </c>
      <c r="K1128" s="18">
        <v>177</v>
      </c>
      <c r="L1128" s="16">
        <v>350</v>
      </c>
      <c r="M1128" s="6" t="str" cm="1">
        <f t="array" ref="M1128">_xlfn.IFS(L1128&lt;100,"Economy",L1128&lt;200,"Standard",L1128&lt;350,"Powerful",L1128&lt;500,"High Performance",L1128&lt;800,"Sports Performance",L1128&gt;=800,"Super Performance")</f>
        <v>High Performance</v>
      </c>
    </row>
    <row r="1129" spans="1:13" x14ac:dyDescent="0.25">
      <c r="A1129" s="5" t="s">
        <v>90</v>
      </c>
      <c r="B1129" s="3" t="s">
        <v>386</v>
      </c>
      <c r="C1129" s="3" t="s">
        <v>1264</v>
      </c>
      <c r="D1129" s="4">
        <v>5750000</v>
      </c>
      <c r="E1129" s="3">
        <v>1991</v>
      </c>
      <c r="F1129" s="3">
        <v>4</v>
      </c>
      <c r="G1129" s="3" t="s">
        <v>10</v>
      </c>
      <c r="H1129" s="3" t="s">
        <v>27</v>
      </c>
      <c r="I1129" s="3">
        <v>5</v>
      </c>
      <c r="J1129" s="3" t="s">
        <v>30</v>
      </c>
      <c r="K1129" s="18">
        <v>184</v>
      </c>
      <c r="L1129" s="16">
        <v>300</v>
      </c>
      <c r="M1129" s="6" t="str" cm="1">
        <f t="array" ref="M1129">_xlfn.IFS(L1129&lt;100,"Economy",L1129&lt;200,"Standard",L1129&lt;350,"Powerful",L1129&lt;500,"High Performance",L1129&lt;800,"Sports Performance",L1129&gt;=800,"Super Performance")</f>
        <v>Powerful</v>
      </c>
    </row>
    <row r="1130" spans="1:13" x14ac:dyDescent="0.25">
      <c r="A1130" s="5" t="s">
        <v>90</v>
      </c>
      <c r="B1130" s="3" t="s">
        <v>386</v>
      </c>
      <c r="C1130" s="3" t="s">
        <v>1265</v>
      </c>
      <c r="D1130" s="4">
        <v>6150000</v>
      </c>
      <c r="E1130" s="3">
        <v>1991</v>
      </c>
      <c r="F1130" s="3">
        <v>4</v>
      </c>
      <c r="G1130" s="3" t="s">
        <v>10</v>
      </c>
      <c r="H1130" s="3" t="s">
        <v>27</v>
      </c>
      <c r="I1130" s="3">
        <v>5</v>
      </c>
      <c r="J1130" s="3" t="s">
        <v>30</v>
      </c>
      <c r="K1130" s="18">
        <v>184</v>
      </c>
      <c r="L1130" s="16">
        <v>300</v>
      </c>
      <c r="M1130" s="6" t="str" cm="1">
        <f t="array" ref="M1130">_xlfn.IFS(L1130&lt;100,"Economy",L1130&lt;200,"Standard",L1130&lt;350,"Powerful",L1130&lt;500,"High Performance",L1130&lt;800,"Sports Performance",L1130&gt;=800,"Super Performance")</f>
        <v>Powerful</v>
      </c>
    </row>
    <row r="1131" spans="1:13" x14ac:dyDescent="0.25">
      <c r="A1131" s="5" t="s">
        <v>63</v>
      </c>
      <c r="B1131" s="3" t="s">
        <v>1266</v>
      </c>
      <c r="C1131" s="3" t="s">
        <v>1267</v>
      </c>
      <c r="D1131" s="4">
        <v>6394000</v>
      </c>
      <c r="E1131" s="3">
        <v>1999</v>
      </c>
      <c r="F1131" s="3">
        <v>4</v>
      </c>
      <c r="G1131" s="3" t="s">
        <v>10</v>
      </c>
      <c r="H1131" s="3" t="s">
        <v>66</v>
      </c>
      <c r="I1131" s="3">
        <v>5</v>
      </c>
      <c r="J1131" s="3" t="s">
        <v>30</v>
      </c>
      <c r="K1131" s="18">
        <v>268</v>
      </c>
      <c r="L1131" s="16">
        <v>400</v>
      </c>
      <c r="M1131" s="6" t="str" cm="1">
        <f t="array" ref="M1131">_xlfn.IFS(L1131&lt;100,"Economy",L1131&lt;200,"Standard",L1131&lt;350,"Powerful",L1131&lt;500,"High Performance",L1131&lt;800,"Sports Performance",L1131&gt;=800,"Super Performance")</f>
        <v>High Performance</v>
      </c>
    </row>
    <row r="1132" spans="1:13" x14ac:dyDescent="0.25">
      <c r="A1132" s="5" t="s">
        <v>146</v>
      </c>
      <c r="B1132" s="3" t="s">
        <v>320</v>
      </c>
      <c r="C1132" s="3" t="s">
        <v>1268</v>
      </c>
      <c r="D1132" s="4">
        <v>7246802</v>
      </c>
      <c r="E1132" s="3">
        <v>1999</v>
      </c>
      <c r="F1132" s="3">
        <v>4</v>
      </c>
      <c r="G1132" s="3" t="s">
        <v>36</v>
      </c>
      <c r="H1132" s="3" t="s">
        <v>66</v>
      </c>
      <c r="I1132" s="3">
        <v>5</v>
      </c>
      <c r="J1132" s="3" t="s">
        <v>30</v>
      </c>
      <c r="K1132" s="18">
        <v>179</v>
      </c>
      <c r="L1132" s="16">
        <v>430</v>
      </c>
      <c r="M1132" s="6" t="str" cm="1">
        <f t="array" ref="M1132">_xlfn.IFS(L1132&lt;100,"Economy",L1132&lt;200,"Standard",L1132&lt;350,"Powerful",L1132&lt;500,"High Performance",L1132&lt;800,"Sports Performance",L1132&gt;=800,"Super Performance")</f>
        <v>High Performance</v>
      </c>
    </row>
    <row r="1133" spans="1:13" x14ac:dyDescent="0.25">
      <c r="A1133" s="5" t="s">
        <v>301</v>
      </c>
      <c r="B1133" s="3" t="s">
        <v>1269</v>
      </c>
      <c r="C1133" s="3">
        <v>1.4</v>
      </c>
      <c r="D1133" s="4">
        <v>646336</v>
      </c>
      <c r="E1133" s="3">
        <v>1368</v>
      </c>
      <c r="F1133" s="3">
        <v>4</v>
      </c>
      <c r="G1133" s="3" t="s">
        <v>10</v>
      </c>
      <c r="H1133" s="3" t="s">
        <v>27</v>
      </c>
      <c r="I1133" s="3">
        <v>5</v>
      </c>
      <c r="J1133" s="3" t="s">
        <v>12</v>
      </c>
      <c r="K1133" s="18">
        <v>90</v>
      </c>
      <c r="L1133" s="16">
        <v>115</v>
      </c>
      <c r="M1133" s="6" t="str" cm="1">
        <f t="array" ref="M1133">_xlfn.IFS(L1133&lt;100,"Economy",L1133&lt;200,"Standard",L1133&lt;350,"Powerful",L1133&lt;500,"High Performance",L1133&lt;800,"Sports Performance",L1133&gt;=800,"Super Performance")</f>
        <v>Standard</v>
      </c>
    </row>
    <row r="1134" spans="1:13" x14ac:dyDescent="0.25">
      <c r="A1134" s="5" t="s">
        <v>301</v>
      </c>
      <c r="B1134" s="3" t="s">
        <v>762</v>
      </c>
      <c r="C1134" s="3" t="s">
        <v>1270</v>
      </c>
      <c r="D1134" s="4">
        <v>482330</v>
      </c>
      <c r="E1134" s="3">
        <v>1172</v>
      </c>
      <c r="F1134" s="3">
        <v>4</v>
      </c>
      <c r="G1134" s="3" t="s">
        <v>10</v>
      </c>
      <c r="H1134" s="3" t="s">
        <v>11</v>
      </c>
      <c r="I1134" s="3">
        <v>5</v>
      </c>
      <c r="J1134" s="3" t="s">
        <v>12</v>
      </c>
      <c r="K1134" s="18">
        <v>68</v>
      </c>
      <c r="L1134" s="16">
        <v>96</v>
      </c>
      <c r="M1134" s="6" t="str" cm="1">
        <f t="array" ref="M1134">_xlfn.IFS(L1134&lt;100,"Economy",L1134&lt;200,"Standard",L1134&lt;350,"Powerful",L1134&lt;500,"High Performance",L1134&lt;800,"Sports Performance",L1134&gt;=800,"Super Performance")</f>
        <v>Economy</v>
      </c>
    </row>
    <row r="1135" spans="1:13" x14ac:dyDescent="0.25">
      <c r="A1135" s="5" t="s">
        <v>301</v>
      </c>
      <c r="B1135" s="3" t="s">
        <v>1269</v>
      </c>
      <c r="C1135" s="3" t="s">
        <v>1271</v>
      </c>
      <c r="D1135" s="4">
        <v>751203</v>
      </c>
      <c r="E1135" s="3">
        <v>1248</v>
      </c>
      <c r="F1135" s="3">
        <v>4</v>
      </c>
      <c r="G1135" s="3" t="s">
        <v>36</v>
      </c>
      <c r="H1135" s="3" t="s">
        <v>27</v>
      </c>
      <c r="I1135" s="3">
        <v>5</v>
      </c>
      <c r="J1135" s="3" t="s">
        <v>12</v>
      </c>
      <c r="K1135" s="18">
        <v>76</v>
      </c>
      <c r="L1135" s="16">
        <v>197</v>
      </c>
      <c r="M1135" s="6" t="str" cm="1">
        <f t="array" ref="M1135">_xlfn.IFS(L1135&lt;100,"Economy",L1135&lt;200,"Standard",L1135&lt;350,"Powerful",L1135&lt;500,"High Performance",L1135&lt;800,"Sports Performance",L1135&gt;=800,"Super Performance")</f>
        <v>Standard</v>
      </c>
    </row>
    <row r="1136" spans="1:13" x14ac:dyDescent="0.25">
      <c r="A1136" s="5" t="s">
        <v>330</v>
      </c>
      <c r="B1136" s="3" t="s">
        <v>1272</v>
      </c>
      <c r="C1136" s="3" t="s">
        <v>1273</v>
      </c>
      <c r="D1136" s="4">
        <v>999900</v>
      </c>
      <c r="E1136" s="3">
        <v>1598</v>
      </c>
      <c r="F1136" s="3">
        <v>4</v>
      </c>
      <c r="G1136" s="3" t="s">
        <v>10</v>
      </c>
      <c r="H1136" s="3" t="s">
        <v>66</v>
      </c>
      <c r="I1136" s="3">
        <v>5</v>
      </c>
      <c r="J1136" s="3" t="s">
        <v>12</v>
      </c>
      <c r="K1136" s="18">
        <v>104</v>
      </c>
      <c r="L1136" s="16">
        <v>145</v>
      </c>
      <c r="M1136" s="6" t="str" cm="1">
        <f t="array" ref="M1136">_xlfn.IFS(L1136&lt;100,"Economy",L1136&lt;200,"Standard",L1136&lt;350,"Powerful",L1136&lt;500,"High Performance",L1136&lt;800,"Sports Performance",L1136&gt;=800,"Super Performance")</f>
        <v>Standard</v>
      </c>
    </row>
    <row r="1137" spans="1:13" x14ac:dyDescent="0.25">
      <c r="A1137" s="5" t="s">
        <v>330</v>
      </c>
      <c r="B1137" s="3" t="s">
        <v>1272</v>
      </c>
      <c r="C1137" s="3" t="s">
        <v>1274</v>
      </c>
      <c r="D1137" s="4">
        <v>1464900</v>
      </c>
      <c r="E1137" s="3">
        <v>1461</v>
      </c>
      <c r="F1137" s="3">
        <v>4</v>
      </c>
      <c r="G1137" s="3" t="s">
        <v>36</v>
      </c>
      <c r="H1137" s="3" t="s">
        <v>66</v>
      </c>
      <c r="I1137" s="3">
        <v>5</v>
      </c>
      <c r="J1137" s="3" t="s">
        <v>30</v>
      </c>
      <c r="K1137" s="18">
        <v>110</v>
      </c>
      <c r="L1137" s="16">
        <v>248</v>
      </c>
      <c r="M1137" s="6" t="str" cm="1">
        <f t="array" ref="M1137">_xlfn.IFS(L1137&lt;100,"Economy",L1137&lt;200,"Standard",L1137&lt;350,"Powerful",L1137&lt;500,"High Performance",L1137&lt;800,"Sports Performance",L1137&gt;=800,"Super Performance")</f>
        <v>Powerful</v>
      </c>
    </row>
    <row r="1138" spans="1:13" x14ac:dyDescent="0.25">
      <c r="A1138" s="5" t="s">
        <v>330</v>
      </c>
      <c r="B1138" s="3" t="s">
        <v>1272</v>
      </c>
      <c r="C1138" s="3" t="s">
        <v>1275</v>
      </c>
      <c r="D1138" s="4">
        <v>999900</v>
      </c>
      <c r="E1138" s="3">
        <v>1461</v>
      </c>
      <c r="F1138" s="3">
        <v>4</v>
      </c>
      <c r="G1138" s="3" t="s">
        <v>36</v>
      </c>
      <c r="H1138" s="3" t="s">
        <v>66</v>
      </c>
      <c r="I1138" s="3">
        <v>5</v>
      </c>
      <c r="J1138" s="3" t="s">
        <v>12</v>
      </c>
      <c r="K1138" s="18">
        <v>85</v>
      </c>
      <c r="L1138" s="16">
        <v>200</v>
      </c>
      <c r="M1138" s="6" t="str" cm="1">
        <f t="array" ref="M1138">_xlfn.IFS(L1138&lt;100,"Economy",L1138&lt;200,"Standard",L1138&lt;350,"Powerful",L1138&lt;500,"High Performance",L1138&lt;800,"Sports Performance",L1138&gt;=800,"Super Performance")</f>
        <v>Powerful</v>
      </c>
    </row>
    <row r="1139" spans="1:13" x14ac:dyDescent="0.25">
      <c r="A1139" s="5" t="s">
        <v>301</v>
      </c>
      <c r="B1139" s="3" t="s">
        <v>1269</v>
      </c>
      <c r="C1139" s="3" t="s">
        <v>1276</v>
      </c>
      <c r="D1139" s="4">
        <v>808558</v>
      </c>
      <c r="E1139" s="3">
        <v>1248</v>
      </c>
      <c r="F1139" s="3">
        <v>4</v>
      </c>
      <c r="G1139" s="3" t="s">
        <v>36</v>
      </c>
      <c r="H1139" s="3" t="s">
        <v>27</v>
      </c>
      <c r="I1139" s="3">
        <v>5</v>
      </c>
      <c r="J1139" s="3" t="s">
        <v>12</v>
      </c>
      <c r="K1139" s="18">
        <v>76</v>
      </c>
      <c r="L1139" s="16">
        <v>197</v>
      </c>
      <c r="M1139" s="6" t="str" cm="1">
        <f t="array" ref="M1139">_xlfn.IFS(L1139&lt;100,"Economy",L1139&lt;200,"Standard",L1139&lt;350,"Powerful",L1139&lt;500,"High Performance",L1139&lt;800,"Sports Performance",L1139&gt;=800,"Super Performance")</f>
        <v>Standard</v>
      </c>
    </row>
    <row r="1140" spans="1:13" x14ac:dyDescent="0.25">
      <c r="A1140" s="5" t="s">
        <v>330</v>
      </c>
      <c r="B1140" s="3" t="s">
        <v>1272</v>
      </c>
      <c r="C1140" s="3" t="s">
        <v>1277</v>
      </c>
      <c r="D1140" s="4">
        <v>1235700</v>
      </c>
      <c r="E1140" s="3">
        <v>1461</v>
      </c>
      <c r="F1140" s="3">
        <v>4</v>
      </c>
      <c r="G1140" s="3" t="s">
        <v>36</v>
      </c>
      <c r="H1140" s="3" t="s">
        <v>66</v>
      </c>
      <c r="I1140" s="3">
        <v>5</v>
      </c>
      <c r="J1140" s="3" t="s">
        <v>12</v>
      </c>
      <c r="K1140" s="18">
        <v>85</v>
      </c>
      <c r="L1140" s="16">
        <v>200</v>
      </c>
      <c r="M1140" s="6" t="str" cm="1">
        <f t="array" ref="M1140">_xlfn.IFS(L1140&lt;100,"Economy",L1140&lt;200,"Standard",L1140&lt;350,"Powerful",L1140&lt;500,"High Performance",L1140&lt;800,"Sports Performance",L1140&gt;=800,"Super Performance")</f>
        <v>Powerful</v>
      </c>
    </row>
    <row r="1141" spans="1:13" x14ac:dyDescent="0.25">
      <c r="A1141" s="5" t="s">
        <v>330</v>
      </c>
      <c r="B1141" s="3" t="s">
        <v>1272</v>
      </c>
      <c r="C1141" s="3" t="s">
        <v>1278</v>
      </c>
      <c r="D1141" s="4">
        <v>1235700</v>
      </c>
      <c r="E1141" s="3">
        <v>1461</v>
      </c>
      <c r="F1141" s="3">
        <v>4</v>
      </c>
      <c r="G1141" s="3" t="s">
        <v>36</v>
      </c>
      <c r="H1141" s="3" t="s">
        <v>66</v>
      </c>
      <c r="I1141" s="3">
        <v>5</v>
      </c>
      <c r="J1141" s="3" t="s">
        <v>12</v>
      </c>
      <c r="K1141" s="18">
        <v>85</v>
      </c>
      <c r="L1141" s="16">
        <v>200</v>
      </c>
      <c r="M1141" s="6" t="str" cm="1">
        <f t="array" ref="M1141">_xlfn.IFS(L1141&lt;100,"Economy",L1141&lt;200,"Standard",L1141&lt;350,"Powerful",L1141&lt;500,"High Performance",L1141&lt;800,"Sports Performance",L1141&gt;=800,"Super Performance")</f>
        <v>Powerful</v>
      </c>
    </row>
    <row r="1142" spans="1:13" x14ac:dyDescent="0.25">
      <c r="A1142" s="5" t="s">
        <v>330</v>
      </c>
      <c r="B1142" s="3" t="s">
        <v>1272</v>
      </c>
      <c r="C1142" s="3" t="s">
        <v>1279</v>
      </c>
      <c r="D1142" s="4">
        <v>1419900</v>
      </c>
      <c r="E1142" s="3">
        <v>1461</v>
      </c>
      <c r="F1142" s="3">
        <v>4</v>
      </c>
      <c r="G1142" s="3" t="s">
        <v>36</v>
      </c>
      <c r="H1142" s="3" t="s">
        <v>66</v>
      </c>
      <c r="I1142" s="3">
        <v>5</v>
      </c>
      <c r="J1142" s="3" t="s">
        <v>12</v>
      </c>
      <c r="K1142" s="18">
        <v>110</v>
      </c>
      <c r="L1142" s="16">
        <v>248</v>
      </c>
      <c r="M1142" s="6" t="str" cm="1">
        <f t="array" ref="M1142">_xlfn.IFS(L1142&lt;100,"Economy",L1142&lt;200,"Standard",L1142&lt;350,"Powerful",L1142&lt;500,"High Performance",L1142&lt;800,"Sports Performance",L1142&gt;=800,"Super Performance")</f>
        <v>Powerful</v>
      </c>
    </row>
    <row r="1143" spans="1:13" x14ac:dyDescent="0.25">
      <c r="A1143" s="5" t="s">
        <v>7</v>
      </c>
      <c r="B1143" s="3" t="s">
        <v>1280</v>
      </c>
      <c r="C1143" s="3" t="s">
        <v>1281</v>
      </c>
      <c r="D1143" s="4">
        <v>1949000</v>
      </c>
      <c r="E1143" s="3">
        <v>1999</v>
      </c>
      <c r="F1143" s="3">
        <v>4</v>
      </c>
      <c r="G1143" s="3" t="s">
        <v>10</v>
      </c>
      <c r="H1143" s="3" t="s">
        <v>27</v>
      </c>
      <c r="I1143" s="3">
        <v>5</v>
      </c>
      <c r="J1143" s="3" t="s">
        <v>17</v>
      </c>
      <c r="K1143" s="18">
        <v>152</v>
      </c>
      <c r="L1143" s="16">
        <v>196</v>
      </c>
      <c r="M1143" s="6" t="str" cm="1">
        <f t="array" ref="M1143">_xlfn.IFS(L1143&lt;100,"Economy",L1143&lt;200,"Standard",L1143&lt;350,"Powerful",L1143&lt;500,"High Performance",L1143&lt;800,"Sports Performance",L1143&gt;=800,"Super Performance")</f>
        <v>Standard</v>
      </c>
    </row>
    <row r="1144" spans="1:13" x14ac:dyDescent="0.25">
      <c r="A1144" s="5" t="s">
        <v>7</v>
      </c>
      <c r="B1144" s="3" t="s">
        <v>1280</v>
      </c>
      <c r="C1144" s="3" t="s">
        <v>1282</v>
      </c>
      <c r="D1144" s="4">
        <v>2039000</v>
      </c>
      <c r="E1144" s="3">
        <v>1999</v>
      </c>
      <c r="F1144" s="3">
        <v>4</v>
      </c>
      <c r="G1144" s="3" t="s">
        <v>10</v>
      </c>
      <c r="H1144" s="3" t="s">
        <v>27</v>
      </c>
      <c r="I1144" s="3">
        <v>5</v>
      </c>
      <c r="J1144" s="3" t="s">
        <v>17</v>
      </c>
      <c r="K1144" s="18">
        <v>152</v>
      </c>
      <c r="L1144" s="16">
        <v>196</v>
      </c>
      <c r="M1144" s="6" t="str" cm="1">
        <f t="array" ref="M1144">_xlfn.IFS(L1144&lt;100,"Economy",L1144&lt;200,"Standard",L1144&lt;350,"Powerful",L1144&lt;500,"High Performance",L1144&lt;800,"Sports Performance",L1144&gt;=800,"Super Performance")</f>
        <v>Standard</v>
      </c>
    </row>
    <row r="1145" spans="1:13" x14ac:dyDescent="0.25">
      <c r="A1145" s="5" t="s">
        <v>7</v>
      </c>
      <c r="B1145" s="3" t="s">
        <v>1280</v>
      </c>
      <c r="C1145" s="3" t="s">
        <v>1283</v>
      </c>
      <c r="D1145" s="4">
        <v>1849000</v>
      </c>
      <c r="E1145" s="3">
        <v>1999</v>
      </c>
      <c r="F1145" s="3">
        <v>4</v>
      </c>
      <c r="G1145" s="3" t="s">
        <v>10</v>
      </c>
      <c r="H1145" s="3" t="s">
        <v>27</v>
      </c>
      <c r="I1145" s="3">
        <v>5</v>
      </c>
      <c r="J1145" s="3" t="s">
        <v>12</v>
      </c>
      <c r="K1145" s="18">
        <v>152</v>
      </c>
      <c r="L1145" s="16">
        <v>196</v>
      </c>
      <c r="M1145" s="6" t="str" cm="1">
        <f t="array" ref="M1145">_xlfn.IFS(L1145&lt;100,"Economy",L1145&lt;200,"Standard",L1145&lt;350,"Powerful",L1145&lt;500,"High Performance",L1145&lt;800,"Sports Performance",L1145&gt;=800,"Super Performance")</f>
        <v>Standard</v>
      </c>
    </row>
    <row r="1146" spans="1:13" x14ac:dyDescent="0.25">
      <c r="A1146" s="5" t="s">
        <v>7</v>
      </c>
      <c r="B1146" s="3" t="s">
        <v>1280</v>
      </c>
      <c r="C1146" s="3" t="s">
        <v>323</v>
      </c>
      <c r="D1146" s="4">
        <v>1589000</v>
      </c>
      <c r="E1146" s="3">
        <v>1999</v>
      </c>
      <c r="F1146" s="3">
        <v>4</v>
      </c>
      <c r="G1146" s="3" t="s">
        <v>10</v>
      </c>
      <c r="H1146" s="3" t="s">
        <v>27</v>
      </c>
      <c r="I1146" s="3">
        <v>5</v>
      </c>
      <c r="J1146" s="3" t="s">
        <v>12</v>
      </c>
      <c r="K1146" s="18">
        <v>152</v>
      </c>
      <c r="L1146" s="16">
        <v>196</v>
      </c>
      <c r="M1146" s="6" t="str" cm="1">
        <f t="array" ref="M1146">_xlfn.IFS(L1146&lt;100,"Economy",L1146&lt;200,"Standard",L1146&lt;350,"Powerful",L1146&lt;500,"High Performance",L1146&lt;800,"Sports Performance",L1146&gt;=800,"Super Performance")</f>
        <v>Standard</v>
      </c>
    </row>
    <row r="1147" spans="1:13" x14ac:dyDescent="0.25">
      <c r="A1147" s="5" t="s">
        <v>7</v>
      </c>
      <c r="B1147" s="3" t="s">
        <v>1284</v>
      </c>
      <c r="C1147" s="3" t="s">
        <v>1285</v>
      </c>
      <c r="D1147" s="4">
        <v>2187384</v>
      </c>
      <c r="E1147" s="3">
        <v>1999</v>
      </c>
      <c r="F1147" s="3">
        <v>4</v>
      </c>
      <c r="G1147" s="3" t="s">
        <v>10</v>
      </c>
      <c r="H1147" s="3" t="s">
        <v>66</v>
      </c>
      <c r="I1147" s="3">
        <v>5</v>
      </c>
      <c r="J1147" s="3" t="s">
        <v>30</v>
      </c>
      <c r="K1147" s="18">
        <v>155</v>
      </c>
      <c r="L1147" s="16">
        <v>192</v>
      </c>
      <c r="M1147" s="6" t="str" cm="1">
        <f t="array" ref="M1147">_xlfn.IFS(L1147&lt;100,"Economy",L1147&lt;200,"Standard",L1147&lt;350,"Powerful",L1147&lt;500,"High Performance",L1147&lt;800,"Sports Performance",L1147&gt;=800,"Super Performance")</f>
        <v>Standard</v>
      </c>
    </row>
    <row r="1148" spans="1:13" x14ac:dyDescent="0.25">
      <c r="A1148" s="5" t="s">
        <v>7</v>
      </c>
      <c r="B1148" s="3" t="s">
        <v>1284</v>
      </c>
      <c r="C1148" s="3" t="s">
        <v>1286</v>
      </c>
      <c r="D1148" s="4">
        <v>2364354</v>
      </c>
      <c r="E1148" s="3">
        <v>1995</v>
      </c>
      <c r="F1148" s="3">
        <v>4</v>
      </c>
      <c r="G1148" s="3" t="s">
        <v>36</v>
      </c>
      <c r="H1148" s="3" t="s">
        <v>66</v>
      </c>
      <c r="I1148" s="3">
        <v>5</v>
      </c>
      <c r="J1148" s="3" t="s">
        <v>30</v>
      </c>
      <c r="K1148" s="18">
        <v>185</v>
      </c>
      <c r="L1148" s="16">
        <v>400</v>
      </c>
      <c r="M1148" s="6" t="str" cm="1">
        <f t="array" ref="M1148">_xlfn.IFS(L1148&lt;100,"Economy",L1148&lt;200,"Standard",L1148&lt;350,"Powerful",L1148&lt;500,"High Performance",L1148&lt;800,"Sports Performance",L1148&gt;=800,"Super Performance")</f>
        <v>High Performance</v>
      </c>
    </row>
    <row r="1149" spans="1:13" x14ac:dyDescent="0.25">
      <c r="A1149" s="5" t="s">
        <v>7</v>
      </c>
      <c r="B1149" s="3" t="s">
        <v>1284</v>
      </c>
      <c r="C1149" s="3" t="s">
        <v>1287</v>
      </c>
      <c r="D1149" s="4">
        <v>1876656</v>
      </c>
      <c r="E1149" s="3">
        <v>1999</v>
      </c>
      <c r="F1149" s="3">
        <v>4</v>
      </c>
      <c r="G1149" s="3" t="s">
        <v>10</v>
      </c>
      <c r="H1149" s="3" t="s">
        <v>66</v>
      </c>
      <c r="I1149" s="3">
        <v>5</v>
      </c>
      <c r="J1149" s="3" t="s">
        <v>12</v>
      </c>
      <c r="K1149" s="18">
        <v>155</v>
      </c>
      <c r="L1149" s="16">
        <v>192</v>
      </c>
      <c r="M1149" s="6" t="str" cm="1">
        <f t="array" ref="M1149">_xlfn.IFS(L1149&lt;100,"Economy",L1149&lt;200,"Standard",L1149&lt;350,"Powerful",L1149&lt;500,"High Performance",L1149&lt;800,"Sports Performance",L1149&gt;=800,"Super Performance")</f>
        <v>Standard</v>
      </c>
    </row>
    <row r="1150" spans="1:13" x14ac:dyDescent="0.25">
      <c r="A1150" s="5" t="s">
        <v>7</v>
      </c>
      <c r="B1150" s="3" t="s">
        <v>1284</v>
      </c>
      <c r="C1150" s="3" t="s">
        <v>1288</v>
      </c>
      <c r="D1150" s="4">
        <v>2079717</v>
      </c>
      <c r="E1150" s="3">
        <v>1995</v>
      </c>
      <c r="F1150" s="3">
        <v>4</v>
      </c>
      <c r="G1150" s="3" t="s">
        <v>36</v>
      </c>
      <c r="H1150" s="3" t="s">
        <v>66</v>
      </c>
      <c r="I1150" s="3">
        <v>5</v>
      </c>
      <c r="J1150" s="3" t="s">
        <v>12</v>
      </c>
      <c r="K1150" s="18">
        <v>185</v>
      </c>
      <c r="L1150" s="16">
        <v>400</v>
      </c>
      <c r="M1150" s="6" t="str" cm="1">
        <f t="array" ref="M1150">_xlfn.IFS(L1150&lt;100,"Economy",L1150&lt;200,"Standard",L1150&lt;350,"Powerful",L1150&lt;500,"High Performance",L1150&lt;800,"Sports Performance",L1150&gt;=800,"Super Performance")</f>
        <v>High Performance</v>
      </c>
    </row>
    <row r="1151" spans="1:13" x14ac:dyDescent="0.25">
      <c r="A1151" s="5" t="s">
        <v>7</v>
      </c>
      <c r="B1151" s="3" t="s">
        <v>1284</v>
      </c>
      <c r="C1151" s="3" t="s">
        <v>1289</v>
      </c>
      <c r="D1151" s="4">
        <v>2246749</v>
      </c>
      <c r="E1151" s="3">
        <v>1999</v>
      </c>
      <c r="F1151" s="3">
        <v>4</v>
      </c>
      <c r="G1151" s="3" t="s">
        <v>10</v>
      </c>
      <c r="H1151" s="3" t="s">
        <v>66</v>
      </c>
      <c r="I1151" s="3">
        <v>5</v>
      </c>
      <c r="J1151" s="3" t="s">
        <v>30</v>
      </c>
      <c r="K1151" s="18">
        <v>155</v>
      </c>
      <c r="L1151" s="16">
        <v>192</v>
      </c>
      <c r="M1151" s="6" t="str" cm="1">
        <f t="array" ref="M1151">_xlfn.IFS(L1151&lt;100,"Economy",L1151&lt;200,"Standard",L1151&lt;350,"Powerful",L1151&lt;500,"High Performance",L1151&lt;800,"Sports Performance",L1151&gt;=800,"Super Performance")</f>
        <v>Standard</v>
      </c>
    </row>
    <row r="1152" spans="1:13" x14ac:dyDescent="0.25">
      <c r="A1152" s="5" t="s">
        <v>7</v>
      </c>
      <c r="B1152" s="3" t="s">
        <v>1284</v>
      </c>
      <c r="C1152" s="3" t="s">
        <v>1290</v>
      </c>
      <c r="D1152" s="4">
        <v>2373522</v>
      </c>
      <c r="E1152" s="3">
        <v>1999</v>
      </c>
      <c r="F1152" s="3">
        <v>4</v>
      </c>
      <c r="G1152" s="3" t="s">
        <v>10</v>
      </c>
      <c r="H1152" s="3" t="s">
        <v>66</v>
      </c>
      <c r="I1152" s="3">
        <v>5</v>
      </c>
      <c r="J1152" s="3" t="s">
        <v>30</v>
      </c>
      <c r="K1152" s="18">
        <v>155</v>
      </c>
      <c r="L1152" s="16">
        <v>192</v>
      </c>
      <c r="M1152" s="6" t="str" cm="1">
        <f t="array" ref="M1152">_xlfn.IFS(L1152&lt;100,"Economy",L1152&lt;200,"Standard",L1152&lt;350,"Powerful",L1152&lt;500,"High Performance",L1152&lt;800,"Sports Performance",L1152&gt;=800,"Super Performance")</f>
        <v>Standard</v>
      </c>
    </row>
    <row r="1153" spans="1:13" x14ac:dyDescent="0.25">
      <c r="A1153" s="5" t="s">
        <v>7</v>
      </c>
      <c r="B1153" s="3" t="s">
        <v>1284</v>
      </c>
      <c r="C1153" s="3" t="s">
        <v>1291</v>
      </c>
      <c r="D1153" s="4">
        <v>2697417</v>
      </c>
      <c r="E1153" s="3">
        <v>1995</v>
      </c>
      <c r="F1153" s="3">
        <v>4</v>
      </c>
      <c r="G1153" s="3" t="s">
        <v>36</v>
      </c>
      <c r="H1153" s="3" t="s">
        <v>66</v>
      </c>
      <c r="I1153" s="3">
        <v>5</v>
      </c>
      <c r="J1153" s="3" t="s">
        <v>30</v>
      </c>
      <c r="K1153" s="18">
        <v>185</v>
      </c>
      <c r="L1153" s="16">
        <v>400</v>
      </c>
      <c r="M1153" s="6" t="str" cm="1">
        <f t="array" ref="M1153">_xlfn.IFS(L1153&lt;100,"Economy",L1153&lt;200,"Standard",L1153&lt;350,"Powerful",L1153&lt;500,"High Performance",L1153&lt;800,"Sports Performance",L1153&gt;=800,"Super Performance")</f>
        <v>High Performance</v>
      </c>
    </row>
    <row r="1154" spans="1:13" x14ac:dyDescent="0.25">
      <c r="A1154" s="5" t="s">
        <v>90</v>
      </c>
      <c r="B1154" s="3" t="s">
        <v>1292</v>
      </c>
      <c r="C1154" s="3" t="s">
        <v>1293</v>
      </c>
      <c r="D1154" s="4">
        <v>2886871</v>
      </c>
      <c r="E1154" s="3">
        <v>2143</v>
      </c>
      <c r="F1154" s="3">
        <v>4</v>
      </c>
      <c r="G1154" s="3" t="s">
        <v>36</v>
      </c>
      <c r="H1154" s="3" t="s">
        <v>11</v>
      </c>
      <c r="I1154" s="3">
        <v>5</v>
      </c>
      <c r="J1154" s="3" t="s">
        <v>30</v>
      </c>
      <c r="K1154" s="18">
        <v>136</v>
      </c>
      <c r="L1154" s="16">
        <v>300</v>
      </c>
      <c r="M1154" s="6" t="str" cm="1">
        <f t="array" ref="M1154">_xlfn.IFS(L1154&lt;100,"Economy",L1154&lt;200,"Standard",L1154&lt;350,"Powerful",L1154&lt;500,"High Performance",L1154&lt;800,"Sports Performance",L1154&gt;=800,"Super Performance")</f>
        <v>Powerful</v>
      </c>
    </row>
    <row r="1155" spans="1:13" x14ac:dyDescent="0.25">
      <c r="A1155" s="5" t="s">
        <v>7</v>
      </c>
      <c r="B1155" s="3" t="s">
        <v>1284</v>
      </c>
      <c r="C1155" s="3" t="s">
        <v>1294</v>
      </c>
      <c r="D1155" s="4">
        <v>2423720</v>
      </c>
      <c r="E1155" s="3">
        <v>1995</v>
      </c>
      <c r="F1155" s="3">
        <v>4</v>
      </c>
      <c r="G1155" s="3" t="s">
        <v>36</v>
      </c>
      <c r="H1155" s="3" t="s">
        <v>66</v>
      </c>
      <c r="I1155" s="3">
        <v>5</v>
      </c>
      <c r="J1155" s="3" t="s">
        <v>30</v>
      </c>
      <c r="K1155" s="18">
        <v>185</v>
      </c>
      <c r="L1155" s="16">
        <v>400</v>
      </c>
      <c r="M1155" s="6" t="str" cm="1">
        <f t="array" ref="M1155">_xlfn.IFS(L1155&lt;100,"Economy",L1155&lt;200,"Standard",L1155&lt;350,"Powerful",L1155&lt;500,"High Performance",L1155&lt;800,"Sports Performance",L1155&gt;=800,"Super Performance")</f>
        <v>High Performance</v>
      </c>
    </row>
    <row r="1156" spans="1:13" x14ac:dyDescent="0.25">
      <c r="A1156" s="5" t="s">
        <v>90</v>
      </c>
      <c r="B1156" s="3" t="s">
        <v>1292</v>
      </c>
      <c r="C1156" s="3">
        <v>180</v>
      </c>
      <c r="D1156" s="4">
        <v>2785288</v>
      </c>
      <c r="E1156" s="3">
        <v>1595</v>
      </c>
      <c r="F1156" s="3">
        <v>4</v>
      </c>
      <c r="G1156" s="3" t="s">
        <v>10</v>
      </c>
      <c r="H1156" s="3" t="s">
        <v>11</v>
      </c>
      <c r="I1156" s="3">
        <v>5</v>
      </c>
      <c r="J1156" s="3" t="s">
        <v>30</v>
      </c>
      <c r="K1156" s="18">
        <v>122</v>
      </c>
      <c r="L1156" s="16">
        <v>200</v>
      </c>
      <c r="M1156" s="6" t="str" cm="1">
        <f t="array" ref="M1156">_xlfn.IFS(L1156&lt;100,"Economy",L1156&lt;200,"Standard",L1156&lt;350,"Powerful",L1156&lt;500,"High Performance",L1156&lt;800,"Sports Performance",L1156&gt;=800,"Super Performance")</f>
        <v>Powerful</v>
      </c>
    </row>
    <row r="1157" spans="1:13" x14ac:dyDescent="0.25">
      <c r="A1157" s="5" t="s">
        <v>572</v>
      </c>
      <c r="B1157" s="3" t="s">
        <v>1295</v>
      </c>
      <c r="C1157" s="3" t="s">
        <v>1296</v>
      </c>
      <c r="D1157" s="4">
        <v>1006139</v>
      </c>
      <c r="E1157" s="3">
        <v>1498</v>
      </c>
      <c r="F1157" s="3">
        <v>4</v>
      </c>
      <c r="G1157" s="3" t="s">
        <v>36</v>
      </c>
      <c r="H1157" s="3" t="s">
        <v>27</v>
      </c>
      <c r="I1157" s="3">
        <v>5</v>
      </c>
      <c r="J1157" s="3" t="s">
        <v>12</v>
      </c>
      <c r="K1157" s="18">
        <v>110</v>
      </c>
      <c r="L1157" s="16">
        <v>250</v>
      </c>
      <c r="M1157" s="6" t="str" cm="1">
        <f t="array" ref="M1157">_xlfn.IFS(L1157&lt;100,"Economy",L1157&lt;200,"Standard",L1157&lt;350,"Powerful",L1157&lt;500,"High Performance",L1157&lt;800,"Sports Performance",L1157&gt;=800,"Super Performance")</f>
        <v>Powerful</v>
      </c>
    </row>
    <row r="1158" spans="1:13" x14ac:dyDescent="0.25">
      <c r="A1158" s="5" t="s">
        <v>330</v>
      </c>
      <c r="B1158" s="3" t="s">
        <v>685</v>
      </c>
      <c r="C1158" s="3" t="s">
        <v>1297</v>
      </c>
      <c r="D1158" s="4">
        <v>812964</v>
      </c>
      <c r="E1158" s="3">
        <v>1461</v>
      </c>
      <c r="F1158" s="3">
        <v>4</v>
      </c>
      <c r="G1158" s="3" t="s">
        <v>36</v>
      </c>
      <c r="H1158" s="3" t="s">
        <v>11</v>
      </c>
      <c r="I1158" s="3">
        <v>5</v>
      </c>
      <c r="J1158" s="3" t="s">
        <v>12</v>
      </c>
      <c r="K1158" s="18">
        <v>64</v>
      </c>
      <c r="L1158" s="16">
        <v>160</v>
      </c>
      <c r="M1158" s="6" t="str" cm="1">
        <f t="array" ref="M1158">_xlfn.IFS(L1158&lt;100,"Economy",L1158&lt;200,"Standard",L1158&lt;350,"Powerful",L1158&lt;500,"High Performance",L1158&lt;800,"Sports Performance",L1158&gt;=800,"Super Performance")</f>
        <v>Standard</v>
      </c>
    </row>
    <row r="1159" spans="1:13" x14ac:dyDescent="0.25">
      <c r="A1159" s="5" t="s">
        <v>382</v>
      </c>
      <c r="B1159" s="3" t="s">
        <v>1142</v>
      </c>
      <c r="C1159" s="3" t="s">
        <v>1298</v>
      </c>
      <c r="D1159" s="4">
        <v>2962000</v>
      </c>
      <c r="E1159" s="3">
        <v>1596</v>
      </c>
      <c r="F1159" s="3">
        <v>4</v>
      </c>
      <c r="G1159" s="3" t="s">
        <v>10</v>
      </c>
      <c r="H1159" s="3" t="s">
        <v>11</v>
      </c>
      <c r="I1159" s="3">
        <v>5</v>
      </c>
      <c r="J1159" s="3" t="s">
        <v>30</v>
      </c>
      <c r="K1159" s="18">
        <v>180</v>
      </c>
      <c r="L1159" s="16">
        <v>240</v>
      </c>
      <c r="M1159" s="6" t="str" cm="1">
        <f t="array" ref="M1159">_xlfn.IFS(L1159&lt;100,"Economy",L1159&lt;200,"Standard",L1159&lt;350,"Powerful",L1159&lt;500,"High Performance",L1159&lt;800,"Sports Performance",L1159&gt;=800,"Super Performance")</f>
        <v>Powerful</v>
      </c>
    </row>
    <row r="1160" spans="1:13" x14ac:dyDescent="0.25">
      <c r="A1160" s="5" t="s">
        <v>572</v>
      </c>
      <c r="B1160" s="3" t="s">
        <v>1295</v>
      </c>
      <c r="C1160" s="3" t="s">
        <v>1299</v>
      </c>
      <c r="D1160" s="4">
        <v>998599</v>
      </c>
      <c r="E1160" s="3">
        <v>1598</v>
      </c>
      <c r="F1160" s="3">
        <v>4</v>
      </c>
      <c r="G1160" s="3" t="s">
        <v>10</v>
      </c>
      <c r="H1160" s="3" t="s">
        <v>27</v>
      </c>
      <c r="I1160" s="3">
        <v>5</v>
      </c>
      <c r="J1160" s="3" t="s">
        <v>12</v>
      </c>
      <c r="K1160" s="18">
        <v>105</v>
      </c>
      <c r="L1160" s="16">
        <v>153</v>
      </c>
      <c r="M1160" s="6" t="str" cm="1">
        <f t="array" ref="M1160">_xlfn.IFS(L1160&lt;100,"Economy",L1160&lt;200,"Standard",L1160&lt;350,"Powerful",L1160&lt;500,"High Performance",L1160&lt;800,"Sports Performance",L1160&gt;=800,"Super Performance")</f>
        <v>Standard</v>
      </c>
    </row>
    <row r="1161" spans="1:13" x14ac:dyDescent="0.25">
      <c r="A1161" s="5" t="s">
        <v>572</v>
      </c>
      <c r="B1161" s="3" t="s">
        <v>1295</v>
      </c>
      <c r="C1161" s="3" t="s">
        <v>1300</v>
      </c>
      <c r="D1161" s="4">
        <v>881916</v>
      </c>
      <c r="E1161" s="3">
        <v>1598</v>
      </c>
      <c r="F1161" s="3">
        <v>4</v>
      </c>
      <c r="G1161" s="3" t="s">
        <v>10</v>
      </c>
      <c r="H1161" s="3" t="s">
        <v>27</v>
      </c>
      <c r="I1161" s="3">
        <v>5</v>
      </c>
      <c r="J1161" s="3" t="s">
        <v>12</v>
      </c>
      <c r="K1161" s="18">
        <v>105</v>
      </c>
      <c r="L1161" s="16">
        <v>153</v>
      </c>
      <c r="M1161" s="6" t="str" cm="1">
        <f t="array" ref="M1161">_xlfn.IFS(L1161&lt;100,"Economy",L1161&lt;200,"Standard",L1161&lt;350,"Powerful",L1161&lt;500,"High Performance",L1161&lt;800,"Sports Performance",L1161&gt;=800,"Super Performance")</f>
        <v>Standard</v>
      </c>
    </row>
    <row r="1162" spans="1:13" x14ac:dyDescent="0.25">
      <c r="A1162" s="5" t="s">
        <v>572</v>
      </c>
      <c r="B1162" s="3" t="s">
        <v>1295</v>
      </c>
      <c r="C1162" s="3" t="s">
        <v>1301</v>
      </c>
      <c r="D1162" s="4">
        <v>1249599</v>
      </c>
      <c r="E1162" s="3">
        <v>1498</v>
      </c>
      <c r="F1162" s="3">
        <v>4</v>
      </c>
      <c r="G1162" s="3" t="s">
        <v>36</v>
      </c>
      <c r="H1162" s="3" t="s">
        <v>27</v>
      </c>
      <c r="I1162" s="3">
        <v>5</v>
      </c>
      <c r="J1162" s="3" t="s">
        <v>30</v>
      </c>
      <c r="K1162" s="18">
        <v>110</v>
      </c>
      <c r="L1162" s="16">
        <v>250</v>
      </c>
      <c r="M1162" s="6" t="str" cm="1">
        <f t="array" ref="M1162">_xlfn.IFS(L1162&lt;100,"Economy",L1162&lt;200,"Standard",L1162&lt;350,"Powerful",L1162&lt;500,"High Performance",L1162&lt;800,"Sports Performance",L1162&gt;=800,"Super Performance")</f>
        <v>Powerful</v>
      </c>
    </row>
    <row r="1163" spans="1:13" x14ac:dyDescent="0.25">
      <c r="A1163" s="5" t="s">
        <v>572</v>
      </c>
      <c r="B1163" s="3" t="s">
        <v>1295</v>
      </c>
      <c r="C1163" s="3" t="s">
        <v>1302</v>
      </c>
      <c r="D1163" s="4">
        <v>1129599</v>
      </c>
      <c r="E1163" s="3">
        <v>1498</v>
      </c>
      <c r="F1163" s="3">
        <v>4</v>
      </c>
      <c r="G1163" s="3" t="s">
        <v>36</v>
      </c>
      <c r="H1163" s="3" t="s">
        <v>27</v>
      </c>
      <c r="I1163" s="3">
        <v>5</v>
      </c>
      <c r="J1163" s="3" t="s">
        <v>12</v>
      </c>
      <c r="K1163" s="18">
        <v>110</v>
      </c>
      <c r="L1163" s="16">
        <v>250</v>
      </c>
      <c r="M1163" s="6" t="str" cm="1">
        <f t="array" ref="M1163">_xlfn.IFS(L1163&lt;100,"Economy",L1163&lt;200,"Standard",L1163&lt;350,"Powerful",L1163&lt;500,"High Performance",L1163&lt;800,"Sports Performance",L1163&gt;=800,"Super Performance")</f>
        <v>Powerful</v>
      </c>
    </row>
    <row r="1164" spans="1:13" x14ac:dyDescent="0.25">
      <c r="A1164" s="5" t="s">
        <v>572</v>
      </c>
      <c r="B1164" s="3" t="s">
        <v>1295</v>
      </c>
      <c r="C1164" s="3" t="s">
        <v>1303</v>
      </c>
      <c r="D1164" s="4">
        <v>1243599</v>
      </c>
      <c r="E1164" s="3">
        <v>1598</v>
      </c>
      <c r="F1164" s="3">
        <v>4</v>
      </c>
      <c r="G1164" s="3" t="s">
        <v>10</v>
      </c>
      <c r="H1164" s="3" t="s">
        <v>27</v>
      </c>
      <c r="I1164" s="3">
        <v>5</v>
      </c>
      <c r="J1164" s="3" t="s">
        <v>30</v>
      </c>
      <c r="K1164" s="18">
        <v>105</v>
      </c>
      <c r="L1164" s="16">
        <v>153</v>
      </c>
      <c r="M1164" s="6" t="str" cm="1">
        <f t="array" ref="M1164">_xlfn.IFS(L1164&lt;100,"Economy",L1164&lt;200,"Standard",L1164&lt;350,"Powerful",L1164&lt;500,"High Performance",L1164&lt;800,"Sports Performance",L1164&gt;=800,"Super Performance")</f>
        <v>Standard</v>
      </c>
    </row>
    <row r="1165" spans="1:13" x14ac:dyDescent="0.25">
      <c r="A1165" s="5" t="s">
        <v>572</v>
      </c>
      <c r="B1165" s="3" t="s">
        <v>1295</v>
      </c>
      <c r="C1165" s="3" t="s">
        <v>1304</v>
      </c>
      <c r="D1165" s="4">
        <v>1399599</v>
      </c>
      <c r="E1165" s="3">
        <v>1498</v>
      </c>
      <c r="F1165" s="3">
        <v>4</v>
      </c>
      <c r="G1165" s="3" t="s">
        <v>36</v>
      </c>
      <c r="H1165" s="3" t="s">
        <v>27</v>
      </c>
      <c r="I1165" s="3">
        <v>5</v>
      </c>
      <c r="J1165" s="3" t="s">
        <v>30</v>
      </c>
      <c r="K1165" s="18">
        <v>110</v>
      </c>
      <c r="L1165" s="16">
        <v>250</v>
      </c>
      <c r="M1165" s="6" t="str" cm="1">
        <f t="array" ref="M1165">_xlfn.IFS(L1165&lt;100,"Economy",L1165&lt;200,"Standard",L1165&lt;350,"Powerful",L1165&lt;500,"High Performance",L1165&lt;800,"Sports Performance",L1165&gt;=800,"Super Performance")</f>
        <v>Powerful</v>
      </c>
    </row>
    <row r="1166" spans="1:13" x14ac:dyDescent="0.25">
      <c r="A1166" s="5" t="s">
        <v>572</v>
      </c>
      <c r="B1166" s="3" t="s">
        <v>1295</v>
      </c>
      <c r="C1166" s="3" t="s">
        <v>1305</v>
      </c>
      <c r="D1166" s="4">
        <v>1273599</v>
      </c>
      <c r="E1166" s="3">
        <v>1498</v>
      </c>
      <c r="F1166" s="3">
        <v>4</v>
      </c>
      <c r="G1166" s="3" t="s">
        <v>36</v>
      </c>
      <c r="H1166" s="3" t="s">
        <v>27</v>
      </c>
      <c r="I1166" s="3">
        <v>5</v>
      </c>
      <c r="J1166" s="3" t="s">
        <v>12</v>
      </c>
      <c r="K1166" s="18">
        <v>110</v>
      </c>
      <c r="L1166" s="16">
        <v>250</v>
      </c>
      <c r="M1166" s="6" t="str" cm="1">
        <f t="array" ref="M1166">_xlfn.IFS(L1166&lt;100,"Economy",L1166&lt;200,"Standard",L1166&lt;350,"Powerful",L1166&lt;500,"High Performance",L1166&lt;800,"Sports Performance",L1166&gt;=800,"Super Performance")</f>
        <v>Powerful</v>
      </c>
    </row>
    <row r="1167" spans="1:13" x14ac:dyDescent="0.25">
      <c r="A1167" s="5" t="s">
        <v>572</v>
      </c>
      <c r="B1167" s="3" t="s">
        <v>1295</v>
      </c>
      <c r="C1167" s="3" t="s">
        <v>1306</v>
      </c>
      <c r="D1167" s="4">
        <v>1115599</v>
      </c>
      <c r="E1167" s="3">
        <v>1598</v>
      </c>
      <c r="F1167" s="3">
        <v>4</v>
      </c>
      <c r="G1167" s="3" t="s">
        <v>10</v>
      </c>
      <c r="H1167" s="3" t="s">
        <v>27</v>
      </c>
      <c r="I1167" s="3">
        <v>5</v>
      </c>
      <c r="J1167" s="3" t="s">
        <v>12</v>
      </c>
      <c r="K1167" s="18">
        <v>105</v>
      </c>
      <c r="L1167" s="16">
        <v>153</v>
      </c>
      <c r="M1167" s="6" t="str" cm="1">
        <f t="array" ref="M1167">_xlfn.IFS(L1167&lt;100,"Economy",L1167&lt;200,"Standard",L1167&lt;350,"Powerful",L1167&lt;500,"High Performance",L1167&lt;800,"Sports Performance",L1167&gt;=800,"Super Performance")</f>
        <v>Standard</v>
      </c>
    </row>
    <row r="1168" spans="1:13" x14ac:dyDescent="0.25">
      <c r="A1168" s="5" t="s">
        <v>572</v>
      </c>
      <c r="B1168" s="3" t="s">
        <v>1295</v>
      </c>
      <c r="C1168" s="3" t="s">
        <v>1307</v>
      </c>
      <c r="D1168" s="4">
        <v>999599</v>
      </c>
      <c r="E1168" s="3">
        <v>1598</v>
      </c>
      <c r="F1168" s="3">
        <v>4</v>
      </c>
      <c r="G1168" s="3" t="s">
        <v>10</v>
      </c>
      <c r="H1168" s="3" t="s">
        <v>27</v>
      </c>
      <c r="I1168" s="3">
        <v>5</v>
      </c>
      <c r="J1168" s="3" t="s">
        <v>30</v>
      </c>
      <c r="K1168" s="18">
        <v>105</v>
      </c>
      <c r="L1168" s="16">
        <v>153</v>
      </c>
      <c r="M1168" s="6" t="str" cm="1">
        <f t="array" ref="M1168">_xlfn.IFS(L1168&lt;100,"Economy",L1168&lt;200,"Standard",L1168&lt;350,"Powerful",L1168&lt;500,"High Performance",L1168&lt;800,"Sports Performance",L1168&gt;=800,"Super Performance")</f>
        <v>Standard</v>
      </c>
    </row>
    <row r="1169" spans="1:13" x14ac:dyDescent="0.25">
      <c r="A1169" s="5" t="s">
        <v>572</v>
      </c>
      <c r="B1169" s="3" t="s">
        <v>1295</v>
      </c>
      <c r="C1169" s="3" t="s">
        <v>1308</v>
      </c>
      <c r="D1169" s="4">
        <v>1158599</v>
      </c>
      <c r="E1169" s="3">
        <v>1498</v>
      </c>
      <c r="F1169" s="3">
        <v>4</v>
      </c>
      <c r="G1169" s="3" t="s">
        <v>36</v>
      </c>
      <c r="H1169" s="3" t="s">
        <v>27</v>
      </c>
      <c r="I1169" s="3">
        <v>5</v>
      </c>
      <c r="J1169" s="3" t="s">
        <v>12</v>
      </c>
      <c r="K1169" s="18">
        <v>110</v>
      </c>
      <c r="L1169" s="16">
        <v>250</v>
      </c>
      <c r="M1169" s="6" t="str" cm="1">
        <f t="array" ref="M1169">_xlfn.IFS(L1169&lt;100,"Economy",L1169&lt;200,"Standard",L1169&lt;350,"Powerful",L1169&lt;500,"High Performance",L1169&lt;800,"Sports Performance",L1169&gt;=800,"Super Performance")</f>
        <v>Powerful</v>
      </c>
    </row>
    <row r="1170" spans="1:13" x14ac:dyDescent="0.25">
      <c r="A1170" s="5" t="s">
        <v>572</v>
      </c>
      <c r="B1170" s="3" t="s">
        <v>1295</v>
      </c>
      <c r="C1170" s="3" t="s">
        <v>1309</v>
      </c>
      <c r="D1170" s="4">
        <v>1099599</v>
      </c>
      <c r="E1170" s="3">
        <v>1598</v>
      </c>
      <c r="F1170" s="3">
        <v>4</v>
      </c>
      <c r="G1170" s="3" t="s">
        <v>10</v>
      </c>
      <c r="H1170" s="3" t="s">
        <v>27</v>
      </c>
      <c r="I1170" s="3">
        <v>5</v>
      </c>
      <c r="J1170" s="3" t="s">
        <v>30</v>
      </c>
      <c r="K1170" s="18">
        <v>105</v>
      </c>
      <c r="L1170" s="16">
        <v>153</v>
      </c>
      <c r="M1170" s="6" t="str" cm="1">
        <f t="array" ref="M1170">_xlfn.IFS(L1170&lt;100,"Economy",L1170&lt;200,"Standard",L1170&lt;350,"Powerful",L1170&lt;500,"High Performance",L1170&lt;800,"Sports Performance",L1170&gt;=800,"Super Performance")</f>
        <v>Standard</v>
      </c>
    </row>
    <row r="1171" spans="1:13" x14ac:dyDescent="0.25">
      <c r="A1171" s="5" t="s">
        <v>572</v>
      </c>
      <c r="B1171" s="3" t="s">
        <v>1295</v>
      </c>
      <c r="C1171" s="3" t="s">
        <v>1310</v>
      </c>
      <c r="D1171" s="4">
        <v>1273599</v>
      </c>
      <c r="E1171" s="3">
        <v>1498</v>
      </c>
      <c r="F1171" s="3">
        <v>4</v>
      </c>
      <c r="G1171" s="3" t="s">
        <v>36</v>
      </c>
      <c r="H1171" s="3" t="s">
        <v>27</v>
      </c>
      <c r="I1171" s="3">
        <v>5</v>
      </c>
      <c r="J1171" s="3" t="s">
        <v>30</v>
      </c>
      <c r="K1171" s="18">
        <v>110</v>
      </c>
      <c r="L1171" s="16">
        <v>250</v>
      </c>
      <c r="M1171" s="6" t="str" cm="1">
        <f t="array" ref="M1171">_xlfn.IFS(L1171&lt;100,"Economy",L1171&lt;200,"Standard",L1171&lt;350,"Powerful",L1171&lt;500,"High Performance",L1171&lt;800,"Sports Performance",L1171&gt;=800,"Super Performance")</f>
        <v>Powerful</v>
      </c>
    </row>
    <row r="1172" spans="1:13" x14ac:dyDescent="0.25">
      <c r="A1172" s="5" t="s">
        <v>572</v>
      </c>
      <c r="B1172" s="3" t="s">
        <v>1295</v>
      </c>
      <c r="C1172" s="3" t="s">
        <v>1311</v>
      </c>
      <c r="D1172" s="4">
        <v>975599</v>
      </c>
      <c r="E1172" s="3">
        <v>1598</v>
      </c>
      <c r="F1172" s="3">
        <v>4</v>
      </c>
      <c r="G1172" s="3" t="s">
        <v>10</v>
      </c>
      <c r="H1172" s="3" t="s">
        <v>27</v>
      </c>
      <c r="I1172" s="3">
        <v>5</v>
      </c>
      <c r="J1172" s="3" t="s">
        <v>12</v>
      </c>
      <c r="K1172" s="18">
        <v>105</v>
      </c>
      <c r="L1172" s="16">
        <v>153</v>
      </c>
      <c r="M1172" s="6" t="str" cm="1">
        <f t="array" ref="M1172">_xlfn.IFS(L1172&lt;100,"Economy",L1172&lt;200,"Standard",L1172&lt;350,"Powerful",L1172&lt;500,"High Performance",L1172&lt;800,"Sports Performance",L1172&gt;=800,"Super Performance")</f>
        <v>Standard</v>
      </c>
    </row>
    <row r="1173" spans="1:13" x14ac:dyDescent="0.25">
      <c r="A1173" s="5" t="s">
        <v>1041</v>
      </c>
      <c r="B1173" s="3" t="s">
        <v>1312</v>
      </c>
      <c r="C1173" s="3" t="s">
        <v>937</v>
      </c>
      <c r="D1173" s="4">
        <v>1654783</v>
      </c>
      <c r="E1173" s="3">
        <v>2499</v>
      </c>
      <c r="F1173" s="3">
        <v>4</v>
      </c>
      <c r="G1173" s="3" t="s">
        <v>36</v>
      </c>
      <c r="H1173" s="3" t="s">
        <v>1313</v>
      </c>
      <c r="I1173" s="3">
        <v>5</v>
      </c>
      <c r="J1173" s="3" t="s">
        <v>12</v>
      </c>
      <c r="K1173" s="18">
        <v>134</v>
      </c>
      <c r="L1173" s="16">
        <v>320</v>
      </c>
      <c r="M1173" s="6" t="str" cm="1">
        <f t="array" ref="M1173">_xlfn.IFS(L1173&lt;100,"Economy",L1173&lt;200,"Standard",L1173&lt;350,"Powerful",L1173&lt;500,"High Performance",L1173&lt;800,"Sports Performance",L1173&gt;=800,"Super Performance")</f>
        <v>Powerful</v>
      </c>
    </row>
    <row r="1174" spans="1:13" x14ac:dyDescent="0.25">
      <c r="A1174" s="5" t="s">
        <v>1041</v>
      </c>
      <c r="B1174" s="3" t="s">
        <v>1312</v>
      </c>
      <c r="C1174" s="3" t="s">
        <v>1314</v>
      </c>
      <c r="D1174" s="4">
        <v>1806813</v>
      </c>
      <c r="E1174" s="3">
        <v>2499</v>
      </c>
      <c r="F1174" s="3">
        <v>4</v>
      </c>
      <c r="G1174" s="3" t="s">
        <v>36</v>
      </c>
      <c r="H1174" s="3" t="s">
        <v>1313</v>
      </c>
      <c r="I1174" s="3">
        <v>5</v>
      </c>
      <c r="J1174" s="3" t="s">
        <v>12</v>
      </c>
      <c r="K1174" s="18">
        <v>134</v>
      </c>
      <c r="L1174" s="16">
        <v>320</v>
      </c>
      <c r="M1174" s="6" t="str" cm="1">
        <f t="array" ref="M1174">_xlfn.IFS(L1174&lt;100,"Economy",L1174&lt;200,"Standard",L1174&lt;350,"Powerful",L1174&lt;500,"High Performance",L1174&lt;800,"Sports Performance",L1174&gt;=800,"Super Performance")</f>
        <v>Powerful</v>
      </c>
    </row>
    <row r="1175" spans="1:13" x14ac:dyDescent="0.25">
      <c r="A1175" s="5" t="s">
        <v>1041</v>
      </c>
      <c r="B1175" s="3" t="s">
        <v>1312</v>
      </c>
      <c r="C1175" s="3" t="s">
        <v>1315</v>
      </c>
      <c r="D1175" s="4">
        <v>1999000</v>
      </c>
      <c r="E1175" s="3">
        <v>1898</v>
      </c>
      <c r="F1175" s="3">
        <v>4</v>
      </c>
      <c r="G1175" s="3" t="s">
        <v>36</v>
      </c>
      <c r="H1175" s="3" t="s">
        <v>1313</v>
      </c>
      <c r="I1175" s="3">
        <v>5</v>
      </c>
      <c r="J1175" s="3" t="s">
        <v>30</v>
      </c>
      <c r="K1175" s="18">
        <v>150</v>
      </c>
      <c r="L1175" s="16">
        <v>350</v>
      </c>
      <c r="M1175" s="6" t="str" cm="1">
        <f t="array" ref="M1175">_xlfn.IFS(L1175&lt;100,"Economy",L1175&lt;200,"Standard",L1175&lt;350,"Powerful",L1175&lt;500,"High Performance",L1175&lt;800,"Sports Performance",L1175&gt;=800,"Super Performance")</f>
        <v>High Performance</v>
      </c>
    </row>
    <row r="1176" spans="1:13" x14ac:dyDescent="0.25">
      <c r="A1176" s="5" t="s">
        <v>90</v>
      </c>
      <c r="B1176" s="3" t="s">
        <v>1316</v>
      </c>
      <c r="C1176" s="3" t="s">
        <v>1317</v>
      </c>
      <c r="D1176" s="4">
        <v>7784944</v>
      </c>
      <c r="E1176" s="3">
        <v>1991</v>
      </c>
      <c r="F1176" s="3">
        <v>4</v>
      </c>
      <c r="G1176" s="3" t="s">
        <v>10</v>
      </c>
      <c r="H1176" s="3" t="s">
        <v>66</v>
      </c>
      <c r="I1176" s="3">
        <v>5</v>
      </c>
      <c r="J1176" s="3" t="s">
        <v>30</v>
      </c>
      <c r="K1176" s="18">
        <v>360</v>
      </c>
      <c r="L1176" s="16">
        <v>450</v>
      </c>
      <c r="M1176" s="6" t="str" cm="1">
        <f t="array" ref="M1176">_xlfn.IFS(L1176&lt;100,"Economy",L1176&lt;200,"Standard",L1176&lt;350,"Powerful",L1176&lt;500,"High Performance",L1176&lt;800,"Sports Performance",L1176&gt;=800,"Super Performance")</f>
        <v>High Performance</v>
      </c>
    </row>
    <row r="1177" spans="1:13" x14ac:dyDescent="0.25">
      <c r="A1177" s="5" t="s">
        <v>90</v>
      </c>
      <c r="B1177" s="3" t="s">
        <v>1316</v>
      </c>
      <c r="C1177" s="3" t="s">
        <v>1204</v>
      </c>
      <c r="D1177" s="4">
        <v>3564000</v>
      </c>
      <c r="E1177" s="3">
        <v>2143</v>
      </c>
      <c r="F1177" s="3">
        <v>4</v>
      </c>
      <c r="G1177" s="3" t="s">
        <v>36</v>
      </c>
      <c r="H1177" s="3" t="s">
        <v>66</v>
      </c>
      <c r="I1177" s="3">
        <v>5</v>
      </c>
      <c r="J1177" s="3" t="s">
        <v>30</v>
      </c>
      <c r="K1177" s="18">
        <v>136</v>
      </c>
      <c r="L1177" s="16">
        <v>300</v>
      </c>
      <c r="M1177" s="6" t="str" cm="1">
        <f t="array" ref="M1177">_xlfn.IFS(L1177&lt;100,"Economy",L1177&lt;200,"Standard",L1177&lt;350,"Powerful",L1177&lt;500,"High Performance",L1177&lt;800,"Sports Performance",L1177&gt;=800,"Super Performance")</f>
        <v>Powerful</v>
      </c>
    </row>
    <row r="1178" spans="1:13" x14ac:dyDescent="0.25">
      <c r="A1178" s="5" t="s">
        <v>90</v>
      </c>
      <c r="B1178" s="3" t="s">
        <v>1316</v>
      </c>
      <c r="C1178" s="3" t="s">
        <v>1201</v>
      </c>
      <c r="D1178" s="4">
        <v>3438000</v>
      </c>
      <c r="E1178" s="3">
        <v>1991</v>
      </c>
      <c r="F1178" s="3">
        <v>4</v>
      </c>
      <c r="G1178" s="3" t="s">
        <v>10</v>
      </c>
      <c r="H1178" s="3" t="s">
        <v>66</v>
      </c>
      <c r="I1178" s="3">
        <v>5</v>
      </c>
      <c r="J1178" s="3" t="s">
        <v>30</v>
      </c>
      <c r="K1178" s="18">
        <v>183</v>
      </c>
      <c r="L1178" s="16">
        <v>300</v>
      </c>
      <c r="M1178" s="6" t="str" cm="1">
        <f t="array" ref="M1178">_xlfn.IFS(L1178&lt;100,"Economy",L1178&lt;200,"Standard",L1178&lt;350,"Powerful",L1178&lt;500,"High Performance",L1178&lt;800,"Sports Performance",L1178&gt;=800,"Super Performance")</f>
        <v>Powerful</v>
      </c>
    </row>
    <row r="1179" spans="1:13" x14ac:dyDescent="0.25">
      <c r="A1179" s="5" t="s">
        <v>90</v>
      </c>
      <c r="B1179" s="3" t="s">
        <v>1316</v>
      </c>
      <c r="C1179" s="3" t="s">
        <v>1318</v>
      </c>
      <c r="D1179" s="4">
        <v>3233000</v>
      </c>
      <c r="E1179" s="3">
        <v>2143</v>
      </c>
      <c r="F1179" s="3">
        <v>4</v>
      </c>
      <c r="G1179" s="3" t="s">
        <v>36</v>
      </c>
      <c r="H1179" s="3" t="s">
        <v>66</v>
      </c>
      <c r="I1179" s="3">
        <v>5</v>
      </c>
      <c r="J1179" s="3" t="s">
        <v>30</v>
      </c>
      <c r="K1179" s="18">
        <v>136</v>
      </c>
      <c r="L1179" s="16">
        <v>300</v>
      </c>
      <c r="M1179" s="6" t="str" cm="1">
        <f t="array" ref="M1179">_xlfn.IFS(L1179&lt;100,"Economy",L1179&lt;200,"Standard",L1179&lt;350,"Powerful",L1179&lt;500,"High Performance",L1179&lt;800,"Sports Performance",L1179&gt;=800,"Super Performance")</f>
        <v>Powerful</v>
      </c>
    </row>
    <row r="1180" spans="1:13" x14ac:dyDescent="0.25">
      <c r="A1180" s="5" t="s">
        <v>90</v>
      </c>
      <c r="B1180" s="3" t="s">
        <v>1316</v>
      </c>
      <c r="C1180" s="3" t="s">
        <v>1319</v>
      </c>
      <c r="D1180" s="4">
        <v>8067000</v>
      </c>
      <c r="E1180" s="3">
        <v>1991</v>
      </c>
      <c r="F1180" s="3">
        <v>4</v>
      </c>
      <c r="G1180" s="3" t="s">
        <v>10</v>
      </c>
      <c r="H1180" s="3" t="s">
        <v>66</v>
      </c>
      <c r="I1180" s="3">
        <v>5</v>
      </c>
      <c r="J1180" s="3" t="s">
        <v>30</v>
      </c>
      <c r="K1180" s="18">
        <v>375</v>
      </c>
      <c r="L1180" s="16">
        <v>475</v>
      </c>
      <c r="M1180" s="6" t="str" cm="1">
        <f t="array" ref="M1180">_xlfn.IFS(L1180&lt;100,"Economy",L1180&lt;200,"Standard",L1180&lt;350,"Powerful",L1180&lt;500,"High Performance",L1180&lt;800,"Sports Performance",L1180&gt;=800,"Super Performance")</f>
        <v>High Performance</v>
      </c>
    </row>
    <row r="1181" spans="1:13" x14ac:dyDescent="0.25">
      <c r="A1181" s="5" t="s">
        <v>131</v>
      </c>
      <c r="B1181" s="3" t="s">
        <v>1320</v>
      </c>
      <c r="C1181" s="3" t="s">
        <v>1321</v>
      </c>
      <c r="D1181" s="4">
        <v>4321237</v>
      </c>
      <c r="E1181" s="3">
        <v>1993</v>
      </c>
      <c r="F1181" s="3">
        <v>4</v>
      </c>
      <c r="G1181" s="3" t="s">
        <v>194</v>
      </c>
      <c r="H1181" s="3" t="s">
        <v>27</v>
      </c>
      <c r="I1181" s="3">
        <v>5</v>
      </c>
      <c r="J1181" s="3" t="s">
        <v>30</v>
      </c>
      <c r="K1181" s="18">
        <v>145</v>
      </c>
      <c r="L1181" s="16">
        <v>175</v>
      </c>
      <c r="M1181" s="6" t="str" cm="1">
        <f t="array" ref="M1181">_xlfn.IFS(L1181&lt;100,"Economy",L1181&lt;200,"Standard",L1181&lt;350,"Powerful",L1181&lt;500,"High Performance",L1181&lt;800,"Sports Performance",L1181&gt;=800,"Super Performance")</f>
        <v>Standard</v>
      </c>
    </row>
    <row r="1182" spans="1:13" x14ac:dyDescent="0.25">
      <c r="A1182" s="5" t="s">
        <v>90</v>
      </c>
      <c r="B1182" s="3" t="s">
        <v>1316</v>
      </c>
      <c r="C1182" s="3" t="s">
        <v>1322</v>
      </c>
      <c r="D1182" s="4">
        <v>3864000</v>
      </c>
      <c r="E1182" s="3">
        <v>2143</v>
      </c>
      <c r="F1182" s="3">
        <v>4</v>
      </c>
      <c r="G1182" s="3" t="s">
        <v>36</v>
      </c>
      <c r="H1182" s="3" t="s">
        <v>66</v>
      </c>
      <c r="I1182" s="3">
        <v>5</v>
      </c>
      <c r="J1182" s="3" t="s">
        <v>30</v>
      </c>
      <c r="K1182" s="18">
        <v>170</v>
      </c>
      <c r="L1182" s="16">
        <v>350</v>
      </c>
      <c r="M1182" s="6" t="str" cm="1">
        <f t="array" ref="M1182">_xlfn.IFS(L1182&lt;100,"Economy",L1182&lt;200,"Standard",L1182&lt;350,"Powerful",L1182&lt;500,"High Performance",L1182&lt;800,"Sports Performance",L1182&gt;=800,"Super Performance")</f>
        <v>High Performance</v>
      </c>
    </row>
    <row r="1183" spans="1:13" x14ac:dyDescent="0.25">
      <c r="A1183" s="5" t="s">
        <v>572</v>
      </c>
      <c r="B1183" s="3" t="s">
        <v>823</v>
      </c>
      <c r="C1183" s="3" t="s">
        <v>1259</v>
      </c>
      <c r="D1183" s="4">
        <v>2059599</v>
      </c>
      <c r="E1183" s="3">
        <v>1798</v>
      </c>
      <c r="F1183" s="3">
        <v>4</v>
      </c>
      <c r="G1183" s="3" t="s">
        <v>10</v>
      </c>
      <c r="H1183" s="3" t="s">
        <v>27</v>
      </c>
      <c r="I1183" s="3">
        <v>5</v>
      </c>
      <c r="J1183" s="3" t="s">
        <v>30</v>
      </c>
      <c r="K1183" s="18">
        <v>180</v>
      </c>
      <c r="L1183" s="16">
        <v>250</v>
      </c>
      <c r="M1183" s="6" t="str" cm="1">
        <f t="array" ref="M1183">_xlfn.IFS(L1183&lt;100,"Economy",L1183&lt;200,"Standard",L1183&lt;350,"Powerful",L1183&lt;500,"High Performance",L1183&lt;800,"Sports Performance",L1183&gt;=800,"Super Performance")</f>
        <v>Powerful</v>
      </c>
    </row>
    <row r="1184" spans="1:13" x14ac:dyDescent="0.25">
      <c r="A1184" s="5" t="s">
        <v>78</v>
      </c>
      <c r="B1184" s="3" t="s">
        <v>401</v>
      </c>
      <c r="C1184" s="3" t="s">
        <v>1323</v>
      </c>
      <c r="D1184" s="4">
        <v>5930000</v>
      </c>
      <c r="E1184" s="3">
        <v>1995</v>
      </c>
      <c r="F1184" s="3">
        <v>4</v>
      </c>
      <c r="G1184" s="3" t="s">
        <v>36</v>
      </c>
      <c r="H1184" s="3" t="s">
        <v>27</v>
      </c>
      <c r="I1184" s="3">
        <v>5</v>
      </c>
      <c r="J1184" s="3" t="s">
        <v>30</v>
      </c>
      <c r="K1184" s="18">
        <v>190</v>
      </c>
      <c r="L1184" s="16">
        <v>400</v>
      </c>
      <c r="M1184" s="6" t="str" cm="1">
        <f t="array" ref="M1184">_xlfn.IFS(L1184&lt;100,"Economy",L1184&lt;200,"Standard",L1184&lt;350,"Powerful",L1184&lt;500,"High Performance",L1184&lt;800,"Sports Performance",L1184&gt;=800,"Super Performance")</f>
        <v>High Performance</v>
      </c>
    </row>
    <row r="1185" spans="1:13" x14ac:dyDescent="0.25">
      <c r="A1185" s="5" t="s">
        <v>572</v>
      </c>
      <c r="B1185" s="3" t="s">
        <v>823</v>
      </c>
      <c r="C1185" s="3" t="s">
        <v>1324</v>
      </c>
      <c r="D1185" s="4">
        <v>1899599</v>
      </c>
      <c r="E1185" s="3">
        <v>1395</v>
      </c>
      <c r="F1185" s="3">
        <v>4</v>
      </c>
      <c r="G1185" s="3" t="s">
        <v>10</v>
      </c>
      <c r="H1185" s="3" t="s">
        <v>27</v>
      </c>
      <c r="I1185" s="3">
        <v>5</v>
      </c>
      <c r="J1185" s="3" t="s">
        <v>12</v>
      </c>
      <c r="K1185" s="18">
        <v>140</v>
      </c>
      <c r="L1185" s="16">
        <v>250</v>
      </c>
      <c r="M1185" s="6" t="str" cm="1">
        <f t="array" ref="M1185">_xlfn.IFS(L1185&lt;100,"Economy",L1185&lt;200,"Standard",L1185&lt;350,"Powerful",L1185&lt;500,"High Performance",L1185&lt;800,"Sports Performance",L1185&gt;=800,"Super Performance")</f>
        <v>Powerful</v>
      </c>
    </row>
    <row r="1186" spans="1:13" x14ac:dyDescent="0.25">
      <c r="A1186" s="5" t="s">
        <v>572</v>
      </c>
      <c r="B1186" s="3" t="s">
        <v>823</v>
      </c>
      <c r="C1186" s="3" t="s">
        <v>1256</v>
      </c>
      <c r="D1186" s="4">
        <v>2359599</v>
      </c>
      <c r="E1186" s="3">
        <v>1798</v>
      </c>
      <c r="F1186" s="3">
        <v>4</v>
      </c>
      <c r="G1186" s="3" t="s">
        <v>10</v>
      </c>
      <c r="H1186" s="3" t="s">
        <v>27</v>
      </c>
      <c r="I1186" s="3">
        <v>5</v>
      </c>
      <c r="J1186" s="3" t="s">
        <v>30</v>
      </c>
      <c r="K1186" s="18">
        <v>180</v>
      </c>
      <c r="L1186" s="16">
        <v>250</v>
      </c>
      <c r="M1186" s="6" t="str" cm="1">
        <f t="array" ref="M1186">_xlfn.IFS(L1186&lt;100,"Economy",L1186&lt;200,"Standard",L1186&lt;350,"Powerful",L1186&lt;500,"High Performance",L1186&lt;800,"Sports Performance",L1186&gt;=800,"Super Performance")</f>
        <v>Powerful</v>
      </c>
    </row>
    <row r="1187" spans="1:13" x14ac:dyDescent="0.25">
      <c r="A1187" s="5" t="s">
        <v>202</v>
      </c>
      <c r="B1187" s="3" t="s">
        <v>1325</v>
      </c>
      <c r="C1187" s="3" t="s">
        <v>1326</v>
      </c>
      <c r="D1187" s="4">
        <v>772617</v>
      </c>
      <c r="E1187" s="3">
        <v>1461</v>
      </c>
      <c r="F1187" s="3">
        <v>4</v>
      </c>
      <c r="G1187" s="3" t="s">
        <v>36</v>
      </c>
      <c r="H1187" s="3" t="s">
        <v>27</v>
      </c>
      <c r="I1187" s="3">
        <v>5</v>
      </c>
      <c r="J1187" s="3" t="s">
        <v>12</v>
      </c>
      <c r="K1187" s="18">
        <v>65</v>
      </c>
      <c r="L1187" s="16">
        <v>160</v>
      </c>
      <c r="M1187" s="6" t="str" cm="1">
        <f t="array" ref="M1187">_xlfn.IFS(L1187&lt;100,"Economy",L1187&lt;200,"Standard",L1187&lt;350,"Powerful",L1187&lt;500,"High Performance",L1187&lt;800,"Sports Performance",L1187&gt;=800,"Super Performance")</f>
        <v>Standard</v>
      </c>
    </row>
    <row r="1188" spans="1:13" x14ac:dyDescent="0.25">
      <c r="A1188" s="5" t="s">
        <v>572</v>
      </c>
      <c r="B1188" s="3" t="s">
        <v>823</v>
      </c>
      <c r="C1188" s="3" t="s">
        <v>1327</v>
      </c>
      <c r="D1188" s="4">
        <v>1549000</v>
      </c>
      <c r="E1188" s="3">
        <v>1395</v>
      </c>
      <c r="F1188" s="3">
        <v>4</v>
      </c>
      <c r="G1188" s="3" t="s">
        <v>10</v>
      </c>
      <c r="H1188" s="3" t="s">
        <v>27</v>
      </c>
      <c r="I1188" s="3">
        <v>5</v>
      </c>
      <c r="J1188" s="3" t="s">
        <v>12</v>
      </c>
      <c r="K1188" s="18">
        <v>140</v>
      </c>
      <c r="L1188" s="16">
        <v>250</v>
      </c>
      <c r="M1188" s="6" t="str" cm="1">
        <f t="array" ref="M1188">_xlfn.IFS(L1188&lt;100,"Economy",L1188&lt;200,"Standard",L1188&lt;350,"Powerful",L1188&lt;500,"High Performance",L1188&lt;800,"Sports Performance",L1188&gt;=800,"Super Performance")</f>
        <v>Powerful</v>
      </c>
    </row>
    <row r="1189" spans="1:13" x14ac:dyDescent="0.25">
      <c r="A1189" s="5" t="s">
        <v>202</v>
      </c>
      <c r="B1189" s="3" t="s">
        <v>1325</v>
      </c>
      <c r="C1189" s="3" t="s">
        <v>1328</v>
      </c>
      <c r="D1189" s="4">
        <v>748370</v>
      </c>
      <c r="E1189" s="3">
        <v>1461</v>
      </c>
      <c r="F1189" s="3">
        <v>4</v>
      </c>
      <c r="G1189" s="3" t="s">
        <v>36</v>
      </c>
      <c r="H1189" s="3" t="s">
        <v>27</v>
      </c>
      <c r="I1189" s="3">
        <v>5</v>
      </c>
      <c r="J1189" s="3" t="s">
        <v>12</v>
      </c>
      <c r="K1189" s="18">
        <v>65</v>
      </c>
      <c r="L1189" s="16">
        <v>160</v>
      </c>
      <c r="M1189" s="6" t="str" cm="1">
        <f t="array" ref="M1189">_xlfn.IFS(L1189&lt;100,"Economy",L1189&lt;200,"Standard",L1189&lt;350,"Powerful",L1189&lt;500,"High Performance",L1189&lt;800,"Sports Performance",L1189&gt;=800,"Super Performance")</f>
        <v>Standard</v>
      </c>
    </row>
    <row r="1190" spans="1:13" x14ac:dyDescent="0.25">
      <c r="A1190" s="5" t="s">
        <v>202</v>
      </c>
      <c r="B1190" s="3" t="s">
        <v>1325</v>
      </c>
      <c r="C1190" s="3" t="s">
        <v>1329</v>
      </c>
      <c r="D1190" s="4">
        <v>845154</v>
      </c>
      <c r="E1190" s="3">
        <v>1461</v>
      </c>
      <c r="F1190" s="3">
        <v>4</v>
      </c>
      <c r="G1190" s="3" t="s">
        <v>36</v>
      </c>
      <c r="H1190" s="3" t="s">
        <v>27</v>
      </c>
      <c r="I1190" s="3">
        <v>5</v>
      </c>
      <c r="J1190" s="3" t="s">
        <v>12</v>
      </c>
      <c r="K1190" s="18">
        <v>120</v>
      </c>
      <c r="L1190" s="16">
        <v>280</v>
      </c>
      <c r="M1190" s="6" t="str" cm="1">
        <f t="array" ref="M1190">_xlfn.IFS(L1190&lt;100,"Economy",L1190&lt;200,"Standard",L1190&lt;350,"Powerful",L1190&lt;500,"High Performance",L1190&lt;800,"Sports Performance",L1190&gt;=800,"Super Performance")</f>
        <v>Powerful</v>
      </c>
    </row>
    <row r="1191" spans="1:13" x14ac:dyDescent="0.25">
      <c r="A1191" s="5" t="s">
        <v>93</v>
      </c>
      <c r="B1191" s="3" t="s">
        <v>1330</v>
      </c>
      <c r="C1191" s="3" t="s">
        <v>99</v>
      </c>
      <c r="D1191" s="4">
        <v>475198</v>
      </c>
      <c r="E1191" s="3">
        <v>998</v>
      </c>
      <c r="F1191" s="3">
        <v>3</v>
      </c>
      <c r="G1191" s="3" t="s">
        <v>10</v>
      </c>
      <c r="H1191" s="3" t="s">
        <v>11</v>
      </c>
      <c r="I1191" s="3">
        <v>5</v>
      </c>
      <c r="J1191" s="3" t="s">
        <v>12</v>
      </c>
      <c r="K1191" s="18">
        <v>68</v>
      </c>
      <c r="L1191" s="16">
        <v>90</v>
      </c>
      <c r="M1191" s="6" t="str" cm="1">
        <f t="array" ref="M1191">_xlfn.IFS(L1191&lt;100,"Economy",L1191&lt;200,"Standard",L1191&lt;350,"Powerful",L1191&lt;500,"High Performance",L1191&lt;800,"Sports Performance",L1191&gt;=800,"Super Performance")</f>
        <v>Economy</v>
      </c>
    </row>
    <row r="1192" spans="1:13" x14ac:dyDescent="0.25">
      <c r="A1192" s="5" t="s">
        <v>93</v>
      </c>
      <c r="B1192" s="3" t="s">
        <v>1330</v>
      </c>
      <c r="C1192" s="3" t="s">
        <v>100</v>
      </c>
      <c r="D1192" s="4">
        <v>481074</v>
      </c>
      <c r="E1192" s="3">
        <v>998</v>
      </c>
      <c r="F1192" s="3">
        <v>3</v>
      </c>
      <c r="G1192" s="3" t="s">
        <v>10</v>
      </c>
      <c r="H1192" s="3" t="s">
        <v>11</v>
      </c>
      <c r="I1192" s="3">
        <v>5</v>
      </c>
      <c r="J1192" s="3" t="s">
        <v>12</v>
      </c>
      <c r="K1192" s="18">
        <v>68</v>
      </c>
      <c r="L1192" s="16">
        <v>90</v>
      </c>
      <c r="M1192" s="6" t="str" cm="1">
        <f t="array" ref="M1192">_xlfn.IFS(L1192&lt;100,"Economy",L1192&lt;200,"Standard",L1192&lt;350,"Powerful",L1192&lt;500,"High Performance",L1192&lt;800,"Sports Performance",L1192&gt;=800,"Super Performance")</f>
        <v>Economy</v>
      </c>
    </row>
    <row r="1193" spans="1:13" x14ac:dyDescent="0.25">
      <c r="A1193" s="5" t="s">
        <v>93</v>
      </c>
      <c r="B1193" s="3" t="s">
        <v>1330</v>
      </c>
      <c r="C1193" s="3" t="s">
        <v>1331</v>
      </c>
      <c r="D1193" s="4">
        <v>540350</v>
      </c>
      <c r="E1193" s="3">
        <v>998</v>
      </c>
      <c r="F1193" s="3">
        <v>3</v>
      </c>
      <c r="G1193" s="3" t="s">
        <v>10</v>
      </c>
      <c r="H1193" s="3" t="s">
        <v>11</v>
      </c>
      <c r="I1193" s="3">
        <v>5</v>
      </c>
      <c r="J1193" s="3" t="s">
        <v>12</v>
      </c>
      <c r="K1193" s="18">
        <v>68</v>
      </c>
      <c r="L1193" s="16">
        <v>90</v>
      </c>
      <c r="M1193" s="6" t="str" cm="1">
        <f t="array" ref="M1193">_xlfn.IFS(L1193&lt;100,"Economy",L1193&lt;200,"Standard",L1193&lt;350,"Powerful",L1193&lt;500,"High Performance",L1193&lt;800,"Sports Performance",L1193&gt;=800,"Super Performance")</f>
        <v>Economy</v>
      </c>
    </row>
    <row r="1194" spans="1:13" x14ac:dyDescent="0.25">
      <c r="A1194" s="5" t="s">
        <v>93</v>
      </c>
      <c r="B1194" s="3" t="s">
        <v>1330</v>
      </c>
      <c r="C1194" s="3" t="s">
        <v>1114</v>
      </c>
      <c r="D1194" s="4">
        <v>524074</v>
      </c>
      <c r="E1194" s="3">
        <v>998</v>
      </c>
      <c r="F1194" s="3">
        <v>3</v>
      </c>
      <c r="G1194" s="3" t="s">
        <v>10</v>
      </c>
      <c r="H1194" s="3" t="s">
        <v>11</v>
      </c>
      <c r="I1194" s="3">
        <v>5</v>
      </c>
      <c r="J1194" s="3" t="s">
        <v>30</v>
      </c>
      <c r="K1194" s="18">
        <v>68</v>
      </c>
      <c r="L1194" s="16">
        <v>90</v>
      </c>
      <c r="M1194" s="6" t="str" cm="1">
        <f t="array" ref="M1194">_xlfn.IFS(L1194&lt;100,"Economy",L1194&lt;200,"Standard",L1194&lt;350,"Powerful",L1194&lt;500,"High Performance",L1194&lt;800,"Sports Performance",L1194&gt;=800,"Super Performance")</f>
        <v>Economy</v>
      </c>
    </row>
    <row r="1195" spans="1:13" x14ac:dyDescent="0.25">
      <c r="A1195" s="5" t="s">
        <v>93</v>
      </c>
      <c r="B1195" s="3" t="s">
        <v>1330</v>
      </c>
      <c r="C1195" s="3" t="s">
        <v>264</v>
      </c>
      <c r="D1195" s="4">
        <v>499734</v>
      </c>
      <c r="E1195" s="3">
        <v>998</v>
      </c>
      <c r="F1195" s="3">
        <v>3</v>
      </c>
      <c r="G1195" s="3" t="s">
        <v>10</v>
      </c>
      <c r="H1195" s="3" t="s">
        <v>11</v>
      </c>
      <c r="I1195" s="3">
        <v>5</v>
      </c>
      <c r="J1195" s="3" t="s">
        <v>12</v>
      </c>
      <c r="K1195" s="18">
        <v>68</v>
      </c>
      <c r="L1195" s="16">
        <v>90</v>
      </c>
      <c r="M1195" s="6" t="str" cm="1">
        <f t="array" ref="M1195">_xlfn.IFS(L1195&lt;100,"Economy",L1195&lt;200,"Standard",L1195&lt;350,"Powerful",L1195&lt;500,"High Performance",L1195&lt;800,"Sports Performance",L1195&gt;=800,"Super Performance")</f>
        <v>Economy</v>
      </c>
    </row>
    <row r="1196" spans="1:13" x14ac:dyDescent="0.25">
      <c r="A1196" s="5" t="s">
        <v>93</v>
      </c>
      <c r="B1196" s="3" t="s">
        <v>1330</v>
      </c>
      <c r="C1196" s="3" t="s">
        <v>713</v>
      </c>
      <c r="D1196" s="4">
        <v>518198</v>
      </c>
      <c r="E1196" s="3">
        <v>998</v>
      </c>
      <c r="F1196" s="3">
        <v>3</v>
      </c>
      <c r="G1196" s="3" t="s">
        <v>10</v>
      </c>
      <c r="H1196" s="3" t="s">
        <v>11</v>
      </c>
      <c r="I1196" s="3">
        <v>5</v>
      </c>
      <c r="J1196" s="3" t="s">
        <v>30</v>
      </c>
      <c r="K1196" s="18">
        <v>68</v>
      </c>
      <c r="L1196" s="16">
        <v>90</v>
      </c>
      <c r="M1196" s="6" t="str" cm="1">
        <f t="array" ref="M1196">_xlfn.IFS(L1196&lt;100,"Economy",L1196&lt;200,"Standard",L1196&lt;350,"Powerful",L1196&lt;500,"High Performance",L1196&lt;800,"Sports Performance",L1196&gt;=800,"Super Performance")</f>
        <v>Economy</v>
      </c>
    </row>
    <row r="1197" spans="1:13" x14ac:dyDescent="0.25">
      <c r="A1197" s="5" t="s">
        <v>93</v>
      </c>
      <c r="B1197" s="3" t="s">
        <v>1330</v>
      </c>
      <c r="C1197" s="3" t="s">
        <v>1332</v>
      </c>
      <c r="D1197" s="4">
        <v>552350</v>
      </c>
      <c r="E1197" s="3">
        <v>998</v>
      </c>
      <c r="F1197" s="3">
        <v>3</v>
      </c>
      <c r="G1197" s="3" t="s">
        <v>10</v>
      </c>
      <c r="H1197" s="3" t="s">
        <v>11</v>
      </c>
      <c r="I1197" s="3">
        <v>5</v>
      </c>
      <c r="J1197" s="3" t="s">
        <v>30</v>
      </c>
      <c r="K1197" s="18">
        <v>68</v>
      </c>
      <c r="L1197" s="16">
        <v>90</v>
      </c>
      <c r="M1197" s="6" t="str" cm="1">
        <f t="array" ref="M1197">_xlfn.IFS(L1197&lt;100,"Economy",L1197&lt;200,"Standard",L1197&lt;350,"Powerful",L1197&lt;500,"High Performance",L1197&lt;800,"Sports Performance",L1197&gt;=800,"Super Performance")</f>
        <v>Economy</v>
      </c>
    </row>
    <row r="1198" spans="1:13" x14ac:dyDescent="0.25">
      <c r="A1198" s="5" t="s">
        <v>93</v>
      </c>
      <c r="B1198" s="3" t="s">
        <v>1330</v>
      </c>
      <c r="C1198" s="3" t="s">
        <v>714</v>
      </c>
      <c r="D1198" s="4">
        <v>542735</v>
      </c>
      <c r="E1198" s="3">
        <v>998</v>
      </c>
      <c r="F1198" s="3">
        <v>3</v>
      </c>
      <c r="G1198" s="3" t="s">
        <v>10</v>
      </c>
      <c r="H1198" s="3" t="s">
        <v>11</v>
      </c>
      <c r="I1198" s="3">
        <v>5</v>
      </c>
      <c r="J1198" s="3" t="s">
        <v>30</v>
      </c>
      <c r="K1198" s="18">
        <v>68</v>
      </c>
      <c r="L1198" s="16">
        <v>90</v>
      </c>
      <c r="M1198" s="6" t="str" cm="1">
        <f t="array" ref="M1198">_xlfn.IFS(L1198&lt;100,"Economy",L1198&lt;200,"Standard",L1198&lt;350,"Powerful",L1198&lt;500,"High Performance",L1198&lt;800,"Sports Performance",L1198&gt;=800,"Super Performance")</f>
        <v>Economy</v>
      </c>
    </row>
    <row r="1199" spans="1:13" x14ac:dyDescent="0.25">
      <c r="A1199" s="5" t="s">
        <v>7</v>
      </c>
      <c r="B1199" s="3" t="s">
        <v>832</v>
      </c>
      <c r="C1199" s="3" t="s">
        <v>1333</v>
      </c>
      <c r="D1199" s="4">
        <v>556130</v>
      </c>
      <c r="E1199" s="3">
        <v>1197</v>
      </c>
      <c r="F1199" s="3">
        <v>4</v>
      </c>
      <c r="G1199" s="3" t="s">
        <v>10</v>
      </c>
      <c r="H1199" s="3" t="s">
        <v>27</v>
      </c>
      <c r="I1199" s="3">
        <v>5</v>
      </c>
      <c r="J1199" s="3" t="s">
        <v>12</v>
      </c>
      <c r="K1199" s="18">
        <v>83</v>
      </c>
      <c r="L1199" s="16">
        <v>114</v>
      </c>
      <c r="M1199" s="6" t="str" cm="1">
        <f t="array" ref="M1199">_xlfn.IFS(L1199&lt;100,"Economy",L1199&lt;200,"Standard",L1199&lt;350,"Powerful",L1199&lt;500,"High Performance",L1199&lt;800,"Sports Performance",L1199&gt;=800,"Super Performance")</f>
        <v>Standard</v>
      </c>
    </row>
    <row r="1200" spans="1:13" x14ac:dyDescent="0.25">
      <c r="A1200" s="5" t="s">
        <v>160</v>
      </c>
      <c r="B1200" s="3" t="s">
        <v>1334</v>
      </c>
      <c r="C1200" s="3" t="s">
        <v>1335</v>
      </c>
      <c r="D1200" s="4">
        <v>676500</v>
      </c>
      <c r="E1200" s="3">
        <v>999</v>
      </c>
      <c r="F1200" s="3">
        <v>3</v>
      </c>
      <c r="G1200" s="3" t="s">
        <v>10</v>
      </c>
      <c r="H1200" s="3" t="s">
        <v>11</v>
      </c>
      <c r="I1200" s="3">
        <v>5</v>
      </c>
      <c r="J1200" s="3" t="s">
        <v>12</v>
      </c>
      <c r="K1200" s="18">
        <v>76</v>
      </c>
      <c r="L1200" s="16">
        <v>95</v>
      </c>
      <c r="M1200" s="6" t="str" cm="1">
        <f t="array" ref="M1200">_xlfn.IFS(L1200&lt;100,"Economy",L1200&lt;200,"Standard",L1200&lt;350,"Powerful",L1200&lt;500,"High Performance",L1200&lt;800,"Sports Performance",L1200&gt;=800,"Super Performance")</f>
        <v>Economy</v>
      </c>
    </row>
    <row r="1201" spans="1:13" x14ac:dyDescent="0.25">
      <c r="A1201" s="5" t="s">
        <v>7</v>
      </c>
      <c r="B1201" s="3" t="s">
        <v>1173</v>
      </c>
      <c r="C1201" s="3" t="s">
        <v>1336</v>
      </c>
      <c r="D1201" s="4">
        <v>559693</v>
      </c>
      <c r="E1201" s="3">
        <v>1197</v>
      </c>
      <c r="F1201" s="3">
        <v>4</v>
      </c>
      <c r="G1201" s="3" t="s">
        <v>10</v>
      </c>
      <c r="H1201" s="3" t="s">
        <v>11</v>
      </c>
      <c r="I1201" s="3">
        <v>5</v>
      </c>
      <c r="J1201" s="3" t="s">
        <v>12</v>
      </c>
      <c r="K1201" s="18">
        <v>84</v>
      </c>
      <c r="L1201" s="16">
        <v>115</v>
      </c>
      <c r="M1201" s="6" t="str" cm="1">
        <f t="array" ref="M1201">_xlfn.IFS(L1201&lt;100,"Economy",L1201&lt;200,"Standard",L1201&lt;350,"Powerful",L1201&lt;500,"High Performance",L1201&lt;800,"Sports Performance",L1201&gt;=800,"Super Performance")</f>
        <v>Standard</v>
      </c>
    </row>
    <row r="1202" spans="1:13" x14ac:dyDescent="0.25">
      <c r="A1202" s="5" t="s">
        <v>160</v>
      </c>
      <c r="B1202" s="3" t="s">
        <v>1334</v>
      </c>
      <c r="C1202" s="3" t="s">
        <v>1337</v>
      </c>
      <c r="D1202" s="4">
        <v>776500</v>
      </c>
      <c r="E1202" s="3">
        <v>999</v>
      </c>
      <c r="F1202" s="3">
        <v>3</v>
      </c>
      <c r="G1202" s="3" t="s">
        <v>10</v>
      </c>
      <c r="H1202" s="3" t="s">
        <v>11</v>
      </c>
      <c r="I1202" s="3">
        <v>5</v>
      </c>
      <c r="J1202" s="3" t="s">
        <v>12</v>
      </c>
      <c r="K1202" s="18">
        <v>76</v>
      </c>
      <c r="L1202" s="16">
        <v>95</v>
      </c>
      <c r="M1202" s="6" t="str" cm="1">
        <f t="array" ref="M1202">_xlfn.IFS(L1202&lt;100,"Economy",L1202&lt;200,"Standard",L1202&lt;350,"Powerful",L1202&lt;500,"High Performance",L1202&lt;800,"Sports Performance",L1202&gt;=800,"Super Performance")</f>
        <v>Economy</v>
      </c>
    </row>
    <row r="1203" spans="1:13" x14ac:dyDescent="0.25">
      <c r="A1203" s="5" t="s">
        <v>160</v>
      </c>
      <c r="B1203" s="3" t="s">
        <v>1334</v>
      </c>
      <c r="C1203" s="3" t="s">
        <v>1338</v>
      </c>
      <c r="D1203" s="4">
        <v>582000</v>
      </c>
      <c r="E1203" s="3">
        <v>999</v>
      </c>
      <c r="F1203" s="3">
        <v>3</v>
      </c>
      <c r="G1203" s="3" t="s">
        <v>10</v>
      </c>
      <c r="H1203" s="3" t="s">
        <v>11</v>
      </c>
      <c r="I1203" s="3">
        <v>5</v>
      </c>
      <c r="J1203" s="3" t="s">
        <v>12</v>
      </c>
      <c r="K1203" s="18">
        <v>76</v>
      </c>
      <c r="L1203" s="16">
        <v>95</v>
      </c>
      <c r="M1203" s="6" t="str" cm="1">
        <f t="array" ref="M1203">_xlfn.IFS(L1203&lt;100,"Economy",L1203&lt;200,"Standard",L1203&lt;350,"Powerful",L1203&lt;500,"High Performance",L1203&lt;800,"Sports Performance",L1203&gt;=800,"Super Performance")</f>
        <v>Economy</v>
      </c>
    </row>
    <row r="1204" spans="1:13" x14ac:dyDescent="0.25">
      <c r="A1204" s="5" t="s">
        <v>160</v>
      </c>
      <c r="B1204" s="3" t="s">
        <v>1334</v>
      </c>
      <c r="C1204" s="3" t="s">
        <v>749</v>
      </c>
      <c r="D1204" s="4">
        <v>851500</v>
      </c>
      <c r="E1204" s="3">
        <v>1498</v>
      </c>
      <c r="F1204" s="3">
        <v>4</v>
      </c>
      <c r="G1204" s="3" t="s">
        <v>36</v>
      </c>
      <c r="H1204" s="3" t="s">
        <v>11</v>
      </c>
      <c r="I1204" s="3">
        <v>5</v>
      </c>
      <c r="J1204" s="3" t="s">
        <v>12</v>
      </c>
      <c r="K1204" s="18">
        <v>90</v>
      </c>
      <c r="L1204" s="16">
        <v>230</v>
      </c>
      <c r="M1204" s="6" t="str" cm="1">
        <f t="array" ref="M1204">_xlfn.IFS(L1204&lt;100,"Economy",L1204&lt;200,"Standard",L1204&lt;350,"Powerful",L1204&lt;500,"High Performance",L1204&lt;800,"Sports Performance",L1204&gt;=800,"Super Performance")</f>
        <v>Powerful</v>
      </c>
    </row>
    <row r="1205" spans="1:13" x14ac:dyDescent="0.25">
      <c r="A1205" s="5" t="s">
        <v>160</v>
      </c>
      <c r="B1205" s="3" t="s">
        <v>1334</v>
      </c>
      <c r="C1205" s="3" t="s">
        <v>1339</v>
      </c>
      <c r="D1205" s="4">
        <v>734500</v>
      </c>
      <c r="E1205" s="3">
        <v>1498</v>
      </c>
      <c r="F1205" s="3">
        <v>4</v>
      </c>
      <c r="G1205" s="3" t="s">
        <v>36</v>
      </c>
      <c r="H1205" s="3" t="s">
        <v>11</v>
      </c>
      <c r="I1205" s="3">
        <v>5</v>
      </c>
      <c r="J1205" s="3" t="s">
        <v>12</v>
      </c>
      <c r="K1205" s="18">
        <v>90</v>
      </c>
      <c r="L1205" s="16">
        <v>230</v>
      </c>
      <c r="M1205" s="6" t="str" cm="1">
        <f t="array" ref="M1205">_xlfn.IFS(L1205&lt;100,"Economy",L1205&lt;200,"Standard",L1205&lt;350,"Powerful",L1205&lt;500,"High Performance",L1205&lt;800,"Sports Performance",L1205&gt;=800,"Super Performance")</f>
        <v>Powerful</v>
      </c>
    </row>
    <row r="1206" spans="1:13" x14ac:dyDescent="0.25">
      <c r="A1206" s="5" t="s">
        <v>160</v>
      </c>
      <c r="B1206" s="3" t="s">
        <v>1334</v>
      </c>
      <c r="C1206" s="3" t="s">
        <v>1340</v>
      </c>
      <c r="D1206" s="4">
        <v>931500</v>
      </c>
      <c r="E1206" s="3">
        <v>1498</v>
      </c>
      <c r="F1206" s="3">
        <v>4</v>
      </c>
      <c r="G1206" s="3" t="s">
        <v>36</v>
      </c>
      <c r="H1206" s="3" t="s">
        <v>11</v>
      </c>
      <c r="I1206" s="3">
        <v>5</v>
      </c>
      <c r="J1206" s="3" t="s">
        <v>12</v>
      </c>
      <c r="K1206" s="18">
        <v>90</v>
      </c>
      <c r="L1206" s="16">
        <v>230</v>
      </c>
      <c r="M1206" s="6" t="str" cm="1">
        <f t="array" ref="M1206">_xlfn.IFS(L1206&lt;100,"Economy",L1206&lt;200,"Standard",L1206&lt;350,"Powerful",L1206&lt;500,"High Performance",L1206&lt;800,"Sports Performance",L1206&gt;=800,"Super Performance")</f>
        <v>Powerful</v>
      </c>
    </row>
    <row r="1207" spans="1:13" x14ac:dyDescent="0.25">
      <c r="A1207" s="5" t="s">
        <v>160</v>
      </c>
      <c r="B1207" s="3" t="s">
        <v>839</v>
      </c>
      <c r="C1207" s="3" t="s">
        <v>1341</v>
      </c>
      <c r="D1207" s="4">
        <v>711500</v>
      </c>
      <c r="E1207" s="3">
        <v>1498</v>
      </c>
      <c r="F1207" s="3">
        <v>0</v>
      </c>
      <c r="G1207" s="3" t="s">
        <v>36</v>
      </c>
      <c r="H1207" s="3" t="s">
        <v>27</v>
      </c>
      <c r="I1207" s="3">
        <v>5</v>
      </c>
      <c r="J1207" s="3" t="s">
        <v>12</v>
      </c>
      <c r="K1207" s="18">
        <v>110</v>
      </c>
      <c r="L1207" s="16">
        <v>250</v>
      </c>
      <c r="M1207" s="6" t="str" cm="1">
        <f t="array" ref="M1207">_xlfn.IFS(L1207&lt;100,"Economy",L1207&lt;200,"Standard",L1207&lt;350,"Powerful",L1207&lt;500,"High Performance",L1207&lt;800,"Sports Performance",L1207&gt;=800,"Super Performance")</f>
        <v>Powerful</v>
      </c>
    </row>
    <row r="1208" spans="1:13" x14ac:dyDescent="0.25">
      <c r="A1208" s="5" t="s">
        <v>160</v>
      </c>
      <c r="B1208" s="3" t="s">
        <v>1334</v>
      </c>
      <c r="C1208" s="3" t="s">
        <v>1342</v>
      </c>
      <c r="D1208" s="4">
        <v>988500</v>
      </c>
      <c r="E1208" s="3">
        <v>1498</v>
      </c>
      <c r="F1208" s="3">
        <v>4</v>
      </c>
      <c r="G1208" s="3" t="s">
        <v>36</v>
      </c>
      <c r="H1208" s="3" t="s">
        <v>11</v>
      </c>
      <c r="I1208" s="3">
        <v>5</v>
      </c>
      <c r="J1208" s="3" t="s">
        <v>12</v>
      </c>
      <c r="K1208" s="18">
        <v>110</v>
      </c>
      <c r="L1208" s="16">
        <v>250</v>
      </c>
      <c r="M1208" s="6" t="str" cm="1">
        <f t="array" ref="M1208">_xlfn.IFS(L1208&lt;100,"Economy",L1208&lt;200,"Standard",L1208&lt;350,"Powerful",L1208&lt;500,"High Performance",L1208&lt;800,"Sports Performance",L1208&gt;=800,"Super Performance")</f>
        <v>Powerful</v>
      </c>
    </row>
    <row r="1209" spans="1:13" x14ac:dyDescent="0.25">
      <c r="A1209" s="5" t="s">
        <v>160</v>
      </c>
      <c r="B1209" s="3" t="s">
        <v>1334</v>
      </c>
      <c r="C1209" s="3" t="s">
        <v>1343</v>
      </c>
      <c r="D1209" s="4">
        <v>976000</v>
      </c>
      <c r="E1209" s="3">
        <v>1197</v>
      </c>
      <c r="F1209" s="3">
        <v>4</v>
      </c>
      <c r="G1209" s="3" t="s">
        <v>10</v>
      </c>
      <c r="H1209" s="3" t="s">
        <v>11</v>
      </c>
      <c r="I1209" s="3">
        <v>5</v>
      </c>
      <c r="J1209" s="3" t="s">
        <v>30</v>
      </c>
      <c r="K1209" s="18">
        <v>105</v>
      </c>
      <c r="L1209" s="16">
        <v>175</v>
      </c>
      <c r="M1209" s="6" t="str" cm="1">
        <f t="array" ref="M1209">_xlfn.IFS(L1209&lt;100,"Economy",L1209&lt;200,"Standard",L1209&lt;350,"Powerful",L1209&lt;500,"High Performance",L1209&lt;800,"Sports Performance",L1209&gt;=800,"Super Performance")</f>
        <v>Standard</v>
      </c>
    </row>
    <row r="1210" spans="1:13" x14ac:dyDescent="0.25">
      <c r="A1210" s="5" t="s">
        <v>160</v>
      </c>
      <c r="B1210" s="3" t="s">
        <v>839</v>
      </c>
      <c r="C1210" s="3" t="s">
        <v>1344</v>
      </c>
      <c r="D1210" s="4">
        <v>925500</v>
      </c>
      <c r="E1210" s="3">
        <v>1498</v>
      </c>
      <c r="F1210" s="3">
        <v>0</v>
      </c>
      <c r="G1210" s="3" t="s">
        <v>36</v>
      </c>
      <c r="H1210" s="3" t="s">
        <v>27</v>
      </c>
      <c r="I1210" s="3">
        <v>5</v>
      </c>
      <c r="J1210" s="3" t="s">
        <v>12</v>
      </c>
      <c r="K1210" s="18">
        <v>110</v>
      </c>
      <c r="L1210" s="16">
        <v>250</v>
      </c>
      <c r="M1210" s="6" t="str" cm="1">
        <f t="array" ref="M1210">_xlfn.IFS(L1210&lt;100,"Economy",L1210&lt;200,"Standard",L1210&lt;350,"Powerful",L1210&lt;500,"High Performance",L1210&lt;800,"Sports Performance",L1210&gt;=800,"Super Performance")</f>
        <v>Powerful</v>
      </c>
    </row>
    <row r="1211" spans="1:13" x14ac:dyDescent="0.25">
      <c r="A1211" s="5" t="s">
        <v>160</v>
      </c>
      <c r="B1211" s="3" t="s">
        <v>839</v>
      </c>
      <c r="C1211" s="3" t="s">
        <v>1345</v>
      </c>
      <c r="D1211" s="4">
        <v>810500</v>
      </c>
      <c r="E1211" s="3">
        <v>1498</v>
      </c>
      <c r="F1211" s="3">
        <v>0</v>
      </c>
      <c r="G1211" s="3" t="s">
        <v>36</v>
      </c>
      <c r="H1211" s="3" t="s">
        <v>27</v>
      </c>
      <c r="I1211" s="3">
        <v>5</v>
      </c>
      <c r="J1211" s="3" t="s">
        <v>12</v>
      </c>
      <c r="K1211" s="18">
        <v>110</v>
      </c>
      <c r="L1211" s="16">
        <v>250</v>
      </c>
      <c r="M1211" s="6" t="str" cm="1">
        <f t="array" ref="M1211">_xlfn.IFS(L1211&lt;100,"Economy",L1211&lt;200,"Standard",L1211&lt;350,"Powerful",L1211&lt;500,"High Performance",L1211&lt;800,"Sports Performance",L1211&gt;=800,"Super Performance")</f>
        <v>Powerful</v>
      </c>
    </row>
    <row r="1212" spans="1:13" x14ac:dyDescent="0.25">
      <c r="A1212" s="5" t="s">
        <v>160</v>
      </c>
      <c r="B1212" s="3" t="s">
        <v>839</v>
      </c>
      <c r="C1212" s="3" t="s">
        <v>1346</v>
      </c>
      <c r="D1212" s="4">
        <v>999900</v>
      </c>
      <c r="E1212" s="3">
        <v>1498</v>
      </c>
      <c r="F1212" s="3">
        <v>0</v>
      </c>
      <c r="G1212" s="3" t="s">
        <v>36</v>
      </c>
      <c r="H1212" s="3" t="s">
        <v>27</v>
      </c>
      <c r="I1212" s="3">
        <v>5</v>
      </c>
      <c r="J1212" s="3" t="s">
        <v>30</v>
      </c>
      <c r="K1212" s="18">
        <v>110</v>
      </c>
      <c r="L1212" s="16">
        <v>250</v>
      </c>
      <c r="M1212" s="6" t="str" cm="1">
        <f t="array" ref="M1212">_xlfn.IFS(L1212&lt;100,"Economy",L1212&lt;200,"Standard",L1212&lt;350,"Powerful",L1212&lt;500,"High Performance",L1212&lt;800,"Sports Performance",L1212&gt;=800,"Super Performance")</f>
        <v>Powerful</v>
      </c>
    </row>
    <row r="1213" spans="1:13" x14ac:dyDescent="0.25">
      <c r="A1213" s="5" t="s">
        <v>93</v>
      </c>
      <c r="B1213" s="3" t="s">
        <v>379</v>
      </c>
      <c r="C1213" s="3" t="s">
        <v>99</v>
      </c>
      <c r="D1213" s="4">
        <v>465138</v>
      </c>
      <c r="E1213" s="3">
        <v>998</v>
      </c>
      <c r="F1213" s="3">
        <v>3</v>
      </c>
      <c r="G1213" s="3" t="s">
        <v>10</v>
      </c>
      <c r="H1213" s="3" t="s">
        <v>11</v>
      </c>
      <c r="I1213" s="3">
        <v>5</v>
      </c>
      <c r="J1213" s="3" t="s">
        <v>12</v>
      </c>
      <c r="K1213" s="18">
        <v>68</v>
      </c>
      <c r="L1213" s="16">
        <v>90</v>
      </c>
      <c r="M1213" s="6" t="str" cm="1">
        <f t="array" ref="M1213">_xlfn.IFS(L1213&lt;100,"Economy",L1213&lt;200,"Standard",L1213&lt;350,"Powerful",L1213&lt;500,"High Performance",L1213&lt;800,"Sports Performance",L1213&gt;=800,"Super Performance")</f>
        <v>Economy</v>
      </c>
    </row>
    <row r="1214" spans="1:13" x14ac:dyDescent="0.25">
      <c r="A1214" s="5" t="s">
        <v>93</v>
      </c>
      <c r="B1214" s="3" t="s">
        <v>379</v>
      </c>
      <c r="C1214" s="3" t="s">
        <v>264</v>
      </c>
      <c r="D1214" s="4">
        <v>490924</v>
      </c>
      <c r="E1214" s="3">
        <v>998</v>
      </c>
      <c r="F1214" s="3">
        <v>3</v>
      </c>
      <c r="G1214" s="3" t="s">
        <v>10</v>
      </c>
      <c r="H1214" s="3" t="s">
        <v>11</v>
      </c>
      <c r="I1214" s="3">
        <v>5</v>
      </c>
      <c r="J1214" s="3" t="s">
        <v>12</v>
      </c>
      <c r="K1214" s="18">
        <v>68</v>
      </c>
      <c r="L1214" s="16">
        <v>90</v>
      </c>
      <c r="M1214" s="6" t="str" cm="1">
        <f t="array" ref="M1214">_xlfn.IFS(L1214&lt;100,"Economy",L1214&lt;200,"Standard",L1214&lt;350,"Powerful",L1214&lt;500,"High Performance",L1214&lt;800,"Sports Performance",L1214&gt;=800,"Super Performance")</f>
        <v>Economy</v>
      </c>
    </row>
    <row r="1215" spans="1:13" x14ac:dyDescent="0.25">
      <c r="A1215" s="5" t="s">
        <v>93</v>
      </c>
      <c r="B1215" s="3" t="s">
        <v>379</v>
      </c>
      <c r="C1215" s="3" t="s">
        <v>265</v>
      </c>
      <c r="D1215" s="4">
        <v>508138</v>
      </c>
      <c r="E1215" s="3">
        <v>998</v>
      </c>
      <c r="F1215" s="3">
        <v>3</v>
      </c>
      <c r="G1215" s="3" t="s">
        <v>10</v>
      </c>
      <c r="H1215" s="3" t="s">
        <v>11</v>
      </c>
      <c r="I1215" s="3">
        <v>5</v>
      </c>
      <c r="J1215" s="3" t="s">
        <v>30</v>
      </c>
      <c r="K1215" s="18">
        <v>68</v>
      </c>
      <c r="L1215" s="16">
        <v>90</v>
      </c>
      <c r="M1215" s="6" t="str" cm="1">
        <f t="array" ref="M1215">_xlfn.IFS(L1215&lt;100,"Economy",L1215&lt;200,"Standard",L1215&lt;350,"Powerful",L1215&lt;500,"High Performance",L1215&lt;800,"Sports Performance",L1215&gt;=800,"Super Performance")</f>
        <v>Economy</v>
      </c>
    </row>
    <row r="1216" spans="1:13" x14ac:dyDescent="0.25">
      <c r="A1216" s="5" t="s">
        <v>160</v>
      </c>
      <c r="B1216" s="3" t="s">
        <v>839</v>
      </c>
      <c r="C1216" s="3" t="s">
        <v>1347</v>
      </c>
      <c r="D1216" s="4">
        <v>999900</v>
      </c>
      <c r="E1216" s="3">
        <v>1498</v>
      </c>
      <c r="F1216" s="3">
        <v>0</v>
      </c>
      <c r="G1216" s="3" t="s">
        <v>36</v>
      </c>
      <c r="H1216" s="3" t="s">
        <v>27</v>
      </c>
      <c r="I1216" s="3">
        <v>5</v>
      </c>
      <c r="J1216" s="3" t="s">
        <v>30</v>
      </c>
      <c r="K1216" s="18">
        <v>110</v>
      </c>
      <c r="L1216" s="16">
        <v>250</v>
      </c>
      <c r="M1216" s="6" t="str" cm="1">
        <f t="array" ref="M1216">_xlfn.IFS(L1216&lt;100,"Economy",L1216&lt;200,"Standard",L1216&lt;350,"Powerful",L1216&lt;500,"High Performance",L1216&lt;800,"Sports Performance",L1216&gt;=800,"Super Performance")</f>
        <v>Powerful</v>
      </c>
    </row>
    <row r="1217" spans="1:13" x14ac:dyDescent="0.25">
      <c r="A1217" s="5" t="s">
        <v>93</v>
      </c>
      <c r="B1217" s="3" t="s">
        <v>379</v>
      </c>
      <c r="C1217" s="3" t="s">
        <v>1348</v>
      </c>
      <c r="D1217" s="4">
        <v>531279</v>
      </c>
      <c r="E1217" s="3">
        <v>998</v>
      </c>
      <c r="F1217" s="3">
        <v>3</v>
      </c>
      <c r="G1217" s="3" t="s">
        <v>10</v>
      </c>
      <c r="H1217" s="3" t="s">
        <v>11</v>
      </c>
      <c r="I1217" s="3">
        <v>5</v>
      </c>
      <c r="J1217" s="3" t="s">
        <v>12</v>
      </c>
      <c r="K1217" s="18">
        <v>68</v>
      </c>
      <c r="L1217" s="16">
        <v>90</v>
      </c>
      <c r="M1217" s="6" t="str" cm="1">
        <f t="array" ref="M1217">_xlfn.IFS(L1217&lt;100,"Economy",L1217&lt;200,"Standard",L1217&lt;350,"Powerful",L1217&lt;500,"High Performance",L1217&lt;800,"Sports Performance",L1217&gt;=800,"Super Performance")</f>
        <v>Economy</v>
      </c>
    </row>
    <row r="1218" spans="1:13" x14ac:dyDescent="0.25">
      <c r="A1218" s="5" t="s">
        <v>93</v>
      </c>
      <c r="B1218" s="3" t="s">
        <v>379</v>
      </c>
      <c r="C1218" s="3" t="s">
        <v>1349</v>
      </c>
      <c r="D1218" s="4">
        <v>472257</v>
      </c>
      <c r="E1218" s="3">
        <v>998</v>
      </c>
      <c r="F1218" s="3">
        <v>3</v>
      </c>
      <c r="G1218" s="3" t="s">
        <v>10</v>
      </c>
      <c r="H1218" s="3" t="s">
        <v>11</v>
      </c>
      <c r="I1218" s="3">
        <v>5</v>
      </c>
      <c r="J1218" s="3" t="s">
        <v>12</v>
      </c>
      <c r="K1218" s="18">
        <v>68</v>
      </c>
      <c r="L1218" s="16">
        <v>90</v>
      </c>
      <c r="M1218" s="6" t="str" cm="1">
        <f t="array" ref="M1218">_xlfn.IFS(L1218&lt;100,"Economy",L1218&lt;200,"Standard",L1218&lt;350,"Powerful",L1218&lt;500,"High Performance",L1218&lt;800,"Sports Performance",L1218&gt;=800,"Super Performance")</f>
        <v>Economy</v>
      </c>
    </row>
    <row r="1219" spans="1:13" x14ac:dyDescent="0.25">
      <c r="A1219" s="5" t="s">
        <v>93</v>
      </c>
      <c r="B1219" s="3" t="s">
        <v>379</v>
      </c>
      <c r="C1219" s="3" t="s">
        <v>1350</v>
      </c>
      <c r="D1219" s="4">
        <v>533924</v>
      </c>
      <c r="E1219" s="3">
        <v>998</v>
      </c>
      <c r="F1219" s="3">
        <v>3</v>
      </c>
      <c r="G1219" s="3" t="s">
        <v>10</v>
      </c>
      <c r="H1219" s="3" t="s">
        <v>11</v>
      </c>
      <c r="I1219" s="3">
        <v>5</v>
      </c>
      <c r="J1219" s="3" t="s">
        <v>30</v>
      </c>
      <c r="K1219" s="18">
        <v>68</v>
      </c>
      <c r="L1219" s="16">
        <v>90</v>
      </c>
      <c r="M1219" s="6" t="str" cm="1">
        <f t="array" ref="M1219">_xlfn.IFS(L1219&lt;100,"Economy",L1219&lt;200,"Standard",L1219&lt;350,"Powerful",L1219&lt;500,"High Performance",L1219&lt;800,"Sports Performance",L1219&gt;=800,"Super Performance")</f>
        <v>Economy</v>
      </c>
    </row>
    <row r="1220" spans="1:13" x14ac:dyDescent="0.25">
      <c r="A1220" s="5" t="s">
        <v>93</v>
      </c>
      <c r="B1220" s="3" t="s">
        <v>379</v>
      </c>
      <c r="C1220" s="3" t="s">
        <v>1351</v>
      </c>
      <c r="D1220" s="4">
        <v>543279</v>
      </c>
      <c r="E1220" s="3">
        <v>998</v>
      </c>
      <c r="F1220" s="3">
        <v>3</v>
      </c>
      <c r="G1220" s="3" t="s">
        <v>10</v>
      </c>
      <c r="H1220" s="3" t="s">
        <v>11</v>
      </c>
      <c r="I1220" s="3">
        <v>5</v>
      </c>
      <c r="J1220" s="3" t="s">
        <v>30</v>
      </c>
      <c r="K1220" s="18">
        <v>68</v>
      </c>
      <c r="L1220" s="16">
        <v>90</v>
      </c>
      <c r="M1220" s="6" t="str" cm="1">
        <f t="array" ref="M1220">_xlfn.IFS(L1220&lt;100,"Economy",L1220&lt;200,"Standard",L1220&lt;350,"Powerful",L1220&lt;500,"High Performance",L1220&lt;800,"Sports Performance",L1220&gt;=800,"Super Performance")</f>
        <v>Economy</v>
      </c>
    </row>
    <row r="1221" spans="1:13" x14ac:dyDescent="0.25">
      <c r="A1221" s="5" t="s">
        <v>93</v>
      </c>
      <c r="B1221" s="3" t="s">
        <v>379</v>
      </c>
      <c r="C1221" s="3" t="s">
        <v>103</v>
      </c>
      <c r="D1221" s="4">
        <v>515257</v>
      </c>
      <c r="E1221" s="3">
        <v>998</v>
      </c>
      <c r="F1221" s="3">
        <v>3</v>
      </c>
      <c r="G1221" s="3" t="s">
        <v>10</v>
      </c>
      <c r="H1221" s="3" t="s">
        <v>11</v>
      </c>
      <c r="I1221" s="3">
        <v>5</v>
      </c>
      <c r="J1221" s="3" t="s">
        <v>30</v>
      </c>
      <c r="K1221" s="18">
        <v>68</v>
      </c>
      <c r="L1221" s="16">
        <v>90</v>
      </c>
      <c r="M1221" s="6" t="str" cm="1">
        <f t="array" ref="M1221">_xlfn.IFS(L1221&lt;100,"Economy",L1221&lt;200,"Standard",L1221&lt;350,"Powerful",L1221&lt;500,"High Performance",L1221&lt;800,"Sports Performance",L1221&gt;=800,"Super Performance")</f>
        <v>Economy</v>
      </c>
    </row>
    <row r="1222" spans="1:13" x14ac:dyDescent="0.25">
      <c r="A1222" s="5" t="s">
        <v>7</v>
      </c>
      <c r="B1222" s="3" t="s">
        <v>709</v>
      </c>
      <c r="C1222" s="3" t="s">
        <v>1352</v>
      </c>
      <c r="D1222" s="4">
        <v>460369</v>
      </c>
      <c r="E1222" s="3">
        <v>1197</v>
      </c>
      <c r="F1222" s="3">
        <v>4</v>
      </c>
      <c r="G1222" s="3" t="s">
        <v>10</v>
      </c>
      <c r="H1222" s="3" t="s">
        <v>11</v>
      </c>
      <c r="I1222" s="3">
        <v>5</v>
      </c>
      <c r="J1222" s="3" t="s">
        <v>12</v>
      </c>
      <c r="K1222" s="18">
        <v>83</v>
      </c>
      <c r="L1222" s="16">
        <v>114</v>
      </c>
      <c r="M1222" s="6" t="str" cm="1">
        <f t="array" ref="M1222">_xlfn.IFS(L1222&lt;100,"Economy",L1222&lt;200,"Standard",L1222&lt;350,"Powerful",L1222&lt;500,"High Performance",L1222&lt;800,"Sports Performance",L1222&gt;=800,"Super Performance")</f>
        <v>Standard</v>
      </c>
    </row>
    <row r="1223" spans="1:13" x14ac:dyDescent="0.25">
      <c r="A1223" s="5" t="s">
        <v>22</v>
      </c>
      <c r="B1223" s="3" t="s">
        <v>631</v>
      </c>
      <c r="C1223" s="3" t="s">
        <v>1353</v>
      </c>
      <c r="D1223" s="4">
        <v>744000</v>
      </c>
      <c r="E1223" s="3">
        <v>1199</v>
      </c>
      <c r="F1223" s="3">
        <v>3</v>
      </c>
      <c r="G1223" s="3" t="s">
        <v>10</v>
      </c>
      <c r="H1223" s="3" t="s">
        <v>11</v>
      </c>
      <c r="I1223" s="3">
        <v>5</v>
      </c>
      <c r="J1223" s="3" t="s">
        <v>12</v>
      </c>
      <c r="K1223" s="18">
        <v>86</v>
      </c>
      <c r="L1223" s="16">
        <v>113</v>
      </c>
      <c r="M1223" s="6" t="str" cm="1">
        <f t="array" ref="M1223">_xlfn.IFS(L1223&lt;100,"Economy",L1223&lt;200,"Standard",L1223&lt;350,"Powerful",L1223&lt;500,"High Performance",L1223&lt;800,"Sports Performance",L1223&gt;=800,"Super Performance")</f>
        <v>Standard</v>
      </c>
    </row>
    <row r="1224" spans="1:13" x14ac:dyDescent="0.25">
      <c r="A1224" s="5" t="s">
        <v>22</v>
      </c>
      <c r="B1224" s="3" t="s">
        <v>631</v>
      </c>
      <c r="C1224" s="3" t="s">
        <v>459</v>
      </c>
      <c r="D1224" s="4">
        <v>615000</v>
      </c>
      <c r="E1224" s="3">
        <v>1199</v>
      </c>
      <c r="F1224" s="3">
        <v>3</v>
      </c>
      <c r="G1224" s="3" t="s">
        <v>10</v>
      </c>
      <c r="H1224" s="3" t="s">
        <v>11</v>
      </c>
      <c r="I1224" s="3">
        <v>5</v>
      </c>
      <c r="J1224" s="3" t="s">
        <v>12</v>
      </c>
      <c r="K1224" s="18">
        <v>86</v>
      </c>
      <c r="L1224" s="16">
        <v>113</v>
      </c>
      <c r="M1224" s="6" t="str" cm="1">
        <f t="array" ref="M1224">_xlfn.IFS(L1224&lt;100,"Economy",L1224&lt;200,"Standard",L1224&lt;350,"Powerful",L1224&lt;500,"High Performance",L1224&lt;800,"Sports Performance",L1224&gt;=800,"Super Performance")</f>
        <v>Standard</v>
      </c>
    </row>
    <row r="1225" spans="1:13" x14ac:dyDescent="0.25">
      <c r="A1225" s="5" t="s">
        <v>7</v>
      </c>
      <c r="B1225" s="3" t="s">
        <v>709</v>
      </c>
      <c r="C1225" s="3" t="s">
        <v>1354</v>
      </c>
      <c r="D1225" s="4">
        <v>477511</v>
      </c>
      <c r="E1225" s="3">
        <v>1197</v>
      </c>
      <c r="F1225" s="3">
        <v>4</v>
      </c>
      <c r="G1225" s="3" t="s">
        <v>10</v>
      </c>
      <c r="H1225" s="3" t="s">
        <v>11</v>
      </c>
      <c r="I1225" s="3">
        <v>5</v>
      </c>
      <c r="J1225" s="3" t="s">
        <v>12</v>
      </c>
      <c r="K1225" s="18">
        <v>83</v>
      </c>
      <c r="L1225" s="16">
        <v>114</v>
      </c>
      <c r="M1225" s="6" t="str" cm="1">
        <f t="array" ref="M1225">_xlfn.IFS(L1225&lt;100,"Economy",L1225&lt;200,"Standard",L1225&lt;350,"Powerful",L1225&lt;500,"High Performance",L1225&lt;800,"Sports Performance",L1225&gt;=800,"Super Performance")</f>
        <v>Standard</v>
      </c>
    </row>
    <row r="1226" spans="1:13" x14ac:dyDescent="0.25">
      <c r="A1226" s="5" t="s">
        <v>22</v>
      </c>
      <c r="B1226" s="3" t="s">
        <v>631</v>
      </c>
      <c r="C1226" s="3" t="s">
        <v>458</v>
      </c>
      <c r="D1226" s="4">
        <v>684000</v>
      </c>
      <c r="E1226" s="3">
        <v>1199</v>
      </c>
      <c r="F1226" s="3">
        <v>3</v>
      </c>
      <c r="G1226" s="3" t="s">
        <v>10</v>
      </c>
      <c r="H1226" s="3" t="s">
        <v>11</v>
      </c>
      <c r="I1226" s="3">
        <v>5</v>
      </c>
      <c r="J1226" s="3" t="s">
        <v>12</v>
      </c>
      <c r="K1226" s="18">
        <v>86</v>
      </c>
      <c r="L1226" s="16">
        <v>113</v>
      </c>
      <c r="M1226" s="6" t="str" cm="1">
        <f t="array" ref="M1226">_xlfn.IFS(L1226&lt;100,"Economy",L1226&lt;200,"Standard",L1226&lt;350,"Powerful",L1226&lt;500,"High Performance",L1226&lt;800,"Sports Performance",L1226&gt;=800,"Super Performance")</f>
        <v>Standard</v>
      </c>
    </row>
    <row r="1227" spans="1:13" x14ac:dyDescent="0.25">
      <c r="A1227" s="5" t="s">
        <v>22</v>
      </c>
      <c r="B1227" s="3" t="s">
        <v>631</v>
      </c>
      <c r="C1227" s="3" t="s">
        <v>456</v>
      </c>
      <c r="D1227" s="4">
        <v>775000</v>
      </c>
      <c r="E1227" s="3">
        <v>1497</v>
      </c>
      <c r="F1227" s="3">
        <v>4</v>
      </c>
      <c r="G1227" s="3" t="s">
        <v>36</v>
      </c>
      <c r="H1227" s="3" t="s">
        <v>11</v>
      </c>
      <c r="I1227" s="3">
        <v>5</v>
      </c>
      <c r="J1227" s="3" t="s">
        <v>12</v>
      </c>
      <c r="K1227" s="18">
        <v>90</v>
      </c>
      <c r="L1227" s="16">
        <v>200</v>
      </c>
      <c r="M1227" s="6" t="str" cm="1">
        <f t="array" ref="M1227">_xlfn.IFS(L1227&lt;100,"Economy",L1227&lt;200,"Standard",L1227&lt;350,"Powerful",L1227&lt;500,"High Performance",L1227&lt;800,"Sports Performance",L1227&gt;=800,"Super Performance")</f>
        <v>Powerful</v>
      </c>
    </row>
    <row r="1228" spans="1:13" x14ac:dyDescent="0.25">
      <c r="A1228" s="5" t="s">
        <v>22</v>
      </c>
      <c r="B1228" s="3" t="s">
        <v>631</v>
      </c>
      <c r="C1228" s="3" t="s">
        <v>723</v>
      </c>
      <c r="D1228" s="4">
        <v>904000</v>
      </c>
      <c r="E1228" s="3">
        <v>1497</v>
      </c>
      <c r="F1228" s="3">
        <v>4</v>
      </c>
      <c r="G1228" s="3" t="s">
        <v>36</v>
      </c>
      <c r="H1228" s="3" t="s">
        <v>11</v>
      </c>
      <c r="I1228" s="3">
        <v>5</v>
      </c>
      <c r="J1228" s="3" t="s">
        <v>12</v>
      </c>
      <c r="K1228" s="18">
        <v>90</v>
      </c>
      <c r="L1228" s="16">
        <v>200</v>
      </c>
      <c r="M1228" s="6" t="str" cm="1">
        <f t="array" ref="M1228">_xlfn.IFS(L1228&lt;100,"Economy",L1228&lt;200,"Standard",L1228&lt;350,"Powerful",L1228&lt;500,"High Performance",L1228&lt;800,"Sports Performance",L1228&gt;=800,"Super Performance")</f>
        <v>Powerful</v>
      </c>
    </row>
    <row r="1229" spans="1:13" x14ac:dyDescent="0.25">
      <c r="A1229" s="5" t="s">
        <v>22</v>
      </c>
      <c r="B1229" s="3" t="s">
        <v>631</v>
      </c>
      <c r="C1229" s="3" t="s">
        <v>1355</v>
      </c>
      <c r="D1229" s="4">
        <v>769000</v>
      </c>
      <c r="E1229" s="3">
        <v>1199</v>
      </c>
      <c r="F1229" s="3">
        <v>3</v>
      </c>
      <c r="G1229" s="3" t="s">
        <v>10</v>
      </c>
      <c r="H1229" s="3" t="s">
        <v>11</v>
      </c>
      <c r="I1229" s="3">
        <v>5</v>
      </c>
      <c r="J1229" s="3" t="s">
        <v>12</v>
      </c>
      <c r="K1229" s="18">
        <v>86</v>
      </c>
      <c r="L1229" s="16">
        <v>113</v>
      </c>
      <c r="M1229" s="6" t="str" cm="1">
        <f t="array" ref="M1229">_xlfn.IFS(L1229&lt;100,"Economy",L1229&lt;200,"Standard",L1229&lt;350,"Powerful",L1229&lt;500,"High Performance",L1229&lt;800,"Sports Performance",L1229&gt;=800,"Super Performance")</f>
        <v>Standard</v>
      </c>
    </row>
    <row r="1230" spans="1:13" x14ac:dyDescent="0.25">
      <c r="A1230" s="5" t="s">
        <v>22</v>
      </c>
      <c r="B1230" s="3" t="s">
        <v>631</v>
      </c>
      <c r="C1230" s="3" t="s">
        <v>455</v>
      </c>
      <c r="D1230" s="4">
        <v>844000</v>
      </c>
      <c r="E1230" s="3">
        <v>1497</v>
      </c>
      <c r="F1230" s="3">
        <v>4</v>
      </c>
      <c r="G1230" s="3" t="s">
        <v>36</v>
      </c>
      <c r="H1230" s="3" t="s">
        <v>11</v>
      </c>
      <c r="I1230" s="3">
        <v>5</v>
      </c>
      <c r="J1230" s="3" t="s">
        <v>12</v>
      </c>
      <c r="K1230" s="18">
        <v>90</v>
      </c>
      <c r="L1230" s="16">
        <v>200</v>
      </c>
      <c r="M1230" s="6" t="str" cm="1">
        <f t="array" ref="M1230">_xlfn.IFS(L1230&lt;100,"Economy",L1230&lt;200,"Standard",L1230&lt;350,"Powerful",L1230&lt;500,"High Performance",L1230&lt;800,"Sports Performance",L1230&gt;=800,"Super Performance")</f>
        <v>Powerful</v>
      </c>
    </row>
    <row r="1231" spans="1:13" x14ac:dyDescent="0.25">
      <c r="A1231" s="5" t="s">
        <v>22</v>
      </c>
      <c r="B1231" s="3" t="s">
        <v>1137</v>
      </c>
      <c r="C1231" s="3" t="s">
        <v>1356</v>
      </c>
      <c r="D1231" s="4">
        <v>610000</v>
      </c>
      <c r="E1231" s="3">
        <v>1199</v>
      </c>
      <c r="F1231" s="3">
        <v>3</v>
      </c>
      <c r="G1231" s="3" t="s">
        <v>10</v>
      </c>
      <c r="H1231" s="3" t="s">
        <v>27</v>
      </c>
      <c r="I1231" s="3">
        <v>5</v>
      </c>
      <c r="J1231" s="3" t="s">
        <v>12</v>
      </c>
      <c r="K1231" s="18">
        <v>86</v>
      </c>
      <c r="L1231" s="16">
        <v>113</v>
      </c>
      <c r="M1231" s="6" t="str" cm="1">
        <f t="array" ref="M1231">_xlfn.IFS(L1231&lt;100,"Economy",L1231&lt;200,"Standard",L1231&lt;350,"Powerful",L1231&lt;500,"High Performance",L1231&lt;800,"Sports Performance",L1231&gt;=800,"Super Performance")</f>
        <v>Standard</v>
      </c>
    </row>
    <row r="1232" spans="1:13" x14ac:dyDescent="0.25">
      <c r="A1232" s="5" t="s">
        <v>22</v>
      </c>
      <c r="B1232" s="3" t="s">
        <v>1137</v>
      </c>
      <c r="C1232" s="3" t="s">
        <v>24</v>
      </c>
      <c r="D1232" s="4">
        <v>575000</v>
      </c>
      <c r="E1232" s="3">
        <v>1199</v>
      </c>
      <c r="F1232" s="3">
        <v>3</v>
      </c>
      <c r="G1232" s="3" t="s">
        <v>10</v>
      </c>
      <c r="H1232" s="3" t="s">
        <v>27</v>
      </c>
      <c r="I1232" s="3">
        <v>5</v>
      </c>
      <c r="J1232" s="3" t="s">
        <v>12</v>
      </c>
      <c r="K1232" s="18">
        <v>86</v>
      </c>
      <c r="L1232" s="16">
        <v>113</v>
      </c>
      <c r="M1232" s="6" t="str" cm="1">
        <f t="array" ref="M1232">_xlfn.IFS(L1232&lt;100,"Economy",L1232&lt;200,"Standard",L1232&lt;350,"Powerful",L1232&lt;500,"High Performance",L1232&lt;800,"Sports Performance",L1232&gt;=800,"Super Performance")</f>
        <v>Standard</v>
      </c>
    </row>
    <row r="1233" spans="1:13" x14ac:dyDescent="0.25">
      <c r="A1233" s="5" t="s">
        <v>22</v>
      </c>
      <c r="B1233" s="3" t="s">
        <v>631</v>
      </c>
      <c r="C1233" s="3" t="s">
        <v>1357</v>
      </c>
      <c r="D1233" s="4">
        <v>929000</v>
      </c>
      <c r="E1233" s="3">
        <v>1497</v>
      </c>
      <c r="F1233" s="3">
        <v>4</v>
      </c>
      <c r="G1233" s="3" t="s">
        <v>36</v>
      </c>
      <c r="H1233" s="3" t="s">
        <v>11</v>
      </c>
      <c r="I1233" s="3">
        <v>5</v>
      </c>
      <c r="J1233" s="3" t="s">
        <v>12</v>
      </c>
      <c r="K1233" s="18">
        <v>90</v>
      </c>
      <c r="L1233" s="16">
        <v>200</v>
      </c>
      <c r="M1233" s="6" t="str" cm="1">
        <f t="array" ref="M1233">_xlfn.IFS(L1233&lt;100,"Economy",L1233&lt;200,"Standard",L1233&lt;350,"Powerful",L1233&lt;500,"High Performance",L1233&lt;800,"Sports Performance",L1233&gt;=800,"Super Performance")</f>
        <v>Powerful</v>
      </c>
    </row>
    <row r="1234" spans="1:13" x14ac:dyDescent="0.25">
      <c r="A1234" s="5" t="s">
        <v>22</v>
      </c>
      <c r="B1234" s="3" t="s">
        <v>843</v>
      </c>
      <c r="C1234" s="3" t="s">
        <v>456</v>
      </c>
      <c r="D1234" s="4">
        <v>767317</v>
      </c>
      <c r="E1234" s="3">
        <v>1248</v>
      </c>
      <c r="F1234" s="3">
        <v>4</v>
      </c>
      <c r="G1234" s="3" t="s">
        <v>36</v>
      </c>
      <c r="H1234" s="3" t="s">
        <v>27</v>
      </c>
      <c r="I1234" s="3">
        <v>5</v>
      </c>
      <c r="J1234" s="3" t="s">
        <v>12</v>
      </c>
      <c r="K1234" s="18">
        <v>75</v>
      </c>
      <c r="L1234" s="16">
        <v>190</v>
      </c>
      <c r="M1234" s="6" t="str" cm="1">
        <f t="array" ref="M1234">_xlfn.IFS(L1234&lt;100,"Economy",L1234&lt;200,"Standard",L1234&lt;350,"Powerful",L1234&lt;500,"High Performance",L1234&lt;800,"Sports Performance",L1234&gt;=800,"Super Performance")</f>
        <v>Standard</v>
      </c>
    </row>
    <row r="1235" spans="1:13" x14ac:dyDescent="0.25">
      <c r="A1235" s="5" t="s">
        <v>22</v>
      </c>
      <c r="B1235" s="3" t="s">
        <v>1137</v>
      </c>
      <c r="C1235" s="3" t="s">
        <v>1358</v>
      </c>
      <c r="D1235" s="4">
        <v>660000</v>
      </c>
      <c r="E1235" s="3">
        <v>1199</v>
      </c>
      <c r="F1235" s="3">
        <v>3</v>
      </c>
      <c r="G1235" s="3" t="s">
        <v>10</v>
      </c>
      <c r="H1235" s="3" t="s">
        <v>27</v>
      </c>
      <c r="I1235" s="3">
        <v>5</v>
      </c>
      <c r="J1235" s="3" t="s">
        <v>17</v>
      </c>
      <c r="K1235" s="18">
        <v>86</v>
      </c>
      <c r="L1235" s="16">
        <v>113</v>
      </c>
      <c r="M1235" s="6" t="str" cm="1">
        <f t="array" ref="M1235">_xlfn.IFS(L1235&lt;100,"Economy",L1235&lt;200,"Standard",L1235&lt;350,"Powerful",L1235&lt;500,"High Performance",L1235&lt;800,"Sports Performance",L1235&gt;=800,"Super Performance")</f>
        <v>Standard</v>
      </c>
    </row>
    <row r="1236" spans="1:13" x14ac:dyDescent="0.25">
      <c r="A1236" s="5" t="s">
        <v>22</v>
      </c>
      <c r="B1236" s="3" t="s">
        <v>843</v>
      </c>
      <c r="C1236" s="3" t="s">
        <v>336</v>
      </c>
      <c r="D1236" s="4">
        <v>702946</v>
      </c>
      <c r="E1236" s="3">
        <v>1248</v>
      </c>
      <c r="F1236" s="3">
        <v>4</v>
      </c>
      <c r="G1236" s="3" t="s">
        <v>36</v>
      </c>
      <c r="H1236" s="3" t="s">
        <v>27</v>
      </c>
      <c r="I1236" s="3">
        <v>5</v>
      </c>
      <c r="J1236" s="3" t="s">
        <v>12</v>
      </c>
      <c r="K1236" s="18">
        <v>75</v>
      </c>
      <c r="L1236" s="16">
        <v>190</v>
      </c>
      <c r="M1236" s="6" t="str" cm="1">
        <f t="array" ref="M1236">_xlfn.IFS(L1236&lt;100,"Economy",L1236&lt;200,"Standard",L1236&lt;350,"Powerful",L1236&lt;500,"High Performance",L1236&lt;800,"Sports Performance",L1236&gt;=800,"Super Performance")</f>
        <v>Standard</v>
      </c>
    </row>
    <row r="1237" spans="1:13" x14ac:dyDescent="0.25">
      <c r="A1237" s="5" t="s">
        <v>22</v>
      </c>
      <c r="B1237" s="3" t="s">
        <v>843</v>
      </c>
      <c r="C1237" s="3" t="s">
        <v>457</v>
      </c>
      <c r="D1237" s="4">
        <v>793898</v>
      </c>
      <c r="E1237" s="3">
        <v>1248</v>
      </c>
      <c r="F1237" s="3">
        <v>4</v>
      </c>
      <c r="G1237" s="3" t="s">
        <v>36</v>
      </c>
      <c r="H1237" s="3" t="s">
        <v>27</v>
      </c>
      <c r="I1237" s="3">
        <v>5</v>
      </c>
      <c r="J1237" s="3" t="s">
        <v>12</v>
      </c>
      <c r="K1237" s="18">
        <v>75</v>
      </c>
      <c r="L1237" s="16">
        <v>190</v>
      </c>
      <c r="M1237" s="6" t="str" cm="1">
        <f t="array" ref="M1237">_xlfn.IFS(L1237&lt;100,"Economy",L1237&lt;200,"Standard",L1237&lt;350,"Powerful",L1237&lt;500,"High Performance",L1237&lt;800,"Sports Performance",L1237&gt;=800,"Super Performance")</f>
        <v>Standard</v>
      </c>
    </row>
    <row r="1238" spans="1:13" x14ac:dyDescent="0.25">
      <c r="A1238" s="5" t="s">
        <v>22</v>
      </c>
      <c r="B1238" s="3" t="s">
        <v>843</v>
      </c>
      <c r="C1238" s="3" t="s">
        <v>455</v>
      </c>
      <c r="D1238" s="4">
        <v>855362</v>
      </c>
      <c r="E1238" s="3">
        <v>1248</v>
      </c>
      <c r="F1238" s="3">
        <v>4</v>
      </c>
      <c r="G1238" s="3" t="s">
        <v>36</v>
      </c>
      <c r="H1238" s="3" t="s">
        <v>27</v>
      </c>
      <c r="I1238" s="3">
        <v>5</v>
      </c>
      <c r="J1238" s="3" t="s">
        <v>12</v>
      </c>
      <c r="K1238" s="18">
        <v>90</v>
      </c>
      <c r="L1238" s="16">
        <v>200</v>
      </c>
      <c r="M1238" s="6" t="str" cm="1">
        <f t="array" ref="M1238">_xlfn.IFS(L1238&lt;100,"Economy",L1238&lt;200,"Standard",L1238&lt;350,"Powerful",L1238&lt;500,"High Performance",L1238&lt;800,"Sports Performance",L1238&gt;=800,"Super Performance")</f>
        <v>Powerful</v>
      </c>
    </row>
    <row r="1239" spans="1:13" x14ac:dyDescent="0.25">
      <c r="A1239" s="5" t="s">
        <v>22</v>
      </c>
      <c r="B1239" s="3" t="s">
        <v>843</v>
      </c>
      <c r="C1239" s="3" t="s">
        <v>1359</v>
      </c>
      <c r="D1239" s="4">
        <v>989000</v>
      </c>
      <c r="E1239" s="3">
        <v>1248</v>
      </c>
      <c r="F1239" s="3">
        <v>4</v>
      </c>
      <c r="G1239" s="3" t="s">
        <v>36</v>
      </c>
      <c r="H1239" s="3" t="s">
        <v>27</v>
      </c>
      <c r="I1239" s="3">
        <v>5</v>
      </c>
      <c r="J1239" s="3" t="s">
        <v>30</v>
      </c>
      <c r="K1239" s="18">
        <v>90</v>
      </c>
      <c r="L1239" s="16">
        <v>200</v>
      </c>
      <c r="M1239" s="6" t="str" cm="1">
        <f t="array" ref="M1239">_xlfn.IFS(L1239&lt;100,"Economy",L1239&lt;200,"Standard",L1239&lt;350,"Powerful",L1239&lt;500,"High Performance",L1239&lt;800,"Sports Performance",L1239&gt;=800,"Super Performance")</f>
        <v>Powerful</v>
      </c>
    </row>
    <row r="1240" spans="1:13" x14ac:dyDescent="0.25">
      <c r="A1240" s="5" t="s">
        <v>22</v>
      </c>
      <c r="B1240" s="3" t="s">
        <v>843</v>
      </c>
      <c r="C1240" s="3" t="s">
        <v>1360</v>
      </c>
      <c r="D1240" s="4">
        <v>788797</v>
      </c>
      <c r="E1240" s="3">
        <v>1248</v>
      </c>
      <c r="F1240" s="3">
        <v>4</v>
      </c>
      <c r="G1240" s="3" t="s">
        <v>36</v>
      </c>
      <c r="H1240" s="3" t="s">
        <v>27</v>
      </c>
      <c r="I1240" s="3">
        <v>5</v>
      </c>
      <c r="J1240" s="3" t="s">
        <v>12</v>
      </c>
      <c r="K1240" s="18">
        <v>75</v>
      </c>
      <c r="L1240" s="16">
        <v>190</v>
      </c>
      <c r="M1240" s="6" t="str" cm="1">
        <f t="array" ref="M1240">_xlfn.IFS(L1240&lt;100,"Economy",L1240&lt;200,"Standard",L1240&lt;350,"Powerful",L1240&lt;500,"High Performance",L1240&lt;800,"Sports Performance",L1240&gt;=800,"Super Performance")</f>
        <v>Standard</v>
      </c>
    </row>
    <row r="1241" spans="1:13" x14ac:dyDescent="0.25">
      <c r="A1241" s="5" t="s">
        <v>7</v>
      </c>
      <c r="B1241" s="3" t="s">
        <v>737</v>
      </c>
      <c r="C1241" s="3" t="s">
        <v>1361</v>
      </c>
      <c r="D1241" s="4">
        <v>1407871</v>
      </c>
      <c r="E1241" s="3">
        <v>1582</v>
      </c>
      <c r="F1241" s="3">
        <v>4</v>
      </c>
      <c r="G1241" s="3" t="s">
        <v>36</v>
      </c>
      <c r="H1241" s="3" t="s">
        <v>27</v>
      </c>
      <c r="I1241" s="3">
        <v>5</v>
      </c>
      <c r="J1241" s="3" t="s">
        <v>30</v>
      </c>
      <c r="K1241" s="18">
        <v>128</v>
      </c>
      <c r="L1241" s="16">
        <v>260</v>
      </c>
      <c r="M1241" s="6" t="str" cm="1">
        <f t="array" ref="M1241">_xlfn.IFS(L1241&lt;100,"Economy",L1241&lt;200,"Standard",L1241&lt;350,"Powerful",L1241&lt;500,"High Performance",L1241&lt;800,"Sports Performance",L1241&gt;=800,"Super Performance")</f>
        <v>Powerful</v>
      </c>
    </row>
    <row r="1242" spans="1:13" x14ac:dyDescent="0.25">
      <c r="A1242" s="5" t="s">
        <v>7</v>
      </c>
      <c r="B1242" s="3" t="s">
        <v>737</v>
      </c>
      <c r="C1242" s="3" t="s">
        <v>529</v>
      </c>
      <c r="D1242" s="4">
        <v>1301881</v>
      </c>
      <c r="E1242" s="3">
        <v>1582</v>
      </c>
      <c r="F1242" s="3">
        <v>4</v>
      </c>
      <c r="G1242" s="3" t="s">
        <v>36</v>
      </c>
      <c r="H1242" s="3" t="s">
        <v>27</v>
      </c>
      <c r="I1242" s="3">
        <v>5</v>
      </c>
      <c r="J1242" s="3" t="s">
        <v>12</v>
      </c>
      <c r="K1242" s="18">
        <v>128</v>
      </c>
      <c r="L1242" s="16">
        <v>260</v>
      </c>
      <c r="M1242" s="6" t="str" cm="1">
        <f t="array" ref="M1242">_xlfn.IFS(L1242&lt;100,"Economy",L1242&lt;200,"Standard",L1242&lt;350,"Powerful",L1242&lt;500,"High Performance",L1242&lt;800,"Sports Performance",L1242&gt;=800,"Super Performance")</f>
        <v>Powerful</v>
      </c>
    </row>
    <row r="1243" spans="1:13" x14ac:dyDescent="0.25">
      <c r="A1243" s="5" t="s">
        <v>7</v>
      </c>
      <c r="B1243" s="3" t="s">
        <v>737</v>
      </c>
      <c r="C1243" s="3" t="s">
        <v>528</v>
      </c>
      <c r="D1243" s="4">
        <v>1172544</v>
      </c>
      <c r="E1243" s="3">
        <v>1582</v>
      </c>
      <c r="F1243" s="3">
        <v>4</v>
      </c>
      <c r="G1243" s="3" t="s">
        <v>36</v>
      </c>
      <c r="H1243" s="3" t="s">
        <v>27</v>
      </c>
      <c r="I1243" s="3">
        <v>5</v>
      </c>
      <c r="J1243" s="3" t="s">
        <v>12</v>
      </c>
      <c r="K1243" s="18">
        <v>128</v>
      </c>
      <c r="L1243" s="16">
        <v>260</v>
      </c>
      <c r="M1243" s="6" t="str" cm="1">
        <f t="array" ref="M1243">_xlfn.IFS(L1243&lt;100,"Economy",L1243&lt;200,"Standard",L1243&lt;350,"Powerful",L1243&lt;500,"High Performance",L1243&lt;800,"Sports Performance",L1243&gt;=800,"Super Performance")</f>
        <v>Powerful</v>
      </c>
    </row>
    <row r="1244" spans="1:13" x14ac:dyDescent="0.25">
      <c r="A1244" s="5" t="s">
        <v>7</v>
      </c>
      <c r="B1244" s="3" t="s">
        <v>737</v>
      </c>
      <c r="C1244" s="3" t="s">
        <v>1362</v>
      </c>
      <c r="D1244" s="4">
        <v>1328545</v>
      </c>
      <c r="E1244" s="3">
        <v>1582</v>
      </c>
      <c r="F1244" s="3">
        <v>4</v>
      </c>
      <c r="G1244" s="3" t="s">
        <v>36</v>
      </c>
      <c r="H1244" s="3" t="s">
        <v>27</v>
      </c>
      <c r="I1244" s="3">
        <v>5</v>
      </c>
      <c r="J1244" s="3" t="s">
        <v>30</v>
      </c>
      <c r="K1244" s="18">
        <v>128</v>
      </c>
      <c r="L1244" s="16">
        <v>260</v>
      </c>
      <c r="M1244" s="6" t="str" cm="1">
        <f t="array" ref="M1244">_xlfn.IFS(L1244&lt;100,"Economy",L1244&lt;200,"Standard",L1244&lt;350,"Powerful",L1244&lt;500,"High Performance",L1244&lt;800,"Sports Performance",L1244&gt;=800,"Super Performance")</f>
        <v>Powerful</v>
      </c>
    </row>
    <row r="1245" spans="1:13" x14ac:dyDescent="0.25">
      <c r="A1245" s="5" t="s">
        <v>78</v>
      </c>
      <c r="B1245" s="3" t="s">
        <v>493</v>
      </c>
      <c r="C1245" s="3" t="s">
        <v>1363</v>
      </c>
      <c r="D1245" s="4">
        <v>3930000</v>
      </c>
      <c r="E1245" s="3">
        <v>1995</v>
      </c>
      <c r="F1245" s="3">
        <v>4</v>
      </c>
      <c r="G1245" s="3" t="s">
        <v>36</v>
      </c>
      <c r="H1245" s="3" t="s">
        <v>1390</v>
      </c>
      <c r="I1245" s="3">
        <v>5</v>
      </c>
      <c r="J1245" s="3" t="s">
        <v>30</v>
      </c>
      <c r="K1245" s="18">
        <v>190</v>
      </c>
      <c r="L1245" s="16">
        <v>400</v>
      </c>
      <c r="M1245" s="6" t="str" cm="1">
        <f t="array" ref="M1245">_xlfn.IFS(L1245&lt;100,"Economy",L1245&lt;200,"Standard",L1245&lt;350,"Powerful",L1245&lt;500,"High Performance",L1245&lt;800,"Sports Performance",L1245&gt;=800,"Super Performance")</f>
        <v>High Performance</v>
      </c>
    </row>
    <row r="1246" spans="1:13" x14ac:dyDescent="0.25">
      <c r="A1246" s="5" t="s">
        <v>160</v>
      </c>
      <c r="B1246" s="3" t="s">
        <v>484</v>
      </c>
      <c r="C1246" s="3" t="s">
        <v>1364</v>
      </c>
      <c r="D1246" s="4">
        <v>1449500</v>
      </c>
      <c r="E1246" s="3">
        <v>1498</v>
      </c>
      <c r="F1246" s="3">
        <v>4</v>
      </c>
      <c r="G1246" s="3" t="s">
        <v>36</v>
      </c>
      <c r="H1246" s="3" t="s">
        <v>11</v>
      </c>
      <c r="I1246" s="3">
        <v>5</v>
      </c>
      <c r="J1246" s="3" t="s">
        <v>12</v>
      </c>
      <c r="K1246" s="18">
        <v>110</v>
      </c>
      <c r="L1246" s="16">
        <v>250</v>
      </c>
      <c r="M1246" s="6" t="str" cm="1">
        <f t="array" ref="M1246">_xlfn.IFS(L1246&lt;100,"Economy",L1246&lt;200,"Standard",L1246&lt;350,"Powerful",L1246&lt;500,"High Performance",L1246&lt;800,"Sports Performance",L1246&gt;=800,"Super Performance")</f>
        <v>Powerful</v>
      </c>
    </row>
    <row r="1247" spans="1:13" x14ac:dyDescent="0.25">
      <c r="A1247" s="5" t="s">
        <v>160</v>
      </c>
      <c r="B1247" s="3" t="s">
        <v>484</v>
      </c>
      <c r="C1247" s="3" t="s">
        <v>1365</v>
      </c>
      <c r="D1247" s="4">
        <v>1317500</v>
      </c>
      <c r="E1247" s="3">
        <v>1197</v>
      </c>
      <c r="F1247" s="3">
        <v>4</v>
      </c>
      <c r="G1247" s="3" t="s">
        <v>10</v>
      </c>
      <c r="H1247" s="3" t="s">
        <v>11</v>
      </c>
      <c r="I1247" s="3">
        <v>5</v>
      </c>
      <c r="J1247" s="3" t="s">
        <v>30</v>
      </c>
      <c r="K1247" s="18">
        <v>105</v>
      </c>
      <c r="L1247" s="16">
        <v>175</v>
      </c>
      <c r="M1247" s="6" t="str" cm="1">
        <f t="array" ref="M1247">_xlfn.IFS(L1247&lt;100,"Economy",L1247&lt;200,"Standard",L1247&lt;350,"Powerful",L1247&lt;500,"High Performance",L1247&lt;800,"Sports Performance",L1247&gt;=800,"Super Performance")</f>
        <v>Standard</v>
      </c>
    </row>
    <row r="1248" spans="1:13" x14ac:dyDescent="0.25">
      <c r="A1248" s="5" t="s">
        <v>78</v>
      </c>
      <c r="B1248" s="3" t="s">
        <v>493</v>
      </c>
      <c r="C1248" s="3" t="s">
        <v>1366</v>
      </c>
      <c r="D1248" s="4">
        <v>3520000</v>
      </c>
      <c r="E1248" s="3">
        <v>1995</v>
      </c>
      <c r="F1248" s="3">
        <v>4</v>
      </c>
      <c r="G1248" s="3" t="s">
        <v>36</v>
      </c>
      <c r="H1248" s="3" t="s">
        <v>1390</v>
      </c>
      <c r="I1248" s="3">
        <v>5</v>
      </c>
      <c r="J1248" s="3" t="s">
        <v>30</v>
      </c>
      <c r="K1248" s="18">
        <v>190</v>
      </c>
      <c r="L1248" s="16">
        <v>400</v>
      </c>
      <c r="M1248" s="6" t="str" cm="1">
        <f t="array" ref="M1248">_xlfn.IFS(L1248&lt;100,"Economy",L1248&lt;200,"Standard",L1248&lt;350,"Powerful",L1248&lt;500,"High Performance",L1248&lt;800,"Sports Performance",L1248&gt;=800,"Super Performance")</f>
        <v>High Performance</v>
      </c>
    </row>
    <row r="1249" spans="1:13" x14ac:dyDescent="0.25">
      <c r="A1249" s="5" t="s">
        <v>93</v>
      </c>
      <c r="B1249" s="3" t="s">
        <v>995</v>
      </c>
      <c r="C1249" s="3" t="s">
        <v>1367</v>
      </c>
      <c r="D1249" s="4">
        <v>282778</v>
      </c>
      <c r="E1249" s="3">
        <v>796</v>
      </c>
      <c r="F1249" s="3">
        <v>3</v>
      </c>
      <c r="G1249" s="3" t="s">
        <v>10</v>
      </c>
      <c r="H1249" s="3" t="s">
        <v>226</v>
      </c>
      <c r="I1249" s="3">
        <v>5</v>
      </c>
      <c r="J1249" s="3" t="s">
        <v>12</v>
      </c>
      <c r="K1249" s="18">
        <v>34.700000000000003</v>
      </c>
      <c r="L1249" s="16">
        <v>59</v>
      </c>
      <c r="M1249" s="6" t="str" cm="1">
        <f t="array" ref="M1249">_xlfn.IFS(L1249&lt;100,"Economy",L1249&lt;200,"Standard",L1249&lt;350,"Powerful",L1249&lt;500,"High Performance",L1249&lt;800,"Sports Performance",L1249&gt;=800,"Super Performance")</f>
        <v>Economy</v>
      </c>
    </row>
    <row r="1250" spans="1:13" x14ac:dyDescent="0.25">
      <c r="A1250" s="5" t="s">
        <v>7</v>
      </c>
      <c r="B1250" s="3" t="s">
        <v>763</v>
      </c>
      <c r="C1250" s="3" t="s">
        <v>1368</v>
      </c>
      <c r="D1250" s="4">
        <v>586428</v>
      </c>
      <c r="E1250" s="3">
        <v>1197</v>
      </c>
      <c r="F1250" s="3">
        <v>4</v>
      </c>
      <c r="G1250" s="3" t="s">
        <v>10</v>
      </c>
      <c r="H1250" s="3" t="s">
        <v>11</v>
      </c>
      <c r="I1250" s="3">
        <v>5</v>
      </c>
      <c r="J1250" s="3" t="s">
        <v>12</v>
      </c>
      <c r="K1250" s="18">
        <v>83</v>
      </c>
      <c r="L1250" s="16">
        <v>114</v>
      </c>
      <c r="M1250" s="6" t="str" cm="1">
        <f t="array" ref="M1250">_xlfn.IFS(L1250&lt;100,"Economy",L1250&lt;200,"Standard",L1250&lt;350,"Powerful",L1250&lt;500,"High Performance",L1250&lt;800,"Sports Performance",L1250&gt;=800,"Super Performance")</f>
        <v>Standard</v>
      </c>
    </row>
    <row r="1251" spans="1:13" x14ac:dyDescent="0.25">
      <c r="A1251" s="5" t="s">
        <v>78</v>
      </c>
      <c r="B1251" s="3" t="s">
        <v>493</v>
      </c>
      <c r="C1251" s="3" t="s">
        <v>1369</v>
      </c>
      <c r="D1251" s="4">
        <v>4570000</v>
      </c>
      <c r="E1251" s="3">
        <v>1995</v>
      </c>
      <c r="F1251" s="3">
        <v>4</v>
      </c>
      <c r="G1251" s="3" t="s">
        <v>36</v>
      </c>
      <c r="H1251" s="3" t="s">
        <v>1390</v>
      </c>
      <c r="I1251" s="3">
        <v>5</v>
      </c>
      <c r="J1251" s="3" t="s">
        <v>30</v>
      </c>
      <c r="K1251" s="18">
        <v>190</v>
      </c>
      <c r="L1251" s="16">
        <v>400</v>
      </c>
      <c r="M1251" s="6" t="str" cm="1">
        <f t="array" ref="M1251">_xlfn.IFS(L1251&lt;100,"Economy",L1251&lt;200,"Standard",L1251&lt;350,"Powerful",L1251&lt;500,"High Performance",L1251&lt;800,"Sports Performance",L1251&gt;=800,"Super Performance")</f>
        <v>High Performance</v>
      </c>
    </row>
    <row r="1252" spans="1:13" x14ac:dyDescent="0.25">
      <c r="A1252" s="5" t="s">
        <v>7</v>
      </c>
      <c r="B1252" s="3" t="s">
        <v>763</v>
      </c>
      <c r="C1252" s="3" t="s">
        <v>1370</v>
      </c>
      <c r="D1252" s="4">
        <v>620637</v>
      </c>
      <c r="E1252" s="3">
        <v>1197</v>
      </c>
      <c r="F1252" s="3">
        <v>4</v>
      </c>
      <c r="G1252" s="3" t="s">
        <v>10</v>
      </c>
      <c r="H1252" s="3" t="s">
        <v>11</v>
      </c>
      <c r="I1252" s="3">
        <v>5</v>
      </c>
      <c r="J1252" s="3" t="s">
        <v>12</v>
      </c>
      <c r="K1252" s="18">
        <v>83</v>
      </c>
      <c r="L1252" s="16">
        <v>114</v>
      </c>
      <c r="M1252" s="6" t="str" cm="1">
        <f t="array" ref="M1252">_xlfn.IFS(L1252&lt;100,"Economy",L1252&lt;200,"Standard",L1252&lt;350,"Powerful",L1252&lt;500,"High Performance",L1252&lt;800,"Sports Performance",L1252&gt;=800,"Super Performance")</f>
        <v>Standard</v>
      </c>
    </row>
    <row r="1253" spans="1:13" x14ac:dyDescent="0.25">
      <c r="A1253" s="5" t="s">
        <v>7</v>
      </c>
      <c r="B1253" s="3" t="s">
        <v>763</v>
      </c>
      <c r="C1253" s="3" t="s">
        <v>1371</v>
      </c>
      <c r="D1253" s="4">
        <v>652328</v>
      </c>
      <c r="E1253" s="3">
        <v>1197</v>
      </c>
      <c r="F1253" s="3">
        <v>4</v>
      </c>
      <c r="G1253" s="3" t="s">
        <v>10</v>
      </c>
      <c r="H1253" s="3" t="s">
        <v>11</v>
      </c>
      <c r="I1253" s="3">
        <v>5</v>
      </c>
      <c r="J1253" s="3" t="s">
        <v>30</v>
      </c>
      <c r="K1253" s="18">
        <v>83</v>
      </c>
      <c r="L1253" s="16">
        <v>114</v>
      </c>
      <c r="M1253" s="6" t="str" cm="1">
        <f t="array" ref="M1253">_xlfn.IFS(L1253&lt;100,"Economy",L1253&lt;200,"Standard",L1253&lt;350,"Powerful",L1253&lt;500,"High Performance",L1253&lt;800,"Sports Performance",L1253&gt;=800,"Super Performance")</f>
        <v>Standard</v>
      </c>
    </row>
    <row r="1254" spans="1:13" x14ac:dyDescent="0.25">
      <c r="A1254" s="5" t="s">
        <v>7</v>
      </c>
      <c r="B1254" s="3" t="s">
        <v>763</v>
      </c>
      <c r="C1254" s="3" t="s">
        <v>1372</v>
      </c>
      <c r="D1254" s="4">
        <v>705538</v>
      </c>
      <c r="E1254" s="3">
        <v>1197</v>
      </c>
      <c r="F1254" s="3">
        <v>4</v>
      </c>
      <c r="G1254" s="3" t="s">
        <v>10</v>
      </c>
      <c r="H1254" s="3" t="s">
        <v>11</v>
      </c>
      <c r="I1254" s="3">
        <v>5</v>
      </c>
      <c r="J1254" s="3" t="s">
        <v>30</v>
      </c>
      <c r="K1254" s="18">
        <v>83</v>
      </c>
      <c r="L1254" s="16">
        <v>114</v>
      </c>
      <c r="M1254" s="6" t="str" cm="1">
        <f t="array" ref="M1254">_xlfn.IFS(L1254&lt;100,"Economy",L1254&lt;200,"Standard",L1254&lt;350,"Powerful",L1254&lt;500,"High Performance",L1254&lt;800,"Sports Performance",L1254&gt;=800,"Super Performance")</f>
        <v>Standard</v>
      </c>
    </row>
    <row r="1255" spans="1:13" x14ac:dyDescent="0.25">
      <c r="A1255" s="5" t="s">
        <v>131</v>
      </c>
      <c r="B1255" s="3" t="s">
        <v>1373</v>
      </c>
      <c r="C1255" s="3" t="s">
        <v>1374</v>
      </c>
      <c r="D1255" s="4">
        <v>991000</v>
      </c>
      <c r="E1255" s="3">
        <v>1497</v>
      </c>
      <c r="F1255" s="3">
        <v>4</v>
      </c>
      <c r="G1255" s="3" t="s">
        <v>10</v>
      </c>
      <c r="H1255" s="3" t="s">
        <v>27</v>
      </c>
      <c r="I1255" s="3">
        <v>5</v>
      </c>
      <c r="J1255" s="3" t="s">
        <v>12</v>
      </c>
      <c r="K1255" s="18">
        <v>119</v>
      </c>
      <c r="L1255" s="16">
        <v>145</v>
      </c>
      <c r="M1255" s="6" t="str" cm="1">
        <f t="array" ref="M1255">_xlfn.IFS(L1255&lt;100,"Economy",L1255&lt;200,"Standard",L1255&lt;350,"Powerful",L1255&lt;500,"High Performance",L1255&lt;800,"Sports Performance",L1255&gt;=800,"Super Performance")</f>
        <v>Standard</v>
      </c>
    </row>
    <row r="1256" spans="1:13" x14ac:dyDescent="0.25">
      <c r="A1256" s="5" t="s">
        <v>131</v>
      </c>
      <c r="B1256" s="3" t="s">
        <v>1373</v>
      </c>
      <c r="C1256" s="3" t="s">
        <v>855</v>
      </c>
      <c r="D1256" s="4">
        <v>1065900</v>
      </c>
      <c r="E1256" s="3">
        <v>1497</v>
      </c>
      <c r="F1256" s="3">
        <v>4</v>
      </c>
      <c r="G1256" s="3" t="s">
        <v>10</v>
      </c>
      <c r="H1256" s="3" t="s">
        <v>27</v>
      </c>
      <c r="I1256" s="3">
        <v>5</v>
      </c>
      <c r="J1256" s="3" t="s">
        <v>12</v>
      </c>
      <c r="K1256" s="18">
        <v>119</v>
      </c>
      <c r="L1256" s="16">
        <v>145</v>
      </c>
      <c r="M1256" s="6" t="str" cm="1">
        <f t="array" ref="M1256">_xlfn.IFS(L1256&lt;100,"Economy",L1256&lt;200,"Standard",L1256&lt;350,"Powerful",L1256&lt;500,"High Performance",L1256&lt;800,"Sports Performance",L1256&gt;=800,"Super Performance")</f>
        <v>Standard</v>
      </c>
    </row>
    <row r="1257" spans="1:13" x14ac:dyDescent="0.25">
      <c r="A1257" s="5" t="s">
        <v>7</v>
      </c>
      <c r="B1257" s="3" t="s">
        <v>763</v>
      </c>
      <c r="C1257" s="3" t="s">
        <v>1375</v>
      </c>
      <c r="D1257" s="4">
        <v>640537</v>
      </c>
      <c r="E1257" s="3">
        <v>1197</v>
      </c>
      <c r="F1257" s="3">
        <v>4</v>
      </c>
      <c r="G1257" s="3" t="s">
        <v>10</v>
      </c>
      <c r="H1257" s="3" t="s">
        <v>11</v>
      </c>
      <c r="I1257" s="3">
        <v>5</v>
      </c>
      <c r="J1257" s="3" t="s">
        <v>12</v>
      </c>
      <c r="K1257" s="18">
        <v>83</v>
      </c>
      <c r="L1257" s="16">
        <v>114</v>
      </c>
      <c r="M1257" s="6" t="str" cm="1">
        <f t="array" ref="M1257">_xlfn.IFS(L1257&lt;100,"Economy",L1257&lt;200,"Standard",L1257&lt;350,"Powerful",L1257&lt;500,"High Performance",L1257&lt;800,"Sports Performance",L1257&gt;=800,"Super Performance")</f>
        <v>Standard</v>
      </c>
    </row>
    <row r="1258" spans="1:13" x14ac:dyDescent="0.25">
      <c r="A1258" s="5" t="s">
        <v>55</v>
      </c>
      <c r="B1258" s="3" t="s">
        <v>1376</v>
      </c>
      <c r="C1258" s="3" t="s">
        <v>1377</v>
      </c>
      <c r="D1258" s="4">
        <v>4509000</v>
      </c>
      <c r="E1258" s="3">
        <v>1798</v>
      </c>
      <c r="F1258" s="3">
        <v>4</v>
      </c>
      <c r="G1258" s="3" t="s">
        <v>194</v>
      </c>
      <c r="H1258" s="3" t="s">
        <v>27</v>
      </c>
      <c r="I1258" s="3">
        <v>5</v>
      </c>
      <c r="J1258" s="3" t="s">
        <v>30</v>
      </c>
      <c r="K1258" s="18">
        <v>98</v>
      </c>
      <c r="L1258" s="16">
        <v>142</v>
      </c>
      <c r="M1258" s="6" t="str" cm="1">
        <f t="array" ref="M1258">_xlfn.IFS(L1258&lt;100,"Economy",L1258&lt;200,"Standard",L1258&lt;350,"Powerful",L1258&lt;500,"High Performance",L1258&lt;800,"Sports Performance",L1258&gt;=800,"Super Performance")</f>
        <v>Standard</v>
      </c>
    </row>
    <row r="1259" spans="1:13" x14ac:dyDescent="0.25">
      <c r="A1259" s="5" t="s">
        <v>131</v>
      </c>
      <c r="B1259" s="3" t="s">
        <v>1373</v>
      </c>
      <c r="C1259" s="3" t="s">
        <v>853</v>
      </c>
      <c r="D1259" s="4">
        <v>1191000</v>
      </c>
      <c r="E1259" s="3">
        <v>1498</v>
      </c>
      <c r="F1259" s="3">
        <v>4</v>
      </c>
      <c r="G1259" s="3" t="s">
        <v>36</v>
      </c>
      <c r="H1259" s="3" t="s">
        <v>27</v>
      </c>
      <c r="I1259" s="3">
        <v>5</v>
      </c>
      <c r="J1259" s="3" t="s">
        <v>12</v>
      </c>
      <c r="K1259" s="18">
        <v>100</v>
      </c>
      <c r="L1259" s="16">
        <v>200</v>
      </c>
      <c r="M1259" s="6" t="str" cm="1">
        <f t="array" ref="M1259">_xlfn.IFS(L1259&lt;100,"Economy",L1259&lt;200,"Standard",L1259&lt;350,"Powerful",L1259&lt;500,"High Performance",L1259&lt;800,"Sports Performance",L1259&gt;=800,"Super Performance")</f>
        <v>Powerful</v>
      </c>
    </row>
    <row r="1260" spans="1:13" x14ac:dyDescent="0.25">
      <c r="A1260" s="5" t="s">
        <v>131</v>
      </c>
      <c r="B1260" s="3" t="s">
        <v>1373</v>
      </c>
      <c r="C1260" s="3" t="s">
        <v>854</v>
      </c>
      <c r="D1260" s="4">
        <v>1182000</v>
      </c>
      <c r="E1260" s="3">
        <v>1497</v>
      </c>
      <c r="F1260" s="3">
        <v>4</v>
      </c>
      <c r="G1260" s="3" t="s">
        <v>10</v>
      </c>
      <c r="H1260" s="3" t="s">
        <v>27</v>
      </c>
      <c r="I1260" s="3">
        <v>5</v>
      </c>
      <c r="J1260" s="3" t="s">
        <v>12</v>
      </c>
      <c r="K1260" s="18">
        <v>119</v>
      </c>
      <c r="L1260" s="16">
        <v>145</v>
      </c>
      <c r="M1260" s="6" t="str" cm="1">
        <f t="array" ref="M1260">_xlfn.IFS(L1260&lt;100,"Economy",L1260&lt;200,"Standard",L1260&lt;350,"Powerful",L1260&lt;500,"High Performance",L1260&lt;800,"Sports Performance",L1260&gt;=800,"Super Performance")</f>
        <v>Standard</v>
      </c>
    </row>
    <row r="1261" spans="1:13" x14ac:dyDescent="0.25">
      <c r="A1261" s="5" t="s">
        <v>131</v>
      </c>
      <c r="B1261" s="3" t="s">
        <v>1373</v>
      </c>
      <c r="C1261" s="3" t="s">
        <v>858</v>
      </c>
      <c r="D1261" s="4">
        <v>1312000</v>
      </c>
      <c r="E1261" s="3">
        <v>1497</v>
      </c>
      <c r="F1261" s="3">
        <v>4</v>
      </c>
      <c r="G1261" s="3" t="s">
        <v>10</v>
      </c>
      <c r="H1261" s="3" t="s">
        <v>27</v>
      </c>
      <c r="I1261" s="3">
        <v>5</v>
      </c>
      <c r="J1261" s="3" t="s">
        <v>30</v>
      </c>
      <c r="K1261" s="18">
        <v>119</v>
      </c>
      <c r="L1261" s="16">
        <v>145</v>
      </c>
      <c r="M1261" s="6" t="str" cm="1">
        <f t="array" ref="M1261">_xlfn.IFS(L1261&lt;100,"Economy",L1261&lt;200,"Standard",L1261&lt;350,"Powerful",L1261&lt;500,"High Performance",L1261&lt;800,"Sports Performance",L1261&gt;=800,"Super Performance")</f>
        <v>Standard</v>
      </c>
    </row>
    <row r="1262" spans="1:13" x14ac:dyDescent="0.25">
      <c r="A1262" s="5" t="s">
        <v>131</v>
      </c>
      <c r="B1262" s="3" t="s">
        <v>1373</v>
      </c>
      <c r="C1262" s="3" t="s">
        <v>1378</v>
      </c>
      <c r="D1262" s="4">
        <v>1111000</v>
      </c>
      <c r="E1262" s="3">
        <v>1498</v>
      </c>
      <c r="F1262" s="3">
        <v>4</v>
      </c>
      <c r="G1262" s="3" t="s">
        <v>36</v>
      </c>
      <c r="H1262" s="3" t="s">
        <v>27</v>
      </c>
      <c r="I1262" s="3">
        <v>5</v>
      </c>
      <c r="J1262" s="3" t="s">
        <v>12</v>
      </c>
      <c r="K1262" s="18">
        <v>100</v>
      </c>
      <c r="L1262" s="16">
        <v>200</v>
      </c>
      <c r="M1262" s="6" t="str" cm="1">
        <f t="array" ref="M1262">_xlfn.IFS(L1262&lt;100,"Economy",L1262&lt;200,"Standard",L1262&lt;350,"Powerful",L1262&lt;500,"High Performance",L1262&lt;800,"Sports Performance",L1262&gt;=800,"Super Performance")</f>
        <v>Powerful</v>
      </c>
    </row>
    <row r="1263" spans="1:13" x14ac:dyDescent="0.25">
      <c r="A1263" s="5" t="s">
        <v>131</v>
      </c>
      <c r="B1263" s="3" t="s">
        <v>1373</v>
      </c>
      <c r="C1263" s="3" t="s">
        <v>849</v>
      </c>
      <c r="D1263" s="4">
        <v>1201000</v>
      </c>
      <c r="E1263" s="3">
        <v>1497</v>
      </c>
      <c r="F1263" s="3">
        <v>4</v>
      </c>
      <c r="G1263" s="3" t="s">
        <v>10</v>
      </c>
      <c r="H1263" s="3" t="s">
        <v>27</v>
      </c>
      <c r="I1263" s="3">
        <v>5</v>
      </c>
      <c r="J1263" s="3" t="s">
        <v>30</v>
      </c>
      <c r="K1263" s="18">
        <v>119</v>
      </c>
      <c r="L1263" s="16">
        <v>145</v>
      </c>
      <c r="M1263" s="6" t="str" cm="1">
        <f t="array" ref="M1263">_xlfn.IFS(L1263&lt;100,"Economy",L1263&lt;200,"Standard",L1263&lt;350,"Powerful",L1263&lt;500,"High Performance",L1263&lt;800,"Sports Performance",L1263&gt;=800,"Super Performance")</f>
        <v>Standard</v>
      </c>
    </row>
    <row r="1264" spans="1:13" x14ac:dyDescent="0.25">
      <c r="A1264" s="5" t="s">
        <v>131</v>
      </c>
      <c r="B1264" s="3" t="s">
        <v>1373</v>
      </c>
      <c r="C1264" s="3" t="s">
        <v>852</v>
      </c>
      <c r="D1264" s="4">
        <v>1302000</v>
      </c>
      <c r="E1264" s="3">
        <v>1498</v>
      </c>
      <c r="F1264" s="3">
        <v>4</v>
      </c>
      <c r="G1264" s="3" t="s">
        <v>36</v>
      </c>
      <c r="H1264" s="3" t="s">
        <v>27</v>
      </c>
      <c r="I1264" s="3">
        <v>5</v>
      </c>
      <c r="J1264" s="3" t="s">
        <v>12</v>
      </c>
      <c r="K1264" s="18">
        <v>100</v>
      </c>
      <c r="L1264" s="16">
        <v>200</v>
      </c>
      <c r="M1264" s="6" t="str" cm="1">
        <f t="array" ref="M1264">_xlfn.IFS(L1264&lt;100,"Economy",L1264&lt;200,"Standard",L1264&lt;350,"Powerful",L1264&lt;500,"High Performance",L1264&lt;800,"Sports Performance",L1264&gt;=800,"Super Performance")</f>
        <v>Powerful</v>
      </c>
    </row>
    <row r="1265" spans="1:13" x14ac:dyDescent="0.25">
      <c r="A1265" s="5" t="s">
        <v>131</v>
      </c>
      <c r="B1265" s="3" t="s">
        <v>1373</v>
      </c>
      <c r="C1265" s="3" t="s">
        <v>1379</v>
      </c>
      <c r="D1265" s="4">
        <v>1421000</v>
      </c>
      <c r="E1265" s="3">
        <v>1498</v>
      </c>
      <c r="F1265" s="3">
        <v>4</v>
      </c>
      <c r="G1265" s="3" t="s">
        <v>36</v>
      </c>
      <c r="H1265" s="3" t="s">
        <v>27</v>
      </c>
      <c r="I1265" s="3">
        <v>5</v>
      </c>
      <c r="J1265" s="3" t="s">
        <v>12</v>
      </c>
      <c r="K1265" s="18">
        <v>100</v>
      </c>
      <c r="L1265" s="16">
        <v>200</v>
      </c>
      <c r="M1265" s="6" t="str" cm="1">
        <f t="array" ref="M1265">_xlfn.IFS(L1265&lt;100,"Economy",L1265&lt;200,"Standard",L1265&lt;350,"Powerful",L1265&lt;500,"High Performance",L1265&lt;800,"Sports Performance",L1265&gt;=800,"Super Performance")</f>
        <v>Powerful</v>
      </c>
    </row>
    <row r="1266" spans="1:13" x14ac:dyDescent="0.25">
      <c r="A1266" s="7" t="s">
        <v>131</v>
      </c>
      <c r="B1266" s="8" t="s">
        <v>1373</v>
      </c>
      <c r="C1266" s="8" t="s">
        <v>1380</v>
      </c>
      <c r="D1266" s="9">
        <v>1431000</v>
      </c>
      <c r="E1266" s="8">
        <v>1497</v>
      </c>
      <c r="F1266" s="8">
        <v>4</v>
      </c>
      <c r="G1266" s="8" t="s">
        <v>10</v>
      </c>
      <c r="H1266" s="8" t="s">
        <v>27</v>
      </c>
      <c r="I1266" s="8">
        <v>5</v>
      </c>
      <c r="J1266" s="8" t="s">
        <v>30</v>
      </c>
      <c r="K1266" s="19">
        <v>119</v>
      </c>
      <c r="L1266" s="17">
        <v>145</v>
      </c>
      <c r="M1266" s="10" t="str" cm="1">
        <f t="array" ref="M1266">_xlfn.IFS(L1266&lt;100,"Economy",L1266&lt;200,"Standard",L1266&lt;350,"Powerful",L1266&lt;500,"High Performance",L1266&lt;800,"Sports Performance",L1266&gt;=800,"Super Performance")</f>
        <v>Standard</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5867E-AC21-42D0-AB40-61645F61A478}">
  <dimension ref="A1:M1268"/>
  <sheetViews>
    <sheetView topLeftCell="A2" workbookViewId="0">
      <selection activeCell="G10" sqref="G10"/>
    </sheetView>
  </sheetViews>
  <sheetFormatPr defaultRowHeight="15" x14ac:dyDescent="0.25"/>
  <cols>
    <col min="1" max="2" width="14.5703125" customWidth="1"/>
    <col min="3" max="3" width="23.42578125" customWidth="1"/>
    <col min="4" max="4" width="21.5703125" style="2" customWidth="1"/>
    <col min="5" max="5" width="27" customWidth="1"/>
    <col min="6" max="8" width="14.5703125" customWidth="1"/>
    <col min="9" max="9" width="18.5703125" customWidth="1"/>
    <col min="10" max="10" width="15.140625" customWidth="1"/>
    <col min="11" max="11" width="20.85546875" style="1" customWidth="1"/>
    <col min="12" max="12" width="14.5703125" style="1" customWidth="1"/>
    <col min="13" max="13" width="23.28515625" customWidth="1"/>
  </cols>
  <sheetData>
    <row r="1" spans="1:13" x14ac:dyDescent="0.25">
      <c r="A1" s="11" t="s">
        <v>0</v>
      </c>
      <c r="B1" s="12" t="s">
        <v>1</v>
      </c>
      <c r="C1" s="12" t="s">
        <v>2</v>
      </c>
      <c r="D1" s="13" t="s">
        <v>1384</v>
      </c>
      <c r="E1" s="12" t="s">
        <v>1381</v>
      </c>
      <c r="F1" s="12" t="s">
        <v>3</v>
      </c>
      <c r="G1" s="12" t="s">
        <v>4</v>
      </c>
      <c r="H1" s="12" t="s">
        <v>5</v>
      </c>
      <c r="I1" s="12" t="s">
        <v>6</v>
      </c>
      <c r="J1" s="12" t="s">
        <v>1385</v>
      </c>
      <c r="K1" s="14" t="s">
        <v>1382</v>
      </c>
      <c r="L1" s="14" t="s">
        <v>1383</v>
      </c>
      <c r="M1" s="15" t="s">
        <v>1387</v>
      </c>
    </row>
    <row r="2" spans="1:13" x14ac:dyDescent="0.25">
      <c r="A2" s="5" t="s">
        <v>7</v>
      </c>
      <c r="B2" s="3" t="s">
        <v>863</v>
      </c>
      <c r="C2" s="3" t="s">
        <v>869</v>
      </c>
      <c r="D2" s="4">
        <v>1065000</v>
      </c>
      <c r="E2" s="3">
        <v>998</v>
      </c>
      <c r="F2" s="3">
        <v>4</v>
      </c>
      <c r="G2" s="3" t="s">
        <v>10</v>
      </c>
      <c r="H2" s="3" t="s">
        <v>66</v>
      </c>
      <c r="I2" s="3">
        <v>5</v>
      </c>
      <c r="J2" s="3" t="s">
        <v>12</v>
      </c>
      <c r="K2" s="18">
        <v>117</v>
      </c>
      <c r="L2" s="16">
        <v>172</v>
      </c>
      <c r="M2" s="6" t="str" cm="1">
        <f t="array" ref="M2">_xlfn.IFS(L2&lt;100,"Economy",L2&lt;200,"Standard",L2&lt;350,"Powerful",L2&lt;500,"High Performance",L2&lt;800,"Sports Performance",L2&gt;=800,"Super Performance")</f>
        <v>Standard</v>
      </c>
    </row>
    <row r="3" spans="1:13" x14ac:dyDescent="0.25">
      <c r="A3" s="5" t="s">
        <v>215</v>
      </c>
      <c r="B3" s="3" t="s">
        <v>216</v>
      </c>
      <c r="C3" s="3" t="s">
        <v>217</v>
      </c>
      <c r="D3" s="4">
        <v>192142937</v>
      </c>
      <c r="E3" s="3">
        <v>7993</v>
      </c>
      <c r="F3" s="3">
        <v>16</v>
      </c>
      <c r="G3" s="3" t="s">
        <v>10</v>
      </c>
      <c r="H3" s="3" t="s">
        <v>218</v>
      </c>
      <c r="I3" s="3">
        <v>2</v>
      </c>
      <c r="J3" s="3" t="s">
        <v>30</v>
      </c>
      <c r="K3" s="18">
        <v>1479</v>
      </c>
      <c r="L3" s="16">
        <v>1600</v>
      </c>
      <c r="M3" s="6" t="str" cm="1">
        <f t="array" ref="M3">_xlfn.IFS(L3&lt;100,"Economy",L3&lt;200,"Standard",L3&lt;350,"Powerful",L3&lt;500,"High Performance",L3&lt;800,"Sports Performance",L3&gt;=800,"Super Performance")</f>
        <v>Super Performance</v>
      </c>
    </row>
    <row r="4" spans="1:13" x14ac:dyDescent="0.25">
      <c r="A4" s="5" t="s">
        <v>215</v>
      </c>
      <c r="B4" s="3" t="s">
        <v>216</v>
      </c>
      <c r="C4" s="3" t="s">
        <v>219</v>
      </c>
      <c r="D4" s="4">
        <v>212155397</v>
      </c>
      <c r="E4" s="3">
        <v>7993</v>
      </c>
      <c r="F4" s="3">
        <v>16</v>
      </c>
      <c r="G4" s="3" t="s">
        <v>10</v>
      </c>
      <c r="H4" s="3" t="s">
        <v>218</v>
      </c>
      <c r="I4" s="3">
        <v>2</v>
      </c>
      <c r="J4" s="3" t="s">
        <v>30</v>
      </c>
      <c r="K4" s="18">
        <v>1600</v>
      </c>
      <c r="L4" s="16">
        <v>1479</v>
      </c>
      <c r="M4" s="6" t="str" cm="1">
        <f t="array" ref="M4">_xlfn.IFS(L4&lt;100,"Economy",L4&lt;200,"Standard",L4&lt;350,"Powerful",L4&lt;500,"High Performance",L4&lt;800,"Sports Performance",L4&gt;=800,"Super Performance")</f>
        <v>Super Performance</v>
      </c>
    </row>
    <row r="5" spans="1:13" x14ac:dyDescent="0.25">
      <c r="A5" s="5" t="s">
        <v>182</v>
      </c>
      <c r="B5" s="3" t="s">
        <v>183</v>
      </c>
      <c r="C5" s="3" t="s">
        <v>184</v>
      </c>
      <c r="D5" s="4">
        <v>548000</v>
      </c>
      <c r="E5" s="3">
        <v>1197</v>
      </c>
      <c r="F5" s="3">
        <v>3</v>
      </c>
      <c r="G5" s="3" t="s">
        <v>10</v>
      </c>
      <c r="H5" s="3" t="s">
        <v>11</v>
      </c>
      <c r="I5" s="3">
        <v>5</v>
      </c>
      <c r="J5" s="3" t="s">
        <v>12</v>
      </c>
      <c r="K5" s="18">
        <v>83</v>
      </c>
      <c r="L5" s="16">
        <v>1130</v>
      </c>
      <c r="M5" s="6" t="str" cm="1">
        <f t="array" ref="M5">_xlfn.IFS(L5&lt;100,"Economy",L5&lt;200,"Standard",L5&lt;350,"Powerful",L5&lt;500,"High Performance",L5&lt;800,"Sports Performance",L5&gt;=800,"Super Performance")</f>
        <v>Super Performance</v>
      </c>
    </row>
    <row r="6" spans="1:13" x14ac:dyDescent="0.25">
      <c r="A6" s="5" t="s">
        <v>88</v>
      </c>
      <c r="B6" s="3" t="s">
        <v>965</v>
      </c>
      <c r="C6" s="3" t="s">
        <v>27</v>
      </c>
      <c r="D6" s="4">
        <v>52571294</v>
      </c>
      <c r="E6" s="3">
        <v>6752</v>
      </c>
      <c r="F6" s="3">
        <v>8</v>
      </c>
      <c r="G6" s="3" t="s">
        <v>10</v>
      </c>
      <c r="H6" s="3" t="s">
        <v>27</v>
      </c>
      <c r="I6" s="3">
        <v>4</v>
      </c>
      <c r="J6" s="3" t="s">
        <v>30</v>
      </c>
      <c r="K6" s="18">
        <v>512</v>
      </c>
      <c r="L6" s="16">
        <v>1020</v>
      </c>
      <c r="M6" s="6" t="str" cm="1">
        <f t="array" ref="M6">_xlfn.IFS(L6&lt;100,"Economy",L6&lt;200,"Standard",L6&lt;350,"Powerful",L6&lt;500,"High Performance",L6&lt;800,"Sports Performance",L6&gt;=800,"Super Performance")</f>
        <v>Super Performance</v>
      </c>
    </row>
    <row r="7" spans="1:13" x14ac:dyDescent="0.25">
      <c r="A7" s="5" t="s">
        <v>90</v>
      </c>
      <c r="B7" s="3" t="s">
        <v>213</v>
      </c>
      <c r="C7" s="3" t="s">
        <v>214</v>
      </c>
      <c r="D7" s="4">
        <v>27308312</v>
      </c>
      <c r="E7" s="3">
        <v>5980</v>
      </c>
      <c r="F7" s="3">
        <v>12</v>
      </c>
      <c r="G7" s="3" t="s">
        <v>10</v>
      </c>
      <c r="H7" s="3" t="s">
        <v>27</v>
      </c>
      <c r="I7" s="3">
        <v>4</v>
      </c>
      <c r="J7" s="3" t="s">
        <v>30</v>
      </c>
      <c r="K7" s="18">
        <v>630</v>
      </c>
      <c r="L7" s="16">
        <v>1000</v>
      </c>
      <c r="M7" s="6" t="str" cm="1">
        <f t="array" ref="M7">_xlfn.IFS(L7&lt;100,"Economy",L7&lt;200,"Standard",L7&lt;350,"Powerful",L7&lt;500,"High Performance",L7&lt;800,"Sports Performance",L7&gt;=800,"Super Performance")</f>
        <v>Super Performance</v>
      </c>
    </row>
    <row r="8" spans="1:13" x14ac:dyDescent="0.25">
      <c r="A8" s="5" t="s">
        <v>90</v>
      </c>
      <c r="B8" s="3" t="s">
        <v>948</v>
      </c>
      <c r="C8" s="3" t="s">
        <v>949</v>
      </c>
      <c r="D8" s="4">
        <v>25500000</v>
      </c>
      <c r="E8" s="3">
        <v>3982</v>
      </c>
      <c r="F8" s="3">
        <v>8</v>
      </c>
      <c r="G8" s="3" t="s">
        <v>10</v>
      </c>
      <c r="H8" s="3" t="s">
        <v>212</v>
      </c>
      <c r="I8" s="3">
        <v>4</v>
      </c>
      <c r="J8" s="3" t="s">
        <v>30</v>
      </c>
      <c r="K8" s="18">
        <v>450</v>
      </c>
      <c r="L8" s="16">
        <v>900</v>
      </c>
      <c r="M8" s="6" t="str" cm="1">
        <f t="array" ref="M8">_xlfn.IFS(L8&lt;100,"Economy",L8&lt;200,"Standard",L8&lt;350,"Powerful",L8&lt;500,"High Performance",L8&lt;800,"Sports Performance",L8&gt;=800,"Super Performance")</f>
        <v>Super Performance</v>
      </c>
    </row>
    <row r="9" spans="1:13" x14ac:dyDescent="0.25">
      <c r="A9" s="5" t="s">
        <v>88</v>
      </c>
      <c r="B9" s="3" t="s">
        <v>89</v>
      </c>
      <c r="C9" s="3" t="s">
        <v>1014</v>
      </c>
      <c r="D9" s="4">
        <v>45941557</v>
      </c>
      <c r="E9" s="3">
        <v>5950</v>
      </c>
      <c r="F9" s="3">
        <v>12</v>
      </c>
      <c r="G9" s="3" t="s">
        <v>10</v>
      </c>
      <c r="H9" s="3" t="s">
        <v>66</v>
      </c>
      <c r="I9" s="3">
        <v>5</v>
      </c>
      <c r="J9" s="3" t="s">
        <v>30</v>
      </c>
      <c r="K9" s="18">
        <v>608</v>
      </c>
      <c r="L9" s="16">
        <v>900</v>
      </c>
      <c r="M9" s="6" t="str" cm="1">
        <f t="array" ref="M9">_xlfn.IFS(L9&lt;100,"Economy",L9&lt;200,"Standard",L9&lt;350,"Powerful",L9&lt;500,"High Performance",L9&lt;800,"Sports Performance",L9&gt;=800,"Super Performance")</f>
        <v>Super Performance</v>
      </c>
    </row>
    <row r="10" spans="1:13" x14ac:dyDescent="0.25">
      <c r="A10" s="5" t="s">
        <v>85</v>
      </c>
      <c r="B10" s="3" t="s">
        <v>86</v>
      </c>
      <c r="C10" s="3" t="s">
        <v>87</v>
      </c>
      <c r="D10" s="4">
        <v>30000000</v>
      </c>
      <c r="E10" s="3">
        <v>3996</v>
      </c>
      <c r="F10" s="3">
        <v>8</v>
      </c>
      <c r="G10" s="3" t="s">
        <v>10</v>
      </c>
      <c r="H10" s="3" t="s">
        <v>66</v>
      </c>
      <c r="I10" s="3">
        <v>5</v>
      </c>
      <c r="J10" s="3" t="s">
        <v>30</v>
      </c>
      <c r="K10" s="18">
        <v>650</v>
      </c>
      <c r="L10" s="16">
        <v>850</v>
      </c>
      <c r="M10" s="6" t="str" cm="1">
        <f t="array" ref="M10">_xlfn.IFS(L10&lt;100,"Economy",L10&lt;200,"Standard",L10&lt;350,"Powerful",L10&lt;500,"High Performance",L10&lt;800,"Sports Performance",L10&gt;=800,"Super Performance")</f>
        <v>Super Performance</v>
      </c>
    </row>
    <row r="11" spans="1:13" x14ac:dyDescent="0.25">
      <c r="A11" s="5" t="s">
        <v>90</v>
      </c>
      <c r="B11" s="3" t="s">
        <v>91</v>
      </c>
      <c r="C11" s="3" t="s">
        <v>92</v>
      </c>
      <c r="D11" s="4">
        <v>69500000</v>
      </c>
      <c r="E11" s="3">
        <v>6750</v>
      </c>
      <c r="F11" s="3">
        <v>12</v>
      </c>
      <c r="G11" s="3" t="s">
        <v>10</v>
      </c>
      <c r="H11" s="3" t="s">
        <v>66</v>
      </c>
      <c r="I11" s="3">
        <v>5</v>
      </c>
      <c r="J11" s="3" t="s">
        <v>30</v>
      </c>
      <c r="K11" s="18">
        <v>563</v>
      </c>
      <c r="L11" s="16">
        <v>850</v>
      </c>
      <c r="M11" s="6" t="str" cm="1">
        <f t="array" ref="M11">_xlfn.IFS(L11&lt;100,"Economy",L11&lt;200,"Standard",L11&lt;350,"Powerful",L11&lt;500,"High Performance",L11&lt;800,"Sports Performance",L11&gt;=800,"Super Performance")</f>
        <v>Super Performance</v>
      </c>
    </row>
    <row r="12" spans="1:13" x14ac:dyDescent="0.25">
      <c r="A12" s="5" t="s">
        <v>78</v>
      </c>
      <c r="B12" s="3" t="s">
        <v>558</v>
      </c>
      <c r="C12" s="3" t="s">
        <v>561</v>
      </c>
      <c r="D12" s="4">
        <v>24250000</v>
      </c>
      <c r="E12" s="3">
        <v>6592</v>
      </c>
      <c r="F12" s="3">
        <v>12</v>
      </c>
      <c r="G12" s="3" t="s">
        <v>10</v>
      </c>
      <c r="H12" s="3" t="s">
        <v>27</v>
      </c>
      <c r="I12" s="3">
        <v>4</v>
      </c>
      <c r="J12" s="3" t="s">
        <v>30</v>
      </c>
      <c r="K12" s="18">
        <v>609</v>
      </c>
      <c r="L12" s="16">
        <v>850</v>
      </c>
      <c r="M12" s="6" t="str" cm="1">
        <f t="array" ref="M12">_xlfn.IFS(L12&lt;100,"Economy",L12&lt;200,"Standard",L12&lt;350,"Powerful",L12&lt;500,"High Performance",L12&lt;800,"Sports Performance",L12&gt;=800,"Super Performance")</f>
        <v>Super Performance</v>
      </c>
    </row>
    <row r="13" spans="1:13" x14ac:dyDescent="0.25">
      <c r="A13" s="5" t="s">
        <v>90</v>
      </c>
      <c r="B13" s="3" t="s">
        <v>564</v>
      </c>
      <c r="C13" s="3" t="s">
        <v>565</v>
      </c>
      <c r="D13" s="4">
        <v>21875136</v>
      </c>
      <c r="E13" s="3">
        <v>3982</v>
      </c>
      <c r="F13" s="3">
        <v>8</v>
      </c>
      <c r="G13" s="3" t="s">
        <v>10</v>
      </c>
      <c r="H13" s="3" t="s">
        <v>66</v>
      </c>
      <c r="I13" s="3">
        <v>7</v>
      </c>
      <c r="J13" s="3" t="s">
        <v>30</v>
      </c>
      <c r="K13" s="18">
        <v>585</v>
      </c>
      <c r="L13" s="16">
        <v>850</v>
      </c>
      <c r="M13" s="6" t="str" cm="1">
        <f t="array" ref="M13">_xlfn.IFS(L13&lt;100,"Economy",L13&lt;200,"Standard",L13&lt;350,"Powerful",L13&lt;500,"High Performance",L13&lt;800,"Sports Performance",L13&gt;=800,"Super Performance")</f>
        <v>Super Performance</v>
      </c>
    </row>
    <row r="14" spans="1:13" x14ac:dyDescent="0.25">
      <c r="A14" s="5" t="s">
        <v>90</v>
      </c>
      <c r="B14" s="3" t="s">
        <v>964</v>
      </c>
      <c r="C14" s="3" t="s">
        <v>212</v>
      </c>
      <c r="D14" s="4">
        <v>50025840</v>
      </c>
      <c r="E14" s="3">
        <v>6592</v>
      </c>
      <c r="F14" s="3">
        <v>12</v>
      </c>
      <c r="G14" s="3" t="s">
        <v>10</v>
      </c>
      <c r="H14" s="3" t="s">
        <v>212</v>
      </c>
      <c r="I14" s="3">
        <v>4</v>
      </c>
      <c r="J14" s="3" t="s">
        <v>30</v>
      </c>
      <c r="K14" s="18">
        <v>625</v>
      </c>
      <c r="L14" s="16">
        <v>800</v>
      </c>
      <c r="M14" s="6" t="str" cm="1">
        <f t="array" ref="M14">_xlfn.IFS(L14&lt;100,"Economy",L14&lt;200,"Standard",L14&lt;350,"Powerful",L14&lt;500,"High Performance",L14&lt;800,"Sports Performance",L14&gt;=800,"Super Performance")</f>
        <v>Super Performance</v>
      </c>
    </row>
    <row r="15" spans="1:13" x14ac:dyDescent="0.25">
      <c r="A15" s="5" t="s">
        <v>88</v>
      </c>
      <c r="B15" s="3" t="s">
        <v>1013</v>
      </c>
      <c r="C15" s="3" t="s">
        <v>1014</v>
      </c>
      <c r="D15" s="4">
        <v>39382083</v>
      </c>
      <c r="E15" s="3">
        <v>5998</v>
      </c>
      <c r="F15" s="3">
        <v>12</v>
      </c>
      <c r="G15" s="3" t="s">
        <v>10</v>
      </c>
      <c r="H15" s="3" t="s">
        <v>27</v>
      </c>
      <c r="I15" s="3">
        <v>4</v>
      </c>
      <c r="J15" s="3" t="s">
        <v>30</v>
      </c>
      <c r="K15" s="18">
        <v>616</v>
      </c>
      <c r="L15" s="16">
        <v>800</v>
      </c>
      <c r="M15" s="6" t="str" cm="1">
        <f t="array" ref="M15">_xlfn.IFS(L15&lt;100,"Economy",L15&lt;200,"Standard",L15&lt;350,"Powerful",L15&lt;500,"High Performance",L15&lt;800,"Sports Performance",L15&gt;=800,"Super Performance")</f>
        <v>Super Performance</v>
      </c>
    </row>
    <row r="16" spans="1:13" x14ac:dyDescent="0.25">
      <c r="A16" s="5" t="s">
        <v>90</v>
      </c>
      <c r="B16" s="3" t="s">
        <v>624</v>
      </c>
      <c r="C16" s="3" t="s">
        <v>625</v>
      </c>
      <c r="D16" s="4">
        <v>53247201</v>
      </c>
      <c r="E16" s="3">
        <v>6592</v>
      </c>
      <c r="F16" s="3">
        <v>12</v>
      </c>
      <c r="G16" s="3" t="s">
        <v>10</v>
      </c>
      <c r="H16" s="3" t="s">
        <v>27</v>
      </c>
      <c r="I16" s="3">
        <v>5</v>
      </c>
      <c r="J16" s="3" t="s">
        <v>30</v>
      </c>
      <c r="K16" s="18">
        <v>570</v>
      </c>
      <c r="L16" s="16">
        <v>780</v>
      </c>
      <c r="M16" s="6" t="str" cm="1">
        <f t="array" ref="M16">_xlfn.IFS(L16&lt;100,"Economy",L16&lt;200,"Standard",L16&lt;350,"Powerful",L16&lt;500,"High Performance",L16&lt;800,"Sports Performance",L16&gt;=800,"Super Performance")</f>
        <v>Sports Performance</v>
      </c>
    </row>
    <row r="17" spans="1:13" x14ac:dyDescent="0.25">
      <c r="A17" s="5" t="s">
        <v>90</v>
      </c>
      <c r="B17" s="3" t="s">
        <v>992</v>
      </c>
      <c r="C17" s="3" t="s">
        <v>206</v>
      </c>
      <c r="D17" s="4">
        <v>59216193</v>
      </c>
      <c r="E17" s="3">
        <v>6598</v>
      </c>
      <c r="F17" s="3">
        <v>12</v>
      </c>
      <c r="G17" s="3" t="s">
        <v>10</v>
      </c>
      <c r="H17" s="3" t="s">
        <v>206</v>
      </c>
      <c r="I17" s="3">
        <v>4</v>
      </c>
      <c r="J17" s="3" t="s">
        <v>30</v>
      </c>
      <c r="K17" s="18">
        <v>571</v>
      </c>
      <c r="L17" s="16">
        <v>780</v>
      </c>
      <c r="M17" s="6" t="str" cm="1">
        <f t="array" ref="M17">_xlfn.IFS(L17&lt;100,"Economy",L17&lt;200,"Standard",L17&lt;350,"Powerful",L17&lt;500,"High Performance",L17&lt;800,"Sports Performance",L17&gt;=800,"Super Performance")</f>
        <v>Sports Performance</v>
      </c>
    </row>
    <row r="18" spans="1:13" x14ac:dyDescent="0.25">
      <c r="A18" s="5" t="s">
        <v>90</v>
      </c>
      <c r="B18" s="3" t="s">
        <v>624</v>
      </c>
      <c r="C18" s="3">
        <v>6.6</v>
      </c>
      <c r="D18" s="4">
        <v>46709733</v>
      </c>
      <c r="E18" s="3">
        <v>6593</v>
      </c>
      <c r="F18" s="3">
        <v>12</v>
      </c>
      <c r="G18" s="3" t="s">
        <v>10</v>
      </c>
      <c r="H18" s="3" t="s">
        <v>27</v>
      </c>
      <c r="I18" s="3">
        <v>5</v>
      </c>
      <c r="J18" s="3" t="s">
        <v>30</v>
      </c>
      <c r="K18" s="18">
        <v>563</v>
      </c>
      <c r="L18" s="16">
        <v>780</v>
      </c>
      <c r="M18" s="6" t="str" cm="1">
        <f t="array" ref="M18">_xlfn.IFS(L18&lt;100,"Economy",L18&lt;200,"Standard",L18&lt;350,"Powerful",L18&lt;500,"High Performance",L18&lt;800,"Sports Performance",L18&gt;=800,"Super Performance")</f>
        <v>Sports Performance</v>
      </c>
    </row>
    <row r="19" spans="1:13" x14ac:dyDescent="0.25">
      <c r="A19" s="5" t="s">
        <v>88</v>
      </c>
      <c r="B19" s="3" t="s">
        <v>89</v>
      </c>
      <c r="C19" s="3" t="s">
        <v>87</v>
      </c>
      <c r="D19" s="4">
        <v>37542069</v>
      </c>
      <c r="E19" s="3">
        <v>3996</v>
      </c>
      <c r="F19" s="3">
        <v>12</v>
      </c>
      <c r="G19" s="3" t="s">
        <v>10</v>
      </c>
      <c r="H19" s="3" t="s">
        <v>66</v>
      </c>
      <c r="I19" s="3">
        <v>5</v>
      </c>
      <c r="J19" s="3" t="s">
        <v>30</v>
      </c>
      <c r="K19" s="18">
        <v>550</v>
      </c>
      <c r="L19" s="16">
        <v>770</v>
      </c>
      <c r="M19" s="6" t="str" cm="1">
        <f t="array" ref="M19">_xlfn.IFS(L19&lt;100,"Economy",L19&lt;200,"Standard",L19&lt;350,"Powerful",L19&lt;500,"High Performance",L19&lt;800,"Sports Performance",L19&gt;=800,"Super Performance")</f>
        <v>Sports Performance</v>
      </c>
    </row>
    <row r="20" spans="1:13" x14ac:dyDescent="0.25">
      <c r="A20" s="5" t="s">
        <v>297</v>
      </c>
      <c r="B20" s="3" t="s">
        <v>298</v>
      </c>
      <c r="C20" s="3" t="s">
        <v>300</v>
      </c>
      <c r="D20" s="4">
        <v>19763000</v>
      </c>
      <c r="E20" s="3">
        <v>2995</v>
      </c>
      <c r="F20" s="3">
        <v>8</v>
      </c>
      <c r="G20" s="3" t="s">
        <v>10</v>
      </c>
      <c r="H20" s="3" t="s">
        <v>66</v>
      </c>
      <c r="I20" s="3">
        <v>5</v>
      </c>
      <c r="J20" s="3" t="s">
        <v>30</v>
      </c>
      <c r="K20" s="18">
        <v>550</v>
      </c>
      <c r="L20" s="16">
        <v>770</v>
      </c>
      <c r="M20" s="6" t="str" cm="1">
        <f t="array" ref="M20">_xlfn.IFS(L20&lt;100,"Economy",L20&lt;200,"Standard",L20&lt;350,"Powerful",L20&lt;500,"High Performance",L20&lt;800,"Sports Performance",L20&gt;=800,"Super Performance")</f>
        <v>Sports Performance</v>
      </c>
    </row>
    <row r="21" spans="1:13" x14ac:dyDescent="0.25">
      <c r="A21" s="5" t="s">
        <v>297</v>
      </c>
      <c r="B21" s="3" t="s">
        <v>666</v>
      </c>
      <c r="C21" s="3" t="s">
        <v>300</v>
      </c>
      <c r="D21" s="4">
        <v>19210000</v>
      </c>
      <c r="E21" s="3">
        <v>3996</v>
      </c>
      <c r="F21" s="3">
        <v>6</v>
      </c>
      <c r="G21" s="3" t="s">
        <v>10</v>
      </c>
      <c r="H21" s="3" t="s">
        <v>66</v>
      </c>
      <c r="I21" s="3">
        <v>5</v>
      </c>
      <c r="J21" s="3" t="s">
        <v>30</v>
      </c>
      <c r="K21" s="18">
        <v>550</v>
      </c>
      <c r="L21" s="16">
        <v>770</v>
      </c>
      <c r="M21" s="6" t="str" cm="1">
        <f t="array" ref="M21">_xlfn.IFS(L21&lt;100,"Economy",L21&lt;200,"Standard",L21&lt;350,"Powerful",L21&lt;500,"High Performance",L21&lt;800,"Sports Performance",L21&gt;=800,"Super Performance")</f>
        <v>Sports Performance</v>
      </c>
    </row>
    <row r="22" spans="1:13" x14ac:dyDescent="0.25">
      <c r="A22" s="5" t="s">
        <v>297</v>
      </c>
      <c r="B22" s="3" t="s">
        <v>953</v>
      </c>
      <c r="C22" s="3" t="s">
        <v>300</v>
      </c>
      <c r="D22" s="4">
        <v>21263000</v>
      </c>
      <c r="E22" s="3">
        <v>3996</v>
      </c>
      <c r="F22" s="3">
        <v>8</v>
      </c>
      <c r="G22" s="3" t="s">
        <v>10</v>
      </c>
      <c r="H22" s="3" t="s">
        <v>27</v>
      </c>
      <c r="I22" s="3">
        <v>4</v>
      </c>
      <c r="J22" s="3" t="s">
        <v>30</v>
      </c>
      <c r="K22" s="18">
        <v>550</v>
      </c>
      <c r="L22" s="16">
        <v>770</v>
      </c>
      <c r="M22" s="6" t="str" cm="1">
        <f t="array" ref="M22">_xlfn.IFS(L22&lt;100,"Economy",L22&lt;200,"Standard",L22&lt;350,"Powerful",L22&lt;500,"High Performance",L22&lt;800,"Sports Performance",L22&gt;=800,"Super Performance")</f>
        <v>Sports Performance</v>
      </c>
    </row>
    <row r="23" spans="1:13" x14ac:dyDescent="0.25">
      <c r="A23" s="5" t="s">
        <v>297</v>
      </c>
      <c r="B23" s="3" t="s">
        <v>953</v>
      </c>
      <c r="C23" s="3" t="s">
        <v>954</v>
      </c>
      <c r="D23" s="4">
        <v>22613000</v>
      </c>
      <c r="E23" s="3">
        <v>3996</v>
      </c>
      <c r="F23" s="3">
        <v>8</v>
      </c>
      <c r="G23" s="3" t="s">
        <v>10</v>
      </c>
      <c r="H23" s="3" t="s">
        <v>27</v>
      </c>
      <c r="I23" s="3">
        <v>4</v>
      </c>
      <c r="J23" s="3" t="s">
        <v>30</v>
      </c>
      <c r="K23" s="18">
        <v>550</v>
      </c>
      <c r="L23" s="16">
        <v>770</v>
      </c>
      <c r="M23" s="6" t="str" cm="1">
        <f t="array" ref="M23">_xlfn.IFS(L23&lt;100,"Economy",L23&lt;200,"Standard",L23&lt;350,"Powerful",L23&lt;500,"High Performance",L23&lt;800,"Sports Performance",L23&gt;=800,"Super Performance")</f>
        <v>Sports Performance</v>
      </c>
    </row>
    <row r="24" spans="1:13" x14ac:dyDescent="0.25">
      <c r="A24" s="5" t="s">
        <v>297</v>
      </c>
      <c r="B24" s="3" t="s">
        <v>953</v>
      </c>
      <c r="C24" s="3" t="s">
        <v>955</v>
      </c>
      <c r="D24" s="4">
        <v>21747000</v>
      </c>
      <c r="E24" s="3">
        <v>3996</v>
      </c>
      <c r="F24" s="3">
        <v>8</v>
      </c>
      <c r="G24" s="3" t="s">
        <v>10</v>
      </c>
      <c r="H24" s="3" t="s">
        <v>27</v>
      </c>
      <c r="I24" s="3">
        <v>4</v>
      </c>
      <c r="J24" s="3" t="s">
        <v>30</v>
      </c>
      <c r="K24" s="18">
        <v>550</v>
      </c>
      <c r="L24" s="16">
        <v>770</v>
      </c>
      <c r="M24" s="6" t="str" cm="1">
        <f t="array" ref="M24">_xlfn.IFS(L24&lt;100,"Economy",L24&lt;200,"Standard",L24&lt;350,"Powerful",L24&lt;500,"High Performance",L24&lt;800,"Sports Performance",L24&gt;=800,"Super Performance")</f>
        <v>Sports Performance</v>
      </c>
    </row>
    <row r="25" spans="1:13" x14ac:dyDescent="0.25">
      <c r="A25" s="5" t="s">
        <v>259</v>
      </c>
      <c r="B25" s="3" t="s">
        <v>260</v>
      </c>
      <c r="C25" s="3" t="s">
        <v>261</v>
      </c>
      <c r="D25" s="4">
        <v>42000000</v>
      </c>
      <c r="E25" s="3">
        <v>3900</v>
      </c>
      <c r="F25" s="3">
        <v>8</v>
      </c>
      <c r="G25" s="3" t="s">
        <v>10</v>
      </c>
      <c r="H25" s="3" t="s">
        <v>212</v>
      </c>
      <c r="I25" s="3">
        <v>4</v>
      </c>
      <c r="J25" s="3" t="s">
        <v>30</v>
      </c>
      <c r="K25" s="18">
        <v>610</v>
      </c>
      <c r="L25" s="16">
        <v>760</v>
      </c>
      <c r="M25" s="6" t="str" cm="1">
        <f t="array" ref="M25">_xlfn.IFS(L25&lt;100,"Economy",L25&lt;200,"Standard",L25&lt;350,"Powerful",L25&lt;500,"High Performance",L25&lt;800,"Sports Performance",L25&gt;=800,"Super Performance")</f>
        <v>Sports Performance</v>
      </c>
    </row>
    <row r="26" spans="1:13" x14ac:dyDescent="0.25">
      <c r="A26" s="5" t="s">
        <v>259</v>
      </c>
      <c r="B26" s="3" t="s">
        <v>987</v>
      </c>
      <c r="C26" s="3" t="s">
        <v>95</v>
      </c>
      <c r="D26" s="4">
        <v>36761413</v>
      </c>
      <c r="E26" s="3">
        <v>3902</v>
      </c>
      <c r="F26" s="3">
        <v>8</v>
      </c>
      <c r="G26" s="3" t="s">
        <v>10</v>
      </c>
      <c r="H26" s="3" t="s">
        <v>212</v>
      </c>
      <c r="I26" s="3">
        <v>2</v>
      </c>
      <c r="J26" s="3" t="s">
        <v>30</v>
      </c>
      <c r="K26" s="18">
        <v>670</v>
      </c>
      <c r="L26" s="16">
        <v>760</v>
      </c>
      <c r="M26" s="6" t="str" cm="1">
        <f t="array" ref="M26">_xlfn.IFS(L26&lt;100,"Economy",L26&lt;200,"Standard",L26&lt;350,"Powerful",L26&lt;500,"High Performance",L26&lt;800,"Sports Performance",L26&gt;=800,"Super Performance")</f>
        <v>Sports Performance</v>
      </c>
    </row>
    <row r="27" spans="1:13" x14ac:dyDescent="0.25">
      <c r="A27" s="5" t="s">
        <v>259</v>
      </c>
      <c r="B27" s="3" t="s">
        <v>987</v>
      </c>
      <c r="C27" s="3" t="s">
        <v>988</v>
      </c>
      <c r="D27" s="4">
        <v>39319552</v>
      </c>
      <c r="E27" s="3">
        <v>3902</v>
      </c>
      <c r="F27" s="3">
        <v>8</v>
      </c>
      <c r="G27" s="3" t="s">
        <v>10</v>
      </c>
      <c r="H27" s="3" t="s">
        <v>212</v>
      </c>
      <c r="I27" s="3">
        <v>2</v>
      </c>
      <c r="J27" s="3" t="s">
        <v>30</v>
      </c>
      <c r="K27" s="18">
        <v>670</v>
      </c>
      <c r="L27" s="16">
        <v>760</v>
      </c>
      <c r="M27" s="6" t="str" cm="1">
        <f t="array" ref="M27">_xlfn.IFS(L27&lt;100,"Economy",L27&lt;200,"Standard",L27&lt;350,"Powerful",L27&lt;500,"High Performance",L27&lt;800,"Sports Performance",L27&gt;=800,"Super Performance")</f>
        <v>Sports Performance</v>
      </c>
    </row>
    <row r="28" spans="1:13" x14ac:dyDescent="0.25">
      <c r="A28" s="5" t="s">
        <v>259</v>
      </c>
      <c r="B28" s="3" t="s">
        <v>1012</v>
      </c>
      <c r="C28" s="3" t="s">
        <v>87</v>
      </c>
      <c r="D28" s="4">
        <v>43367500</v>
      </c>
      <c r="E28" s="3">
        <v>3902</v>
      </c>
      <c r="F28" s="3">
        <v>8</v>
      </c>
      <c r="G28" s="3" t="s">
        <v>10</v>
      </c>
      <c r="H28" s="3" t="s">
        <v>1393</v>
      </c>
      <c r="I28" s="3">
        <v>2</v>
      </c>
      <c r="J28" s="3" t="s">
        <v>30</v>
      </c>
      <c r="K28" s="18">
        <v>669</v>
      </c>
      <c r="L28" s="16">
        <v>760</v>
      </c>
      <c r="M28" s="6" t="str" cm="1">
        <f t="array" ref="M28">_xlfn.IFS(L28&lt;100,"Economy",L28&lt;200,"Standard",L28&lt;350,"Powerful",L28&lt;500,"High Performance",L28&lt;800,"Sports Performance",L28&gt;=800,"Super Performance")</f>
        <v>Sports Performance</v>
      </c>
    </row>
    <row r="29" spans="1:13" x14ac:dyDescent="0.25">
      <c r="A29" s="5" t="s">
        <v>90</v>
      </c>
      <c r="B29" s="3" t="s">
        <v>1015</v>
      </c>
      <c r="C29" s="3" t="s">
        <v>1016</v>
      </c>
      <c r="D29" s="4">
        <v>19199181</v>
      </c>
      <c r="E29" s="3">
        <v>5461</v>
      </c>
      <c r="F29" s="3">
        <v>8</v>
      </c>
      <c r="G29" s="3" t="s">
        <v>10</v>
      </c>
      <c r="H29" s="3" t="s">
        <v>66</v>
      </c>
      <c r="I29" s="3">
        <v>7</v>
      </c>
      <c r="J29" s="3" t="s">
        <v>30</v>
      </c>
      <c r="K29" s="18">
        <v>557</v>
      </c>
      <c r="L29" s="16">
        <v>760</v>
      </c>
      <c r="M29" s="6" t="str" cm="1">
        <f t="array" ref="M29">_xlfn.IFS(L29&lt;100,"Economy",L29&lt;200,"Standard",L29&lt;350,"Powerful",L29&lt;500,"High Performance",L29&lt;800,"Sports Performance",L29&gt;=800,"Super Performance")</f>
        <v>Sports Performance</v>
      </c>
    </row>
    <row r="30" spans="1:13" x14ac:dyDescent="0.25">
      <c r="A30" s="5" t="s">
        <v>259</v>
      </c>
      <c r="B30" s="3" t="s">
        <v>961</v>
      </c>
      <c r="C30" s="3" t="s">
        <v>962</v>
      </c>
      <c r="D30" s="4">
        <v>35000000</v>
      </c>
      <c r="E30" s="3">
        <v>3855</v>
      </c>
      <c r="F30" s="3">
        <v>8</v>
      </c>
      <c r="G30" s="3" t="s">
        <v>10</v>
      </c>
      <c r="H30" s="3" t="s">
        <v>206</v>
      </c>
      <c r="I30" s="3">
        <v>2</v>
      </c>
      <c r="J30" s="3" t="s">
        <v>30</v>
      </c>
      <c r="K30" s="18">
        <v>560</v>
      </c>
      <c r="L30" s="16">
        <v>755</v>
      </c>
      <c r="M30" s="6" t="str" cm="1">
        <f t="array" ref="M30">_xlfn.IFS(L30&lt;100,"Economy",L30&lt;200,"Standard",L30&lt;350,"Powerful",L30&lt;500,"High Performance",L30&lt;800,"Sports Performance",L30&gt;=800,"Super Performance")</f>
        <v>Sports Performance</v>
      </c>
    </row>
    <row r="31" spans="1:13" x14ac:dyDescent="0.25">
      <c r="A31" s="5" t="s">
        <v>78</v>
      </c>
      <c r="B31" s="3" t="s">
        <v>285</v>
      </c>
      <c r="C31" s="3" t="s">
        <v>286</v>
      </c>
      <c r="D31" s="4">
        <v>15490000</v>
      </c>
      <c r="E31" s="3">
        <v>4395</v>
      </c>
      <c r="F31" s="3">
        <v>8</v>
      </c>
      <c r="G31" s="3" t="s">
        <v>10</v>
      </c>
      <c r="H31" s="3" t="s">
        <v>27</v>
      </c>
      <c r="I31" s="3">
        <v>4</v>
      </c>
      <c r="J31" s="3" t="s">
        <v>30</v>
      </c>
      <c r="K31" s="18">
        <v>625</v>
      </c>
      <c r="L31" s="16">
        <v>750</v>
      </c>
      <c r="M31" s="6" t="str" cm="1">
        <f t="array" ref="M31">_xlfn.IFS(L31&lt;100,"Economy",L31&lt;200,"Standard",L31&lt;350,"Powerful",L31&lt;500,"High Performance",L31&lt;800,"Sports Performance",L31&gt;=800,"Super Performance")</f>
        <v>Sports Performance</v>
      </c>
    </row>
    <row r="32" spans="1:13" x14ac:dyDescent="0.25">
      <c r="A32" s="5" t="s">
        <v>146</v>
      </c>
      <c r="B32" s="3" t="s">
        <v>585</v>
      </c>
      <c r="C32" s="3" t="s">
        <v>587</v>
      </c>
      <c r="D32" s="4">
        <v>25174051</v>
      </c>
      <c r="E32" s="3">
        <v>4367</v>
      </c>
      <c r="F32" s="3">
        <v>8</v>
      </c>
      <c r="G32" s="3" t="s">
        <v>36</v>
      </c>
      <c r="H32" s="3" t="s">
        <v>66</v>
      </c>
      <c r="I32" s="3">
        <v>7</v>
      </c>
      <c r="J32" s="3" t="s">
        <v>30</v>
      </c>
      <c r="K32" s="18">
        <v>335</v>
      </c>
      <c r="L32" s="16">
        <v>740</v>
      </c>
      <c r="M32" s="6" t="str" cm="1">
        <f t="array" ref="M32">_xlfn.IFS(L32&lt;100,"Economy",L32&lt;200,"Standard",L32&lt;350,"Powerful",L32&lt;500,"High Performance",L32&lt;800,"Sports Performance",L32&gt;=800,"Super Performance")</f>
        <v>Sports Performance</v>
      </c>
    </row>
    <row r="33" spans="1:13" x14ac:dyDescent="0.25">
      <c r="A33" s="5" t="s">
        <v>146</v>
      </c>
      <c r="B33" s="3" t="s">
        <v>585</v>
      </c>
      <c r="C33" s="3" t="s">
        <v>588</v>
      </c>
      <c r="D33" s="4">
        <v>23675691</v>
      </c>
      <c r="E33" s="3">
        <v>4367</v>
      </c>
      <c r="F33" s="3">
        <v>8</v>
      </c>
      <c r="G33" s="3" t="s">
        <v>36</v>
      </c>
      <c r="H33" s="3" t="s">
        <v>66</v>
      </c>
      <c r="I33" s="3">
        <v>7</v>
      </c>
      <c r="J33" s="3" t="s">
        <v>30</v>
      </c>
      <c r="K33" s="18">
        <v>335</v>
      </c>
      <c r="L33" s="16">
        <v>740</v>
      </c>
      <c r="M33" s="6" t="str" cm="1">
        <f t="array" ref="M33">_xlfn.IFS(L33&lt;100,"Economy",L33&lt;200,"Standard",L33&lt;350,"Powerful",L33&lt;500,"High Performance",L33&lt;800,"Sports Performance",L33&gt;=800,"Super Performance")</f>
        <v>Sports Performance</v>
      </c>
    </row>
    <row r="34" spans="1:13" x14ac:dyDescent="0.25">
      <c r="A34" s="5" t="s">
        <v>146</v>
      </c>
      <c r="B34" s="3" t="s">
        <v>147</v>
      </c>
      <c r="C34" s="3" t="s">
        <v>1028</v>
      </c>
      <c r="D34" s="4">
        <v>14908985</v>
      </c>
      <c r="E34" s="3">
        <v>4367</v>
      </c>
      <c r="F34" s="3">
        <v>8</v>
      </c>
      <c r="G34" s="3" t="s">
        <v>36</v>
      </c>
      <c r="H34" s="3" t="s">
        <v>66</v>
      </c>
      <c r="I34" s="3">
        <v>7</v>
      </c>
      <c r="J34" s="3" t="s">
        <v>30</v>
      </c>
      <c r="K34" s="18">
        <v>335</v>
      </c>
      <c r="L34" s="16">
        <v>740</v>
      </c>
      <c r="M34" s="6" t="str" cm="1">
        <f t="array" ref="M34">_xlfn.IFS(L34&lt;100,"Economy",L34&lt;200,"Standard",L34&lt;350,"Powerful",L34&lt;500,"High Performance",L34&lt;800,"Sports Performance",L34&gt;=800,"Super Performance")</f>
        <v>Sports Performance</v>
      </c>
    </row>
    <row r="35" spans="1:13" x14ac:dyDescent="0.25">
      <c r="A35" s="5" t="s">
        <v>146</v>
      </c>
      <c r="B35" s="3" t="s">
        <v>585</v>
      </c>
      <c r="C35" s="3" t="s">
        <v>1032</v>
      </c>
      <c r="D35" s="4">
        <v>39294685</v>
      </c>
      <c r="E35" s="3">
        <v>4367</v>
      </c>
      <c r="F35" s="3">
        <v>8</v>
      </c>
      <c r="G35" s="3" t="s">
        <v>36</v>
      </c>
      <c r="H35" s="3" t="s">
        <v>66</v>
      </c>
      <c r="I35" s="3">
        <v>4</v>
      </c>
      <c r="J35" s="3" t="s">
        <v>30</v>
      </c>
      <c r="K35" s="18">
        <v>335</v>
      </c>
      <c r="L35" s="16">
        <v>740</v>
      </c>
      <c r="M35" s="6" t="str" cm="1">
        <f t="array" ref="M35">_xlfn.IFS(L35&lt;100,"Economy",L35&lt;200,"Standard",L35&lt;350,"Powerful",L35&lt;500,"High Performance",L35&lt;800,"Sports Performance",L35&gt;=800,"Super Performance")</f>
        <v>Sports Performance</v>
      </c>
    </row>
    <row r="36" spans="1:13" x14ac:dyDescent="0.25">
      <c r="A36" s="5" t="s">
        <v>88</v>
      </c>
      <c r="B36" s="3" t="s">
        <v>960</v>
      </c>
      <c r="C36" s="3" t="s">
        <v>212</v>
      </c>
      <c r="D36" s="4">
        <v>33791059</v>
      </c>
      <c r="E36" s="3">
        <v>5998</v>
      </c>
      <c r="F36" s="3">
        <v>12</v>
      </c>
      <c r="G36" s="3" t="s">
        <v>10</v>
      </c>
      <c r="H36" s="3" t="s">
        <v>212</v>
      </c>
      <c r="I36" s="3">
        <v>4</v>
      </c>
      <c r="J36" s="3" t="s">
        <v>30</v>
      </c>
      <c r="K36" s="18">
        <v>590</v>
      </c>
      <c r="L36" s="16">
        <v>720</v>
      </c>
      <c r="M36" s="6" t="str" cm="1">
        <f t="array" ref="M36">_xlfn.IFS(L36&lt;100,"Economy",L36&lt;200,"Standard",L36&lt;350,"Powerful",L36&lt;500,"High Performance",L36&lt;800,"Sports Performance",L36&gt;=800,"Super Performance")</f>
        <v>Sports Performance</v>
      </c>
    </row>
    <row r="37" spans="1:13" x14ac:dyDescent="0.25">
      <c r="A37" s="5" t="s">
        <v>90</v>
      </c>
      <c r="B37" s="3" t="s">
        <v>966</v>
      </c>
      <c r="C37" s="3" t="s">
        <v>967</v>
      </c>
      <c r="D37" s="4">
        <v>77312661</v>
      </c>
      <c r="E37" s="3">
        <v>6749</v>
      </c>
      <c r="F37" s="3">
        <v>12</v>
      </c>
      <c r="G37" s="3" t="s">
        <v>10</v>
      </c>
      <c r="H37" s="3" t="s">
        <v>212</v>
      </c>
      <c r="I37" s="3">
        <v>4</v>
      </c>
      <c r="J37" s="3" t="s">
        <v>30</v>
      </c>
      <c r="K37" s="18">
        <v>460</v>
      </c>
      <c r="L37" s="16">
        <v>720</v>
      </c>
      <c r="M37" s="6" t="str" cm="1">
        <f t="array" ref="M37">_xlfn.IFS(L37&lt;100,"Economy",L37&lt;200,"Standard",L37&lt;350,"Powerful",L37&lt;500,"High Performance",L37&lt;800,"Sports Performance",L37&gt;=800,"Super Performance")</f>
        <v>Sports Performance</v>
      </c>
    </row>
    <row r="38" spans="1:13" x14ac:dyDescent="0.25">
      <c r="A38" s="5" t="s">
        <v>90</v>
      </c>
      <c r="B38" s="3" t="s">
        <v>386</v>
      </c>
      <c r="C38" s="3" t="s">
        <v>984</v>
      </c>
      <c r="D38" s="4">
        <v>15000000</v>
      </c>
      <c r="E38" s="3">
        <v>5461</v>
      </c>
      <c r="F38" s="3">
        <v>8</v>
      </c>
      <c r="G38" s="3" t="s">
        <v>10</v>
      </c>
      <c r="H38" s="3" t="s">
        <v>27</v>
      </c>
      <c r="I38" s="3">
        <v>4</v>
      </c>
      <c r="J38" s="3" t="s">
        <v>30</v>
      </c>
      <c r="K38" s="18">
        <v>549</v>
      </c>
      <c r="L38" s="16">
        <v>720</v>
      </c>
      <c r="M38" s="6" t="str" cm="1">
        <f t="array" ref="M38">_xlfn.IFS(L38&lt;100,"Economy",L38&lt;200,"Standard",L38&lt;350,"Powerful",L38&lt;500,"High Performance",L38&lt;800,"Sports Performance",L38&gt;=800,"Super Performance")</f>
        <v>Sports Performance</v>
      </c>
    </row>
    <row r="39" spans="1:13" x14ac:dyDescent="0.25">
      <c r="A39" s="5" t="s">
        <v>90</v>
      </c>
      <c r="B39" s="3" t="s">
        <v>993</v>
      </c>
      <c r="C39" s="3" t="s">
        <v>994</v>
      </c>
      <c r="D39" s="4">
        <v>83755383</v>
      </c>
      <c r="E39" s="3">
        <v>6749</v>
      </c>
      <c r="F39" s="3">
        <v>12</v>
      </c>
      <c r="G39" s="3" t="s">
        <v>10</v>
      </c>
      <c r="H39" s="3" t="s">
        <v>206</v>
      </c>
      <c r="I39" s="3">
        <v>4</v>
      </c>
      <c r="J39" s="3" t="s">
        <v>30</v>
      </c>
      <c r="K39" s="18">
        <v>453</v>
      </c>
      <c r="L39" s="16">
        <v>720</v>
      </c>
      <c r="M39" s="6" t="str" cm="1">
        <f t="array" ref="M39">_xlfn.IFS(L39&lt;100,"Economy",L39&lt;200,"Standard",L39&lt;350,"Powerful",L39&lt;500,"High Performance",L39&lt;800,"Sports Performance",L39&gt;=800,"Super Performance")</f>
        <v>Sports Performance</v>
      </c>
    </row>
    <row r="40" spans="1:13" x14ac:dyDescent="0.25">
      <c r="A40" s="5" t="s">
        <v>90</v>
      </c>
      <c r="B40" s="3" t="s">
        <v>1152</v>
      </c>
      <c r="C40" s="3" t="s">
        <v>625</v>
      </c>
      <c r="D40" s="4">
        <v>75400000</v>
      </c>
      <c r="E40" s="3">
        <v>6749</v>
      </c>
      <c r="F40" s="3">
        <v>12</v>
      </c>
      <c r="G40" s="3" t="s">
        <v>10</v>
      </c>
      <c r="H40" s="3" t="s">
        <v>27</v>
      </c>
      <c r="I40" s="3">
        <v>5</v>
      </c>
      <c r="J40" s="3" t="s">
        <v>30</v>
      </c>
      <c r="K40" s="18">
        <v>460</v>
      </c>
      <c r="L40" s="16">
        <v>720</v>
      </c>
      <c r="M40" s="6" t="str" cm="1">
        <f t="array" ref="M40">_xlfn.IFS(L40&lt;100,"Economy",L40&lt;200,"Standard",L40&lt;350,"Powerful",L40&lt;500,"High Performance",L40&lt;800,"Sports Performance",L40&gt;=800,"Super Performance")</f>
        <v>Sports Performance</v>
      </c>
    </row>
    <row r="41" spans="1:13" x14ac:dyDescent="0.25">
      <c r="A41" s="5" t="s">
        <v>90</v>
      </c>
      <c r="B41" s="3" t="s">
        <v>1152</v>
      </c>
      <c r="C41" s="3" t="s">
        <v>27</v>
      </c>
      <c r="D41" s="4">
        <v>95000000</v>
      </c>
      <c r="E41" s="3">
        <v>6749</v>
      </c>
      <c r="F41" s="3">
        <v>12</v>
      </c>
      <c r="G41" s="3" t="s">
        <v>10</v>
      </c>
      <c r="H41" s="3" t="s">
        <v>27</v>
      </c>
      <c r="I41" s="3">
        <v>5</v>
      </c>
      <c r="J41" s="3" t="s">
        <v>30</v>
      </c>
      <c r="K41" s="18">
        <v>460</v>
      </c>
      <c r="L41" s="16">
        <v>720</v>
      </c>
      <c r="M41" s="6" t="str" cm="1">
        <f t="array" ref="M41">_xlfn.IFS(L41&lt;100,"Economy",L41&lt;200,"Standard",L41&lt;350,"Powerful",L41&lt;500,"High Performance",L41&lt;800,"Sports Performance",L41&gt;=800,"Super Performance")</f>
        <v>Sports Performance</v>
      </c>
    </row>
    <row r="42" spans="1:13" x14ac:dyDescent="0.25">
      <c r="A42" s="5" t="s">
        <v>259</v>
      </c>
      <c r="B42" s="3" t="s">
        <v>278</v>
      </c>
      <c r="C42" s="3" t="s">
        <v>279</v>
      </c>
      <c r="D42" s="4">
        <v>52000000</v>
      </c>
      <c r="E42" s="3">
        <v>6496</v>
      </c>
      <c r="F42" s="3">
        <v>12</v>
      </c>
      <c r="G42" s="3" t="s">
        <v>10</v>
      </c>
      <c r="H42" s="3" t="s">
        <v>212</v>
      </c>
      <c r="I42" s="3">
        <v>2</v>
      </c>
      <c r="J42" s="3" t="s">
        <v>30</v>
      </c>
      <c r="K42" s="18">
        <v>789</v>
      </c>
      <c r="L42" s="16">
        <v>718</v>
      </c>
      <c r="M42" s="6" t="str" cm="1">
        <f t="array" ref="M42">_xlfn.IFS(L42&lt;100,"Economy",L42&lt;200,"Standard",L42&lt;350,"Powerful",L42&lt;500,"High Performance",L42&lt;800,"Sports Performance",L42&gt;=800,"Super Performance")</f>
        <v>Sports Performance</v>
      </c>
    </row>
    <row r="43" spans="1:13" x14ac:dyDescent="0.25">
      <c r="A43" s="5" t="s">
        <v>146</v>
      </c>
      <c r="B43" s="3" t="s">
        <v>147</v>
      </c>
      <c r="C43" s="3" t="s">
        <v>148</v>
      </c>
      <c r="D43" s="4">
        <v>20517853</v>
      </c>
      <c r="E43" s="3">
        <v>4999</v>
      </c>
      <c r="F43" s="3">
        <v>8</v>
      </c>
      <c r="G43" s="3" t="s">
        <v>10</v>
      </c>
      <c r="H43" s="3" t="s">
        <v>66</v>
      </c>
      <c r="I43" s="3">
        <v>5</v>
      </c>
      <c r="J43" s="3" t="s">
        <v>30</v>
      </c>
      <c r="K43" s="18">
        <v>567</v>
      </c>
      <c r="L43" s="16">
        <v>700</v>
      </c>
      <c r="M43" s="6" t="str" cm="1">
        <f t="array" ref="M43">_xlfn.IFS(L43&lt;100,"Economy",L43&lt;200,"Standard",L43&lt;350,"Powerful",L43&lt;500,"High Performance",L43&lt;800,"Sports Performance",L43&gt;=800,"Super Performance")</f>
        <v>Sports Performance</v>
      </c>
    </row>
    <row r="44" spans="1:13" x14ac:dyDescent="0.25">
      <c r="A44" s="5" t="s">
        <v>90</v>
      </c>
      <c r="B44" s="3" t="s">
        <v>174</v>
      </c>
      <c r="C44" s="3" t="s">
        <v>176</v>
      </c>
      <c r="D44" s="4">
        <v>12500000</v>
      </c>
      <c r="E44" s="3">
        <v>2925</v>
      </c>
      <c r="F44" s="3">
        <v>6</v>
      </c>
      <c r="G44" s="3" t="s">
        <v>36</v>
      </c>
      <c r="H44" s="3" t="s">
        <v>66</v>
      </c>
      <c r="I44" s="3">
        <v>5</v>
      </c>
      <c r="J44" s="3" t="s">
        <v>30</v>
      </c>
      <c r="K44" s="18">
        <v>330</v>
      </c>
      <c r="L44" s="16">
        <v>700</v>
      </c>
      <c r="M44" s="6" t="str" cm="1">
        <f t="array" ref="M44">_xlfn.IFS(L44&lt;100,"Economy",L44&lt;200,"Standard",L44&lt;350,"Powerful",L44&lt;500,"High Performance",L44&lt;800,"Sports Performance",L44&gt;=800,"Super Performance")</f>
        <v>Sports Performance</v>
      </c>
    </row>
    <row r="45" spans="1:13" x14ac:dyDescent="0.25">
      <c r="A45" s="5" t="s">
        <v>90</v>
      </c>
      <c r="B45" s="3" t="s">
        <v>257</v>
      </c>
      <c r="C45" s="3" t="s">
        <v>258</v>
      </c>
      <c r="D45" s="4">
        <v>24200000</v>
      </c>
      <c r="E45" s="3" t="s">
        <v>1386</v>
      </c>
      <c r="F45" s="3">
        <v>8</v>
      </c>
      <c r="G45" s="3" t="s">
        <v>10</v>
      </c>
      <c r="H45" s="3" t="s">
        <v>212</v>
      </c>
      <c r="I45" s="3">
        <v>4</v>
      </c>
      <c r="J45" s="3" t="s">
        <v>30</v>
      </c>
      <c r="K45" s="18">
        <v>639</v>
      </c>
      <c r="L45" s="16">
        <v>700</v>
      </c>
      <c r="M45" s="6" t="str" cm="1">
        <f t="array" ref="M45">_xlfn.IFS(L45&lt;100,"Economy",L45&lt;200,"Standard",L45&lt;350,"Powerful",L45&lt;500,"High Performance",L45&lt;800,"Sports Performance",L45&gt;=800,"Super Performance")</f>
        <v>Sports Performance</v>
      </c>
    </row>
    <row r="46" spans="1:13" x14ac:dyDescent="0.25">
      <c r="A46" s="5" t="s">
        <v>280</v>
      </c>
      <c r="B46" s="3" t="s">
        <v>281</v>
      </c>
      <c r="C46" s="3" t="s">
        <v>282</v>
      </c>
      <c r="D46" s="4">
        <v>26501830</v>
      </c>
      <c r="E46" s="3">
        <v>5000</v>
      </c>
      <c r="F46" s="3">
        <v>8</v>
      </c>
      <c r="G46" s="3" t="s">
        <v>10</v>
      </c>
      <c r="H46" s="3" t="s">
        <v>212</v>
      </c>
      <c r="I46" s="3">
        <v>2</v>
      </c>
      <c r="J46" s="3" t="s">
        <v>30</v>
      </c>
      <c r="K46" s="18">
        <v>567</v>
      </c>
      <c r="L46" s="16">
        <v>700</v>
      </c>
      <c r="M46" s="6" t="str" cm="1">
        <f t="array" ref="M46">_xlfn.IFS(L46&lt;100,"Economy",L46&lt;200,"Standard",L46&lt;350,"Powerful",L46&lt;500,"High Performance",L46&lt;800,"Sports Performance",L46&gt;=800,"Super Performance")</f>
        <v>Sports Performance</v>
      </c>
    </row>
    <row r="47" spans="1:13" x14ac:dyDescent="0.25">
      <c r="A47" s="5" t="s">
        <v>280</v>
      </c>
      <c r="B47" s="3" t="s">
        <v>281</v>
      </c>
      <c r="C47" s="3" t="s">
        <v>283</v>
      </c>
      <c r="D47" s="4">
        <v>28004965</v>
      </c>
      <c r="E47" s="3">
        <v>5000</v>
      </c>
      <c r="F47" s="3">
        <v>8</v>
      </c>
      <c r="G47" s="3" t="s">
        <v>10</v>
      </c>
      <c r="H47" s="3" t="s">
        <v>206</v>
      </c>
      <c r="I47" s="3">
        <v>2</v>
      </c>
      <c r="J47" s="3" t="s">
        <v>30</v>
      </c>
      <c r="K47" s="18">
        <v>567</v>
      </c>
      <c r="L47" s="16">
        <v>700</v>
      </c>
      <c r="M47" s="6" t="str" cm="1">
        <f t="array" ref="M47">_xlfn.IFS(L47&lt;100,"Economy",L47&lt;200,"Standard",L47&lt;350,"Powerful",L47&lt;500,"High Performance",L47&lt;800,"Sports Performance",L47&gt;=800,"Super Performance")</f>
        <v>Sports Performance</v>
      </c>
    </row>
    <row r="48" spans="1:13" x14ac:dyDescent="0.25">
      <c r="A48" s="5" t="s">
        <v>90</v>
      </c>
      <c r="B48" s="3" t="s">
        <v>322</v>
      </c>
      <c r="C48" s="3" t="s">
        <v>324</v>
      </c>
      <c r="D48" s="4">
        <v>23264134</v>
      </c>
      <c r="E48" s="3">
        <v>3982</v>
      </c>
      <c r="F48" s="3">
        <v>8</v>
      </c>
      <c r="G48" s="3" t="s">
        <v>10</v>
      </c>
      <c r="H48" s="3" t="s">
        <v>212</v>
      </c>
      <c r="I48" s="3">
        <v>2</v>
      </c>
      <c r="J48" s="3" t="s">
        <v>30</v>
      </c>
      <c r="K48" s="18">
        <v>585</v>
      </c>
      <c r="L48" s="16">
        <v>700</v>
      </c>
      <c r="M48" s="6" t="str" cm="1">
        <f t="array" ref="M48">_xlfn.IFS(L48&lt;100,"Economy",L48&lt;200,"Standard",L48&lt;350,"Powerful",L48&lt;500,"High Performance",L48&lt;800,"Sports Performance",L48&gt;=800,"Super Performance")</f>
        <v>Sports Performance</v>
      </c>
    </row>
    <row r="49" spans="1:13" x14ac:dyDescent="0.25">
      <c r="A49" s="5" t="s">
        <v>377</v>
      </c>
      <c r="B49" s="3" t="s">
        <v>378</v>
      </c>
      <c r="C49" s="3" t="s">
        <v>262</v>
      </c>
      <c r="D49" s="4">
        <v>40456503</v>
      </c>
      <c r="E49" s="3">
        <v>5198</v>
      </c>
      <c r="F49" s="3">
        <v>12</v>
      </c>
      <c r="G49" s="3" t="s">
        <v>10</v>
      </c>
      <c r="H49" s="3" t="s">
        <v>212</v>
      </c>
      <c r="I49" s="3">
        <v>2</v>
      </c>
      <c r="J49" s="3" t="s">
        <v>30</v>
      </c>
      <c r="K49" s="18">
        <v>608</v>
      </c>
      <c r="L49" s="16">
        <v>700</v>
      </c>
      <c r="M49" s="6" t="str" cm="1">
        <f t="array" ref="M49">_xlfn.IFS(L49&lt;100,"Economy",L49&lt;200,"Standard",L49&lt;350,"Powerful",L49&lt;500,"High Performance",L49&lt;800,"Sports Performance",L49&gt;=800,"Super Performance")</f>
        <v>Sports Performance</v>
      </c>
    </row>
    <row r="50" spans="1:13" x14ac:dyDescent="0.25">
      <c r="A50" s="5" t="s">
        <v>90</v>
      </c>
      <c r="B50" s="3" t="s">
        <v>683</v>
      </c>
      <c r="C50" s="3" t="s">
        <v>684</v>
      </c>
      <c r="D50" s="4">
        <v>7500000</v>
      </c>
      <c r="E50" s="3">
        <v>3982</v>
      </c>
      <c r="F50" s="3">
        <v>8</v>
      </c>
      <c r="G50" s="3" t="s">
        <v>10</v>
      </c>
      <c r="H50" s="3" t="s">
        <v>212</v>
      </c>
      <c r="I50" s="3">
        <v>5</v>
      </c>
      <c r="J50" s="3" t="s">
        <v>30</v>
      </c>
      <c r="K50" s="18">
        <v>503</v>
      </c>
      <c r="L50" s="16">
        <v>700</v>
      </c>
      <c r="M50" s="6" t="str" cm="1">
        <f t="array" ref="M50">_xlfn.IFS(L50&lt;100,"Economy",L50&lt;200,"Standard",L50&lt;350,"Powerful",L50&lt;500,"High Performance",L50&lt;800,"Sports Performance",L50&gt;=800,"Super Performance")</f>
        <v>Sports Performance</v>
      </c>
    </row>
    <row r="51" spans="1:13" x14ac:dyDescent="0.25">
      <c r="A51" s="5" t="s">
        <v>90</v>
      </c>
      <c r="B51" s="3" t="s">
        <v>213</v>
      </c>
      <c r="C51" s="3" t="s">
        <v>952</v>
      </c>
      <c r="D51" s="4">
        <v>19890000</v>
      </c>
      <c r="E51" s="3">
        <v>4663</v>
      </c>
      <c r="F51" s="3">
        <v>8</v>
      </c>
      <c r="G51" s="3" t="s">
        <v>10</v>
      </c>
      <c r="H51" s="3" t="s">
        <v>27</v>
      </c>
      <c r="I51" s="3">
        <v>4</v>
      </c>
      <c r="J51" s="3" t="s">
        <v>30</v>
      </c>
      <c r="K51" s="18">
        <v>453</v>
      </c>
      <c r="L51" s="16">
        <v>700</v>
      </c>
      <c r="M51" s="6" t="str" cm="1">
        <f t="array" ref="M51">_xlfn.IFS(L51&lt;100,"Economy",L51&lt;200,"Standard",L51&lt;350,"Powerful",L51&lt;500,"High Performance",L51&lt;800,"Sports Performance",L51&gt;=800,"Super Performance")</f>
        <v>Sports Performance</v>
      </c>
    </row>
    <row r="52" spans="1:13" x14ac:dyDescent="0.25">
      <c r="A52" s="5" t="s">
        <v>90</v>
      </c>
      <c r="B52" s="3" t="s">
        <v>956</v>
      </c>
      <c r="C52" s="3" t="s">
        <v>957</v>
      </c>
      <c r="D52" s="4">
        <v>23491293</v>
      </c>
      <c r="E52" s="3">
        <v>4663</v>
      </c>
      <c r="F52" s="3">
        <v>8</v>
      </c>
      <c r="G52" s="3" t="s">
        <v>10</v>
      </c>
      <c r="H52" s="3" t="s">
        <v>206</v>
      </c>
      <c r="I52" s="3">
        <v>4</v>
      </c>
      <c r="J52" s="3" t="s">
        <v>30</v>
      </c>
      <c r="K52" s="18">
        <v>455</v>
      </c>
      <c r="L52" s="16">
        <v>700</v>
      </c>
      <c r="M52" s="6" t="str" cm="1">
        <f t="array" ref="M52">_xlfn.IFS(L52&lt;100,"Economy",L52&lt;200,"Standard",L52&lt;350,"Powerful",L52&lt;500,"High Performance",L52&lt;800,"Sports Performance",L52&gt;=800,"Super Performance")</f>
        <v>Sports Performance</v>
      </c>
    </row>
    <row r="53" spans="1:13" x14ac:dyDescent="0.25">
      <c r="A53" s="5" t="s">
        <v>68</v>
      </c>
      <c r="B53" s="3" t="s">
        <v>985</v>
      </c>
      <c r="C53" s="3" t="s">
        <v>77</v>
      </c>
      <c r="D53" s="4">
        <v>17072000</v>
      </c>
      <c r="E53" s="3">
        <v>3993</v>
      </c>
      <c r="F53" s="3">
        <v>8</v>
      </c>
      <c r="G53" s="3" t="s">
        <v>10</v>
      </c>
      <c r="H53" s="3" t="s">
        <v>1391</v>
      </c>
      <c r="I53" s="3">
        <v>4</v>
      </c>
      <c r="J53" s="3" t="s">
        <v>30</v>
      </c>
      <c r="K53" s="18">
        <v>560</v>
      </c>
      <c r="L53" s="16">
        <v>700</v>
      </c>
      <c r="M53" s="6" t="str" cm="1">
        <f t="array" ref="M53">_xlfn.IFS(L53&lt;100,"Economy",L53&lt;200,"Standard",L53&lt;350,"Powerful",L53&lt;500,"High Performance",L53&lt;800,"Sports Performance",L53&gt;=800,"Super Performance")</f>
        <v>Sports Performance</v>
      </c>
    </row>
    <row r="54" spans="1:13" x14ac:dyDescent="0.25">
      <c r="A54" s="5" t="s">
        <v>146</v>
      </c>
      <c r="B54" s="3" t="s">
        <v>585</v>
      </c>
      <c r="C54" s="3" t="s">
        <v>1144</v>
      </c>
      <c r="D54" s="4">
        <v>40499548</v>
      </c>
      <c r="E54" s="3">
        <v>4999</v>
      </c>
      <c r="F54" s="3">
        <v>8</v>
      </c>
      <c r="G54" s="3" t="s">
        <v>10</v>
      </c>
      <c r="H54" s="3" t="s">
        <v>66</v>
      </c>
      <c r="I54" s="3">
        <v>5</v>
      </c>
      <c r="J54" s="3" t="s">
        <v>30</v>
      </c>
      <c r="K54" s="18">
        <v>558</v>
      </c>
      <c r="L54" s="16">
        <v>700</v>
      </c>
      <c r="M54" s="6" t="str" cm="1">
        <f t="array" ref="M54">_xlfn.IFS(L54&lt;100,"Economy",L54&lt;200,"Standard",L54&lt;350,"Powerful",L54&lt;500,"High Performance",L54&lt;800,"Sports Performance",L54&gt;=800,"Super Performance")</f>
        <v>Sports Performance</v>
      </c>
    </row>
    <row r="55" spans="1:13" x14ac:dyDescent="0.25">
      <c r="A55" s="5" t="s">
        <v>146</v>
      </c>
      <c r="B55" s="3" t="s">
        <v>585</v>
      </c>
      <c r="C55" s="3" t="s">
        <v>1146</v>
      </c>
      <c r="D55" s="4">
        <v>32522000</v>
      </c>
      <c r="E55" s="3">
        <v>4999</v>
      </c>
      <c r="F55" s="3">
        <v>8</v>
      </c>
      <c r="G55" s="3" t="s">
        <v>10</v>
      </c>
      <c r="H55" s="3" t="s">
        <v>66</v>
      </c>
      <c r="I55" s="3">
        <v>5</v>
      </c>
      <c r="J55" s="3" t="s">
        <v>30</v>
      </c>
      <c r="K55" s="18">
        <v>558</v>
      </c>
      <c r="L55" s="16">
        <v>700</v>
      </c>
      <c r="M55" s="6" t="str" cm="1">
        <f t="array" ref="M55">_xlfn.IFS(L55&lt;100,"Economy",L55&lt;200,"Standard",L55&lt;350,"Powerful",L55&lt;500,"High Performance",L55&lt;800,"Sports Performance",L55&gt;=800,"Super Performance")</f>
        <v>Sports Performance</v>
      </c>
    </row>
    <row r="56" spans="1:13" x14ac:dyDescent="0.25">
      <c r="A56" s="5" t="s">
        <v>259</v>
      </c>
      <c r="B56" s="3" t="s">
        <v>260</v>
      </c>
      <c r="C56" s="3" t="s">
        <v>262</v>
      </c>
      <c r="D56" s="4">
        <v>52000000</v>
      </c>
      <c r="E56" s="3">
        <v>6262</v>
      </c>
      <c r="F56" s="3">
        <v>8</v>
      </c>
      <c r="G56" s="3" t="s">
        <v>10</v>
      </c>
      <c r="H56" s="3" t="s">
        <v>212</v>
      </c>
      <c r="I56" s="3">
        <v>4</v>
      </c>
      <c r="J56" s="3" t="s">
        <v>30</v>
      </c>
      <c r="K56" s="18">
        <v>681</v>
      </c>
      <c r="L56" s="16">
        <v>697</v>
      </c>
      <c r="M56" s="6" t="str" cm="1">
        <f t="array" ref="M56">_xlfn.IFS(L56&lt;100,"Economy",L56&lt;200,"Standard",L56&lt;350,"Powerful",L56&lt;500,"High Performance",L56&lt;800,"Sports Performance",L56&gt;=800,"Super Performance")</f>
        <v>Sports Performance</v>
      </c>
    </row>
    <row r="57" spans="1:13" x14ac:dyDescent="0.25">
      <c r="A57" s="5" t="s">
        <v>85</v>
      </c>
      <c r="B57" s="3" t="s">
        <v>989</v>
      </c>
      <c r="C57" s="3" t="s">
        <v>990</v>
      </c>
      <c r="D57" s="4">
        <v>47893943</v>
      </c>
      <c r="E57" s="3">
        <v>6498</v>
      </c>
      <c r="F57" s="3">
        <v>12</v>
      </c>
      <c r="G57" s="3" t="s">
        <v>10</v>
      </c>
      <c r="H57" s="3" t="s">
        <v>206</v>
      </c>
      <c r="I57" s="3">
        <v>2</v>
      </c>
      <c r="J57" s="3" t="s">
        <v>30</v>
      </c>
      <c r="K57" s="18">
        <v>700</v>
      </c>
      <c r="L57" s="16">
        <v>690</v>
      </c>
      <c r="M57" s="6" t="str" cm="1">
        <f t="array" ref="M57">_xlfn.IFS(L57&lt;100,"Economy",L57&lt;200,"Standard",L57&lt;350,"Powerful",L57&lt;500,"High Performance",L57&lt;800,"Sports Performance",L57&gt;=800,"Super Performance")</f>
        <v>Sports Performance</v>
      </c>
    </row>
    <row r="58" spans="1:13" x14ac:dyDescent="0.25">
      <c r="A58" s="5" t="s">
        <v>85</v>
      </c>
      <c r="B58" s="3" t="s">
        <v>989</v>
      </c>
      <c r="C58" s="3" t="s">
        <v>991</v>
      </c>
      <c r="D58" s="4">
        <v>53210327</v>
      </c>
      <c r="E58" s="3">
        <v>6498</v>
      </c>
      <c r="F58" s="3">
        <v>12</v>
      </c>
      <c r="G58" s="3" t="s">
        <v>10</v>
      </c>
      <c r="H58" s="3" t="s">
        <v>206</v>
      </c>
      <c r="I58" s="3">
        <v>2</v>
      </c>
      <c r="J58" s="3" t="s">
        <v>30</v>
      </c>
      <c r="K58" s="18">
        <v>700</v>
      </c>
      <c r="L58" s="16">
        <v>690</v>
      </c>
      <c r="M58" s="6" t="str" cm="1">
        <f t="array" ref="M58">_xlfn.IFS(L58&lt;100,"Economy",L58&lt;200,"Standard",L58&lt;350,"Powerful",L58&lt;500,"High Performance",L58&lt;800,"Sports Performance",L58&gt;=800,"Super Performance")</f>
        <v>Sports Performance</v>
      </c>
    </row>
    <row r="59" spans="1:13" x14ac:dyDescent="0.25">
      <c r="A59" s="5" t="s">
        <v>85</v>
      </c>
      <c r="B59" s="3" t="s">
        <v>989</v>
      </c>
      <c r="C59" s="3" t="s">
        <v>323</v>
      </c>
      <c r="D59" s="4">
        <v>47467700</v>
      </c>
      <c r="E59" s="3">
        <v>6498</v>
      </c>
      <c r="F59" s="3">
        <v>12</v>
      </c>
      <c r="G59" s="3" t="s">
        <v>10</v>
      </c>
      <c r="H59" s="3" t="s">
        <v>212</v>
      </c>
      <c r="I59" s="3">
        <v>2</v>
      </c>
      <c r="J59" s="3" t="s">
        <v>30</v>
      </c>
      <c r="K59" s="18">
        <v>740</v>
      </c>
      <c r="L59" s="16">
        <v>690</v>
      </c>
      <c r="M59" s="6" t="str" cm="1">
        <f t="array" ref="M59">_xlfn.IFS(L59&lt;100,"Economy",L59&lt;200,"Standard",L59&lt;350,"Powerful",L59&lt;500,"High Performance",L59&lt;800,"Sports Performance",L59&gt;=800,"Super Performance")</f>
        <v>Sports Performance</v>
      </c>
    </row>
    <row r="60" spans="1:13" x14ac:dyDescent="0.25">
      <c r="A60" s="5" t="s">
        <v>280</v>
      </c>
      <c r="B60" s="3" t="s">
        <v>1140</v>
      </c>
      <c r="C60" s="3">
        <v>50</v>
      </c>
      <c r="D60" s="4">
        <v>11129599</v>
      </c>
      <c r="E60" s="3">
        <v>2993</v>
      </c>
      <c r="F60" s="3">
        <v>6</v>
      </c>
      <c r="G60" s="3" t="s">
        <v>36</v>
      </c>
      <c r="H60" s="3" t="s">
        <v>27</v>
      </c>
      <c r="I60" s="3">
        <v>5</v>
      </c>
      <c r="J60" s="3" t="s">
        <v>30</v>
      </c>
      <c r="K60" s="18">
        <v>302</v>
      </c>
      <c r="L60" s="16">
        <v>689</v>
      </c>
      <c r="M60" s="6" t="str" cm="1">
        <f t="array" ref="M60">_xlfn.IFS(L60&lt;100,"Economy",L60&lt;200,"Standard",L60&lt;350,"Powerful",L60&lt;500,"High Performance",L60&lt;800,"Sports Performance",L60&gt;=800,"Super Performance")</f>
        <v>Sports Performance</v>
      </c>
    </row>
    <row r="61" spans="1:13" x14ac:dyDescent="0.25">
      <c r="A61" s="5" t="s">
        <v>377</v>
      </c>
      <c r="B61" s="3" t="s">
        <v>1007</v>
      </c>
      <c r="C61" s="3" t="s">
        <v>212</v>
      </c>
      <c r="D61" s="4">
        <v>29500000</v>
      </c>
      <c r="E61" s="3">
        <v>3982</v>
      </c>
      <c r="F61" s="3">
        <v>8</v>
      </c>
      <c r="G61" s="3" t="s">
        <v>10</v>
      </c>
      <c r="H61" s="3" t="s">
        <v>212</v>
      </c>
      <c r="I61" s="3">
        <v>2</v>
      </c>
      <c r="J61" s="3" t="s">
        <v>30</v>
      </c>
      <c r="K61" s="18">
        <v>505</v>
      </c>
      <c r="L61" s="16">
        <v>685</v>
      </c>
      <c r="M61" s="6" t="str" cm="1">
        <f t="array" ref="M61">_xlfn.IFS(L61&lt;100,"Economy",L61&lt;200,"Standard",L61&lt;350,"Powerful",L61&lt;500,"High Performance",L61&lt;800,"Sports Performance",L61&gt;=800,"Super Performance")</f>
        <v>Sports Performance</v>
      </c>
    </row>
    <row r="62" spans="1:13" x14ac:dyDescent="0.25">
      <c r="A62" s="5" t="s">
        <v>280</v>
      </c>
      <c r="B62" s="3" t="s">
        <v>281</v>
      </c>
      <c r="C62" s="3" t="s">
        <v>1011</v>
      </c>
      <c r="D62" s="4">
        <v>22155390</v>
      </c>
      <c r="E62" s="3">
        <v>5000</v>
      </c>
      <c r="F62" s="3">
        <v>6</v>
      </c>
      <c r="G62" s="3" t="s">
        <v>10</v>
      </c>
      <c r="H62" s="3" t="s">
        <v>212</v>
      </c>
      <c r="I62" s="3">
        <v>2</v>
      </c>
      <c r="J62" s="3" t="s">
        <v>30</v>
      </c>
      <c r="K62" s="18">
        <v>550</v>
      </c>
      <c r="L62" s="16">
        <v>680</v>
      </c>
      <c r="M62" s="6" t="str" cm="1">
        <f t="array" ref="M62">_xlfn.IFS(L62&lt;100,"Economy",L62&lt;200,"Standard",L62&lt;350,"Powerful",L62&lt;500,"High Performance",L62&lt;800,"Sports Performance",L62&gt;=800,"Super Performance")</f>
        <v>Sports Performance</v>
      </c>
    </row>
    <row r="63" spans="1:13" x14ac:dyDescent="0.25">
      <c r="A63" s="5" t="s">
        <v>88</v>
      </c>
      <c r="B63" s="3" t="s">
        <v>1013</v>
      </c>
      <c r="C63" s="3" t="s">
        <v>87</v>
      </c>
      <c r="D63" s="4">
        <v>34167064</v>
      </c>
      <c r="E63" s="3">
        <v>3993</v>
      </c>
      <c r="F63" s="3">
        <v>8</v>
      </c>
      <c r="G63" s="3" t="s">
        <v>10</v>
      </c>
      <c r="H63" s="3" t="s">
        <v>27</v>
      </c>
      <c r="I63" s="3">
        <v>4</v>
      </c>
      <c r="J63" s="3" t="s">
        <v>30</v>
      </c>
      <c r="K63" s="18">
        <v>507</v>
      </c>
      <c r="L63" s="16">
        <v>660</v>
      </c>
      <c r="M63" s="6" t="str" cm="1">
        <f t="array" ref="M63">_xlfn.IFS(L63&lt;100,"Economy",L63&lt;200,"Standard",L63&lt;350,"Powerful",L63&lt;500,"High Performance",L63&lt;800,"Sports Performance",L63&gt;=800,"Super Performance")</f>
        <v>Sports Performance</v>
      </c>
    </row>
    <row r="64" spans="1:13" x14ac:dyDescent="0.25">
      <c r="A64" s="5" t="s">
        <v>170</v>
      </c>
      <c r="B64" s="3" t="s">
        <v>309</v>
      </c>
      <c r="C64" s="3" t="s">
        <v>87</v>
      </c>
      <c r="D64" s="4">
        <v>23290000</v>
      </c>
      <c r="E64" s="3">
        <v>4461</v>
      </c>
      <c r="F64" s="3">
        <v>0</v>
      </c>
      <c r="G64" s="3" t="s">
        <v>36</v>
      </c>
      <c r="H64" s="3" t="s">
        <v>66</v>
      </c>
      <c r="I64" s="3">
        <v>7</v>
      </c>
      <c r="J64" s="3" t="s">
        <v>30</v>
      </c>
      <c r="K64" s="18">
        <v>261</v>
      </c>
      <c r="L64" s="16">
        <v>650</v>
      </c>
      <c r="M64" s="6" t="str" cm="1">
        <f t="array" ref="M64">_xlfn.IFS(L64&lt;100,"Economy",L64&lt;200,"Standard",L64&lt;350,"Powerful",L64&lt;500,"High Performance",L64&lt;800,"Sports Performance",L64&gt;=800,"Super Performance")</f>
        <v>Sports Performance</v>
      </c>
    </row>
    <row r="65" spans="1:13" x14ac:dyDescent="0.25">
      <c r="A65" s="5" t="s">
        <v>90</v>
      </c>
      <c r="B65" s="3" t="s">
        <v>322</v>
      </c>
      <c r="C65" s="3" t="s">
        <v>323</v>
      </c>
      <c r="D65" s="4">
        <v>21583466</v>
      </c>
      <c r="E65" s="3">
        <v>3982</v>
      </c>
      <c r="F65" s="3">
        <v>8</v>
      </c>
      <c r="G65" s="3" t="s">
        <v>10</v>
      </c>
      <c r="H65" s="3" t="s">
        <v>212</v>
      </c>
      <c r="I65" s="3">
        <v>2</v>
      </c>
      <c r="J65" s="3" t="s">
        <v>30</v>
      </c>
      <c r="K65" s="18">
        <v>510</v>
      </c>
      <c r="L65" s="16">
        <v>650</v>
      </c>
      <c r="M65" s="6" t="str" cm="1">
        <f t="array" ref="M65">_xlfn.IFS(L65&lt;100,"Economy",L65&lt;200,"Standard",L65&lt;350,"Powerful",L65&lt;500,"High Performance",L65&lt;800,"Sports Performance",L65&gt;=800,"Super Performance")</f>
        <v>Sports Performance</v>
      </c>
    </row>
    <row r="66" spans="1:13" x14ac:dyDescent="0.25">
      <c r="A66" s="5" t="s">
        <v>55</v>
      </c>
      <c r="B66" s="3" t="s">
        <v>1029</v>
      </c>
      <c r="C66" s="3" t="s">
        <v>816</v>
      </c>
      <c r="D66" s="4">
        <v>14699000</v>
      </c>
      <c r="E66" s="3">
        <v>4461</v>
      </c>
      <c r="F66" s="3">
        <v>8</v>
      </c>
      <c r="G66" s="3" t="s">
        <v>36</v>
      </c>
      <c r="H66" s="3" t="s">
        <v>66</v>
      </c>
      <c r="I66" s="3">
        <v>7</v>
      </c>
      <c r="J66" s="3" t="s">
        <v>30</v>
      </c>
      <c r="K66" s="18">
        <v>265</v>
      </c>
      <c r="L66" s="16">
        <v>650</v>
      </c>
      <c r="M66" s="6" t="str" cm="1">
        <f t="array" ref="M66">_xlfn.IFS(L66&lt;100,"Economy",L66&lt;200,"Standard",L66&lt;350,"Powerful",L66&lt;500,"High Performance",L66&lt;800,"Sports Performance",L66&gt;=800,"Super Performance")</f>
        <v>Sports Performance</v>
      </c>
    </row>
    <row r="67" spans="1:13" x14ac:dyDescent="0.25">
      <c r="A67" s="5" t="s">
        <v>382</v>
      </c>
      <c r="B67" s="3" t="s">
        <v>441</v>
      </c>
      <c r="C67" s="3" t="s">
        <v>444</v>
      </c>
      <c r="D67" s="4">
        <v>13124000</v>
      </c>
      <c r="E67" s="3">
        <v>1969</v>
      </c>
      <c r="F67" s="3">
        <v>4</v>
      </c>
      <c r="G67" s="3" t="s">
        <v>194</v>
      </c>
      <c r="H67" s="3" t="s">
        <v>66</v>
      </c>
      <c r="I67" s="3">
        <v>4</v>
      </c>
      <c r="J67" s="3" t="s">
        <v>30</v>
      </c>
      <c r="K67" s="18">
        <v>407</v>
      </c>
      <c r="L67" s="16">
        <v>640</v>
      </c>
      <c r="M67" s="6" t="str" cm="1">
        <f t="array" ref="M67">_xlfn.IFS(L67&lt;100,"Economy",L67&lt;200,"Standard",L67&lt;350,"Powerful",L67&lt;500,"High Performance",L67&lt;800,"Sports Performance",L67&gt;=800,"Super Performance")</f>
        <v>Sports Performance</v>
      </c>
    </row>
    <row r="68" spans="1:13" x14ac:dyDescent="0.25">
      <c r="A68" s="5" t="s">
        <v>330</v>
      </c>
      <c r="B68" s="3" t="s">
        <v>399</v>
      </c>
      <c r="C68" s="3" t="s">
        <v>400</v>
      </c>
      <c r="D68" s="4">
        <v>21240272</v>
      </c>
      <c r="E68" s="3">
        <v>3799</v>
      </c>
      <c r="F68" s="3">
        <v>6</v>
      </c>
      <c r="G68" s="3" t="s">
        <v>10</v>
      </c>
      <c r="H68" s="3" t="s">
        <v>212</v>
      </c>
      <c r="I68" s="3">
        <v>4</v>
      </c>
      <c r="J68" s="3" t="s">
        <v>30</v>
      </c>
      <c r="K68" s="18">
        <v>570</v>
      </c>
      <c r="L68" s="16">
        <v>637</v>
      </c>
      <c r="M68" s="6" t="str" cm="1">
        <f t="array" ref="M68">_xlfn.IFS(L68&lt;100,"Economy",L68&lt;200,"Standard",L68&lt;350,"Powerful",L68&lt;500,"High Performance",L68&lt;800,"Sports Performance",L68&gt;=800,"Super Performance")</f>
        <v>Sports Performance</v>
      </c>
    </row>
    <row r="69" spans="1:13" x14ac:dyDescent="0.25">
      <c r="A69" s="5" t="s">
        <v>90</v>
      </c>
      <c r="B69" s="3" t="s">
        <v>322</v>
      </c>
      <c r="C69" s="3" t="s">
        <v>325</v>
      </c>
      <c r="D69" s="4">
        <v>22733626</v>
      </c>
      <c r="E69" s="3">
        <v>3982</v>
      </c>
      <c r="F69" s="3">
        <v>8</v>
      </c>
      <c r="G69" s="3" t="s">
        <v>10</v>
      </c>
      <c r="H69" s="3" t="s">
        <v>212</v>
      </c>
      <c r="I69" s="3">
        <v>2</v>
      </c>
      <c r="J69" s="3" t="s">
        <v>30</v>
      </c>
      <c r="K69" s="18">
        <v>476</v>
      </c>
      <c r="L69" s="16">
        <v>630</v>
      </c>
      <c r="M69" s="6" t="str" cm="1">
        <f t="array" ref="M69">_xlfn.IFS(L69&lt;100,"Economy",L69&lt;200,"Standard",L69&lt;350,"Powerful",L69&lt;500,"High Performance",L69&lt;800,"Sports Performance",L69&gt;=800,"Super Performance")</f>
        <v>Sports Performance</v>
      </c>
    </row>
    <row r="70" spans="1:13" x14ac:dyDescent="0.25">
      <c r="A70" s="5" t="s">
        <v>377</v>
      </c>
      <c r="B70" s="3" t="s">
        <v>1008</v>
      </c>
      <c r="C70" s="3" t="s">
        <v>1009</v>
      </c>
      <c r="D70" s="4">
        <v>38845823</v>
      </c>
      <c r="E70" s="3">
        <v>5935</v>
      </c>
      <c r="F70" s="3">
        <v>12</v>
      </c>
      <c r="G70" s="3" t="s">
        <v>10</v>
      </c>
      <c r="H70" s="3" t="s">
        <v>27</v>
      </c>
      <c r="I70" s="3">
        <v>4</v>
      </c>
      <c r="J70" s="3" t="s">
        <v>30</v>
      </c>
      <c r="K70" s="18">
        <v>560</v>
      </c>
      <c r="L70" s="16">
        <v>630</v>
      </c>
      <c r="M70" s="6" t="str" cm="1">
        <f t="array" ref="M70">_xlfn.IFS(L70&lt;100,"Economy",L70&lt;200,"Standard",L70&lt;350,"Powerful",L70&lt;500,"High Performance",L70&lt;800,"Sports Performance",L70&gt;=800,"Super Performance")</f>
        <v>Sports Performance</v>
      </c>
    </row>
    <row r="71" spans="1:13" x14ac:dyDescent="0.25">
      <c r="A71" s="5" t="s">
        <v>146</v>
      </c>
      <c r="B71" s="3" t="s">
        <v>147</v>
      </c>
      <c r="C71" s="3" t="s">
        <v>149</v>
      </c>
      <c r="D71" s="4">
        <v>17940227</v>
      </c>
      <c r="E71" s="3">
        <v>4999</v>
      </c>
      <c r="F71" s="3">
        <v>8</v>
      </c>
      <c r="G71" s="3" t="s">
        <v>10</v>
      </c>
      <c r="H71" s="3" t="s">
        <v>66</v>
      </c>
      <c r="I71" s="3">
        <v>5</v>
      </c>
      <c r="J71" s="3" t="s">
        <v>30</v>
      </c>
      <c r="K71" s="18">
        <v>518</v>
      </c>
      <c r="L71" s="16">
        <v>625</v>
      </c>
      <c r="M71" s="6" t="str" cm="1">
        <f t="array" ref="M71">_xlfn.IFS(L71&lt;100,"Economy",L71&lt;200,"Standard",L71&lt;350,"Powerful",L71&lt;500,"High Performance",L71&lt;800,"Sports Performance",L71&gt;=800,"Super Performance")</f>
        <v>Sports Performance</v>
      </c>
    </row>
    <row r="72" spans="1:13" x14ac:dyDescent="0.25">
      <c r="A72" s="5" t="s">
        <v>280</v>
      </c>
      <c r="B72" s="3" t="s">
        <v>281</v>
      </c>
      <c r="C72" s="3" t="s">
        <v>342</v>
      </c>
      <c r="D72" s="4">
        <v>23659454</v>
      </c>
      <c r="E72" s="3">
        <v>5000</v>
      </c>
      <c r="F72" s="3">
        <v>0</v>
      </c>
      <c r="G72" s="3" t="s">
        <v>10</v>
      </c>
      <c r="H72" s="3" t="s">
        <v>206</v>
      </c>
      <c r="I72" s="3">
        <v>2</v>
      </c>
      <c r="J72" s="3" t="s">
        <v>30</v>
      </c>
      <c r="K72" s="18">
        <v>495</v>
      </c>
      <c r="L72" s="16">
        <v>625</v>
      </c>
      <c r="M72" s="6" t="str" cm="1">
        <f t="array" ref="M72">_xlfn.IFS(L72&lt;100,"Economy",L72&lt;200,"Standard",L72&lt;350,"Powerful",L72&lt;500,"High Performance",L72&lt;800,"Sports Performance",L72&gt;=800,"Super Performance")</f>
        <v>Sports Performance</v>
      </c>
    </row>
    <row r="73" spans="1:13" x14ac:dyDescent="0.25">
      <c r="A73" s="5" t="s">
        <v>146</v>
      </c>
      <c r="B73" s="3" t="s">
        <v>585</v>
      </c>
      <c r="C73" s="3" t="s">
        <v>1030</v>
      </c>
      <c r="D73" s="4">
        <v>26037526</v>
      </c>
      <c r="E73" s="3">
        <v>4999</v>
      </c>
      <c r="F73" s="3">
        <v>8</v>
      </c>
      <c r="G73" s="3" t="s">
        <v>10</v>
      </c>
      <c r="H73" s="3" t="s">
        <v>66</v>
      </c>
      <c r="I73" s="3">
        <v>7</v>
      </c>
      <c r="J73" s="3" t="s">
        <v>30</v>
      </c>
      <c r="K73" s="18">
        <v>518</v>
      </c>
      <c r="L73" s="16">
        <v>625</v>
      </c>
      <c r="M73" s="6" t="str" cm="1">
        <f t="array" ref="M73">_xlfn.IFS(L73&lt;100,"Economy",L73&lt;200,"Standard",L73&lt;350,"Powerful",L73&lt;500,"High Performance",L73&lt;800,"Sports Performance",L73&gt;=800,"Super Performance")</f>
        <v>Sports Performance</v>
      </c>
    </row>
    <row r="74" spans="1:13" x14ac:dyDescent="0.25">
      <c r="A74" s="5" t="s">
        <v>63</v>
      </c>
      <c r="B74" s="3" t="s">
        <v>83</v>
      </c>
      <c r="C74" s="3" t="s">
        <v>376</v>
      </c>
      <c r="D74" s="4">
        <v>11400000</v>
      </c>
      <c r="E74" s="3">
        <v>6417</v>
      </c>
      <c r="F74" s="3">
        <v>8</v>
      </c>
      <c r="G74" s="3" t="s">
        <v>10</v>
      </c>
      <c r="H74" s="3" t="s">
        <v>66</v>
      </c>
      <c r="I74" s="3">
        <v>5</v>
      </c>
      <c r="J74" s="3" t="s">
        <v>30</v>
      </c>
      <c r="K74" s="18">
        <v>468</v>
      </c>
      <c r="L74" s="16">
        <v>624</v>
      </c>
      <c r="M74" s="6" t="str" cm="1">
        <f t="array" ref="M74">_xlfn.IFS(L74&lt;100,"Economy",L74&lt;200,"Standard",L74&lt;350,"Powerful",L74&lt;500,"High Performance",L74&lt;800,"Sports Performance",L74&gt;=800,"Super Performance")</f>
        <v>Sports Performance</v>
      </c>
    </row>
    <row r="75" spans="1:13" x14ac:dyDescent="0.25">
      <c r="A75" s="5" t="s">
        <v>1394</v>
      </c>
      <c r="B75" s="3" t="s">
        <v>79</v>
      </c>
      <c r="C75" s="3" t="s">
        <v>80</v>
      </c>
      <c r="D75" s="4">
        <v>7330000</v>
      </c>
      <c r="E75" s="3">
        <v>2993</v>
      </c>
      <c r="F75" s="3">
        <v>6</v>
      </c>
      <c r="G75" s="3" t="s">
        <v>36</v>
      </c>
      <c r="H75" s="3" t="s">
        <v>66</v>
      </c>
      <c r="I75" s="3">
        <v>5</v>
      </c>
      <c r="J75" s="3" t="s">
        <v>30</v>
      </c>
      <c r="K75" s="18">
        <v>265</v>
      </c>
      <c r="L75" s="16">
        <v>620</v>
      </c>
      <c r="M75" s="6" t="str" cm="1">
        <f t="array" ref="M75">_xlfn.IFS(L75&lt;100,"Economy",L75&lt;200,"Standard",L75&lt;350,"Powerful",L75&lt;500,"High Performance",L75&lt;800,"Sports Performance",L75&gt;=800,"Super Performance")</f>
        <v>Sports Performance</v>
      </c>
    </row>
    <row r="76" spans="1:13" x14ac:dyDescent="0.25">
      <c r="A76" s="5" t="s">
        <v>1394</v>
      </c>
      <c r="B76" s="3" t="s">
        <v>79</v>
      </c>
      <c r="C76" s="3" t="s">
        <v>81</v>
      </c>
      <c r="D76" s="4">
        <v>8290000</v>
      </c>
      <c r="E76" s="3">
        <v>2993</v>
      </c>
      <c r="F76" s="3">
        <v>6</v>
      </c>
      <c r="G76" s="3" t="s">
        <v>36</v>
      </c>
      <c r="H76" s="3" t="s">
        <v>66</v>
      </c>
      <c r="I76" s="3">
        <v>5</v>
      </c>
      <c r="J76" s="3" t="s">
        <v>30</v>
      </c>
      <c r="K76" s="18">
        <v>265</v>
      </c>
      <c r="L76" s="16">
        <v>620</v>
      </c>
      <c r="M76" s="6" t="str" cm="1">
        <f t="array" ref="M76">_xlfn.IFS(L76&lt;100,"Economy",L76&lt;200,"Standard",L76&lt;350,"Powerful",L76&lt;500,"High Performance",L76&lt;800,"Sports Performance",L76&gt;=800,"Super Performance")</f>
        <v>Sports Performance</v>
      </c>
    </row>
    <row r="77" spans="1:13" x14ac:dyDescent="0.25">
      <c r="A77" s="5" t="s">
        <v>78</v>
      </c>
      <c r="B77" s="3" t="s">
        <v>275</v>
      </c>
      <c r="C77" s="3" t="s">
        <v>277</v>
      </c>
      <c r="D77" s="4">
        <v>10250000</v>
      </c>
      <c r="E77" s="3">
        <v>2993</v>
      </c>
      <c r="F77" s="3">
        <v>6</v>
      </c>
      <c r="G77" s="3" t="s">
        <v>36</v>
      </c>
      <c r="H77" s="3" t="s">
        <v>66</v>
      </c>
      <c r="I77" s="3">
        <v>7</v>
      </c>
      <c r="J77" s="3" t="s">
        <v>30</v>
      </c>
      <c r="K77" s="18">
        <v>262</v>
      </c>
      <c r="L77" s="16">
        <v>620</v>
      </c>
      <c r="M77" s="6" t="str" cm="1">
        <f t="array" ref="M77">_xlfn.IFS(L77&lt;100,"Economy",L77&lt;200,"Standard",L77&lt;350,"Powerful",L77&lt;500,"High Performance",L77&lt;800,"Sports Performance",L77&gt;=800,"Super Performance")</f>
        <v>Sports Performance</v>
      </c>
    </row>
    <row r="78" spans="1:13" x14ac:dyDescent="0.25">
      <c r="A78" s="5" t="s">
        <v>90</v>
      </c>
      <c r="B78" s="3" t="s">
        <v>386</v>
      </c>
      <c r="C78" s="3" t="s">
        <v>387</v>
      </c>
      <c r="D78" s="4">
        <v>7285332</v>
      </c>
      <c r="E78" s="3">
        <v>2987</v>
      </c>
      <c r="F78" s="3">
        <v>6</v>
      </c>
      <c r="G78" s="3" t="s">
        <v>36</v>
      </c>
      <c r="H78" s="3" t="s">
        <v>27</v>
      </c>
      <c r="I78" s="3">
        <v>5</v>
      </c>
      <c r="J78" s="3" t="s">
        <v>30</v>
      </c>
      <c r="K78" s="18">
        <v>268.7</v>
      </c>
      <c r="L78" s="16">
        <v>620</v>
      </c>
      <c r="M78" s="6" t="str" cm="1">
        <f t="array" ref="M78">_xlfn.IFS(L78&lt;100,"Economy",L78&lt;200,"Standard",L78&lt;350,"Powerful",L78&lt;500,"High Performance",L78&lt;800,"Sports Performance",L78&gt;=800,"Super Performance")</f>
        <v>Sports Performance</v>
      </c>
    </row>
    <row r="79" spans="1:13" x14ac:dyDescent="0.25">
      <c r="A79" s="5" t="s">
        <v>78</v>
      </c>
      <c r="B79" s="3" t="s">
        <v>592</v>
      </c>
      <c r="C79" s="3" t="s">
        <v>593</v>
      </c>
      <c r="D79" s="4">
        <v>6890000</v>
      </c>
      <c r="E79" s="3">
        <v>2993</v>
      </c>
      <c r="F79" s="3">
        <v>6</v>
      </c>
      <c r="G79" s="3" t="s">
        <v>36</v>
      </c>
      <c r="H79" s="3" t="s">
        <v>27</v>
      </c>
      <c r="I79" s="3">
        <v>4</v>
      </c>
      <c r="J79" s="3" t="s">
        <v>30</v>
      </c>
      <c r="K79" s="18">
        <v>265</v>
      </c>
      <c r="L79" s="16">
        <v>620</v>
      </c>
      <c r="M79" s="6" t="str" cm="1">
        <f t="array" ref="M79">_xlfn.IFS(L79&lt;100,"Economy",L79&lt;200,"Standard",L79&lt;350,"Powerful",L79&lt;500,"High Performance",L79&lt;800,"Sports Performance",L79&gt;=800,"Super Performance")</f>
        <v>Sports Performance</v>
      </c>
    </row>
    <row r="80" spans="1:13" x14ac:dyDescent="0.25">
      <c r="A80" s="5" t="s">
        <v>78</v>
      </c>
      <c r="B80" s="3" t="s">
        <v>592</v>
      </c>
      <c r="C80" s="3" t="s">
        <v>594</v>
      </c>
      <c r="D80" s="4">
        <v>7450000</v>
      </c>
      <c r="E80" s="3">
        <v>2993</v>
      </c>
      <c r="F80" s="3">
        <v>6</v>
      </c>
      <c r="G80" s="3" t="s">
        <v>36</v>
      </c>
      <c r="H80" s="3" t="s">
        <v>27</v>
      </c>
      <c r="I80" s="3">
        <v>4</v>
      </c>
      <c r="J80" s="3" t="s">
        <v>30</v>
      </c>
      <c r="K80" s="18">
        <v>265</v>
      </c>
      <c r="L80" s="16">
        <v>620</v>
      </c>
      <c r="M80" s="6" t="str" cm="1">
        <f t="array" ref="M80">_xlfn.IFS(L80&lt;100,"Economy",L80&lt;200,"Standard",L80&lt;350,"Powerful",L80&lt;500,"High Performance",L80&lt;800,"Sports Performance",L80&gt;=800,"Super Performance")</f>
        <v>Sports Performance</v>
      </c>
    </row>
    <row r="81" spans="1:13" x14ac:dyDescent="0.25">
      <c r="A81" s="5" t="s">
        <v>90</v>
      </c>
      <c r="B81" s="3" t="s">
        <v>386</v>
      </c>
      <c r="C81" s="3" t="s">
        <v>656</v>
      </c>
      <c r="D81" s="4">
        <v>5964321</v>
      </c>
      <c r="E81" s="3">
        <v>2987</v>
      </c>
      <c r="F81" s="3">
        <v>6</v>
      </c>
      <c r="G81" s="3" t="s">
        <v>36</v>
      </c>
      <c r="H81" s="3" t="s">
        <v>27</v>
      </c>
      <c r="I81" s="3">
        <v>5</v>
      </c>
      <c r="J81" s="3" t="s">
        <v>30</v>
      </c>
      <c r="K81" s="18">
        <v>268.7</v>
      </c>
      <c r="L81" s="16">
        <v>620</v>
      </c>
      <c r="M81" s="6" t="str" cm="1">
        <f t="array" ref="M81">_xlfn.IFS(L81&lt;100,"Economy",L81&lt;200,"Standard",L81&lt;350,"Powerful",L81&lt;500,"High Performance",L81&lt;800,"Sports Performance",L81&gt;=800,"Super Performance")</f>
        <v>Sports Performance</v>
      </c>
    </row>
    <row r="82" spans="1:13" x14ac:dyDescent="0.25">
      <c r="A82" s="5" t="s">
        <v>90</v>
      </c>
      <c r="B82" s="3" t="s">
        <v>386</v>
      </c>
      <c r="C82" s="3" t="s">
        <v>657</v>
      </c>
      <c r="D82" s="4">
        <v>5850000</v>
      </c>
      <c r="E82" s="3">
        <v>2987</v>
      </c>
      <c r="F82" s="3">
        <v>6</v>
      </c>
      <c r="G82" s="3" t="s">
        <v>36</v>
      </c>
      <c r="H82" s="3" t="s">
        <v>27</v>
      </c>
      <c r="I82" s="3">
        <v>5</v>
      </c>
      <c r="J82" s="3" t="s">
        <v>30</v>
      </c>
      <c r="K82" s="18">
        <v>268.7</v>
      </c>
      <c r="L82" s="16">
        <v>620</v>
      </c>
      <c r="M82" s="6" t="str" cm="1">
        <f t="array" ref="M82">_xlfn.IFS(L82&lt;100,"Economy",L82&lt;200,"Standard",L82&lt;350,"Powerful",L82&lt;500,"High Performance",L82&lt;800,"Sports Performance",L82&gt;=800,"Super Performance")</f>
        <v>Sports Performance</v>
      </c>
    </row>
    <row r="83" spans="1:13" x14ac:dyDescent="0.25">
      <c r="A83" s="5" t="s">
        <v>90</v>
      </c>
      <c r="B83" s="3" t="s">
        <v>386</v>
      </c>
      <c r="C83" s="3" t="s">
        <v>658</v>
      </c>
      <c r="D83" s="4">
        <v>6250000</v>
      </c>
      <c r="E83" s="3">
        <v>2987</v>
      </c>
      <c r="F83" s="3">
        <v>6</v>
      </c>
      <c r="G83" s="3" t="s">
        <v>36</v>
      </c>
      <c r="H83" s="3" t="s">
        <v>27</v>
      </c>
      <c r="I83" s="3">
        <v>5</v>
      </c>
      <c r="J83" s="3" t="s">
        <v>30</v>
      </c>
      <c r="K83" s="18">
        <v>268.7</v>
      </c>
      <c r="L83" s="16">
        <v>620</v>
      </c>
      <c r="M83" s="6" t="str" cm="1">
        <f t="array" ref="M83">_xlfn.IFS(L83&lt;100,"Economy",L83&lt;200,"Standard",L83&lt;350,"Powerful",L83&lt;500,"High Performance",L83&lt;800,"Sports Performance",L83&gt;=800,"Super Performance")</f>
        <v>Sports Performance</v>
      </c>
    </row>
    <row r="84" spans="1:13" x14ac:dyDescent="0.25">
      <c r="A84" s="5" t="s">
        <v>78</v>
      </c>
      <c r="B84" s="3" t="s">
        <v>659</v>
      </c>
      <c r="C84" s="3" t="s">
        <v>660</v>
      </c>
      <c r="D84" s="4">
        <v>6590000</v>
      </c>
      <c r="E84" s="3">
        <v>2993</v>
      </c>
      <c r="F84" s="3">
        <v>6</v>
      </c>
      <c r="G84" s="3" t="s">
        <v>36</v>
      </c>
      <c r="H84" s="3" t="s">
        <v>66</v>
      </c>
      <c r="I84" s="3">
        <v>5</v>
      </c>
      <c r="J84" s="3" t="s">
        <v>30</v>
      </c>
      <c r="K84" s="18">
        <v>265</v>
      </c>
      <c r="L84" s="16">
        <v>620</v>
      </c>
      <c r="M84" s="6" t="str" cm="1">
        <f t="array" ref="M84">_xlfn.IFS(L84&lt;100,"Economy",L84&lt;200,"Standard",L84&lt;350,"Powerful",L84&lt;500,"High Performance",L84&lt;800,"Sports Performance",L84&gt;=800,"Super Performance")</f>
        <v>Sports Performance</v>
      </c>
    </row>
    <row r="85" spans="1:13" x14ac:dyDescent="0.25">
      <c r="A85" s="5" t="s">
        <v>78</v>
      </c>
      <c r="B85" s="3" t="s">
        <v>558</v>
      </c>
      <c r="C85" s="3" t="s">
        <v>945</v>
      </c>
      <c r="D85" s="4">
        <v>12290000</v>
      </c>
      <c r="E85" s="3">
        <v>2993</v>
      </c>
      <c r="F85" s="3">
        <v>6</v>
      </c>
      <c r="G85" s="3" t="s">
        <v>36</v>
      </c>
      <c r="H85" s="3" t="s">
        <v>27</v>
      </c>
      <c r="I85" s="3">
        <v>4</v>
      </c>
      <c r="J85" s="3" t="s">
        <v>30</v>
      </c>
      <c r="K85" s="18">
        <v>265</v>
      </c>
      <c r="L85" s="16">
        <v>620</v>
      </c>
      <c r="M85" s="6" t="str" cm="1">
        <f t="array" ref="M85">_xlfn.IFS(L85&lt;100,"Economy",L85&lt;200,"Standard",L85&lt;350,"Powerful",L85&lt;500,"High Performance",L85&lt;800,"Sports Performance",L85&gt;=800,"Super Performance")</f>
        <v>Sports Performance</v>
      </c>
    </row>
    <row r="86" spans="1:13" x14ac:dyDescent="0.25">
      <c r="A86" s="5" t="s">
        <v>78</v>
      </c>
      <c r="B86" s="3" t="s">
        <v>558</v>
      </c>
      <c r="C86" s="3" t="s">
        <v>946</v>
      </c>
      <c r="D86" s="4">
        <v>13200000</v>
      </c>
      <c r="E86" s="3">
        <v>2993</v>
      </c>
      <c r="F86" s="3">
        <v>6</v>
      </c>
      <c r="G86" s="3" t="s">
        <v>36</v>
      </c>
      <c r="H86" s="3" t="s">
        <v>27</v>
      </c>
      <c r="I86" s="3">
        <v>4</v>
      </c>
      <c r="J86" s="3" t="s">
        <v>30</v>
      </c>
      <c r="K86" s="18">
        <v>265</v>
      </c>
      <c r="L86" s="16">
        <v>620</v>
      </c>
      <c r="M86" s="6" t="str" cm="1">
        <f t="array" ref="M86">_xlfn.IFS(L86&lt;100,"Economy",L86&lt;200,"Standard",L86&lt;350,"Powerful",L86&lt;500,"High Performance",L86&lt;800,"Sports Performance",L86&gt;=800,"Super Performance")</f>
        <v>Sports Performance</v>
      </c>
    </row>
    <row r="87" spans="1:13" x14ac:dyDescent="0.25">
      <c r="A87" s="5" t="s">
        <v>78</v>
      </c>
      <c r="B87" s="3" t="s">
        <v>558</v>
      </c>
      <c r="C87" s="3" t="s">
        <v>947</v>
      </c>
      <c r="D87" s="4">
        <v>13510000</v>
      </c>
      <c r="E87" s="3">
        <v>2993</v>
      </c>
      <c r="F87" s="3">
        <v>6</v>
      </c>
      <c r="G87" s="3" t="s">
        <v>36</v>
      </c>
      <c r="H87" s="3" t="s">
        <v>27</v>
      </c>
      <c r="I87" s="3">
        <v>4</v>
      </c>
      <c r="J87" s="3" t="s">
        <v>30</v>
      </c>
      <c r="K87" s="18">
        <v>265</v>
      </c>
      <c r="L87" s="16">
        <v>620</v>
      </c>
      <c r="M87" s="6" t="str" cm="1">
        <f t="array" ref="M87">_xlfn.IFS(L87&lt;100,"Economy",L87&lt;200,"Standard",L87&lt;350,"Powerful",L87&lt;500,"High Performance",L87&lt;800,"Sports Performance",L87&gt;=800,"Super Performance")</f>
        <v>Sports Performance</v>
      </c>
    </row>
    <row r="88" spans="1:13" x14ac:dyDescent="0.25">
      <c r="A88" s="5" t="s">
        <v>90</v>
      </c>
      <c r="B88" s="3" t="s">
        <v>948</v>
      </c>
      <c r="C88" s="3" t="s">
        <v>1125</v>
      </c>
      <c r="D88" s="4">
        <v>13558438</v>
      </c>
      <c r="E88" s="3">
        <v>2987</v>
      </c>
      <c r="F88" s="3">
        <v>6</v>
      </c>
      <c r="G88" s="3" t="s">
        <v>36</v>
      </c>
      <c r="H88" s="3" t="s">
        <v>27</v>
      </c>
      <c r="I88" s="3">
        <v>5</v>
      </c>
      <c r="J88" s="3" t="s">
        <v>30</v>
      </c>
      <c r="K88" s="18">
        <v>258</v>
      </c>
      <c r="L88" s="16">
        <v>620</v>
      </c>
      <c r="M88" s="6" t="str" cm="1">
        <f t="array" ref="M88">_xlfn.IFS(L88&lt;100,"Economy",L88&lt;200,"Standard",L88&lt;350,"Powerful",L88&lt;500,"High Performance",L88&lt;800,"Sports Performance",L88&gt;=800,"Super Performance")</f>
        <v>Sports Performance</v>
      </c>
    </row>
    <row r="89" spans="1:13" x14ac:dyDescent="0.25">
      <c r="A89" s="5" t="s">
        <v>90</v>
      </c>
      <c r="B89" s="3" t="s">
        <v>1015</v>
      </c>
      <c r="C89" s="3" t="s">
        <v>1123</v>
      </c>
      <c r="D89" s="4">
        <v>8820000</v>
      </c>
      <c r="E89" s="3">
        <v>2987</v>
      </c>
      <c r="F89" s="3">
        <v>6</v>
      </c>
      <c r="G89" s="3" t="s">
        <v>36</v>
      </c>
      <c r="H89" s="3" t="s">
        <v>66</v>
      </c>
      <c r="I89" s="3">
        <v>5</v>
      </c>
      <c r="J89" s="3" t="s">
        <v>30</v>
      </c>
      <c r="K89" s="18">
        <v>258</v>
      </c>
      <c r="L89" s="16">
        <v>619</v>
      </c>
      <c r="M89" s="6" t="str" cm="1">
        <f t="array" ref="M89">_xlfn.IFS(L89&lt;100,"Economy",L89&lt;200,"Standard",L89&lt;350,"Powerful",L89&lt;500,"High Performance",L89&lt;800,"Sports Performance",L89&gt;=800,"Super Performance")</f>
        <v>Sports Performance</v>
      </c>
    </row>
    <row r="90" spans="1:13" x14ac:dyDescent="0.25">
      <c r="A90" s="5" t="s">
        <v>90</v>
      </c>
      <c r="B90" s="3" t="s">
        <v>1015</v>
      </c>
      <c r="C90" s="3" t="s">
        <v>1124</v>
      </c>
      <c r="D90" s="4">
        <v>8690000</v>
      </c>
      <c r="E90" s="3">
        <v>2987</v>
      </c>
      <c r="F90" s="3">
        <v>6</v>
      </c>
      <c r="G90" s="3" t="s">
        <v>36</v>
      </c>
      <c r="H90" s="3" t="s">
        <v>66</v>
      </c>
      <c r="I90" s="3">
        <v>5</v>
      </c>
      <c r="J90" s="3" t="s">
        <v>30</v>
      </c>
      <c r="K90" s="18">
        <v>258</v>
      </c>
      <c r="L90" s="16">
        <v>619</v>
      </c>
      <c r="M90" s="6" t="str" cm="1">
        <f t="array" ref="M90">_xlfn.IFS(L90&lt;100,"Economy",L90&lt;200,"Standard",L90&lt;350,"Powerful",L90&lt;500,"High Performance",L90&lt;800,"Sports Performance",L90&gt;=800,"Super Performance")</f>
        <v>Sports Performance</v>
      </c>
    </row>
    <row r="91" spans="1:13" x14ac:dyDescent="0.25">
      <c r="A91" s="5" t="s">
        <v>150</v>
      </c>
      <c r="B91" s="3" t="s">
        <v>151</v>
      </c>
      <c r="C91" s="3" t="s">
        <v>152</v>
      </c>
      <c r="D91" s="4">
        <v>13881858</v>
      </c>
      <c r="E91" s="3">
        <v>2987</v>
      </c>
      <c r="F91" s="3">
        <v>0</v>
      </c>
      <c r="G91" s="3" t="s">
        <v>36</v>
      </c>
      <c r="H91" s="3" t="s">
        <v>27</v>
      </c>
      <c r="I91" s="3">
        <v>5</v>
      </c>
      <c r="J91" s="3" t="s">
        <v>30</v>
      </c>
      <c r="K91" s="18">
        <v>275</v>
      </c>
      <c r="L91" s="16">
        <v>600</v>
      </c>
      <c r="M91" s="6" t="str" cm="1">
        <f t="array" ref="M91">_xlfn.IFS(L91&lt;100,"Economy",L91&lt;200,"Standard",L91&lt;350,"Powerful",L91&lt;500,"High Performance",L91&lt;800,"Sports Performance",L91&gt;=800,"Super Performance")</f>
        <v>Sports Performance</v>
      </c>
    </row>
    <row r="92" spans="1:13" x14ac:dyDescent="0.25">
      <c r="A92" s="5" t="s">
        <v>150</v>
      </c>
      <c r="B92" s="3" t="s">
        <v>151</v>
      </c>
      <c r="C92" s="3" t="s">
        <v>153</v>
      </c>
      <c r="D92" s="4">
        <v>14247814</v>
      </c>
      <c r="E92" s="3">
        <v>2987</v>
      </c>
      <c r="F92" s="3">
        <v>0</v>
      </c>
      <c r="G92" s="3" t="s">
        <v>36</v>
      </c>
      <c r="H92" s="3" t="s">
        <v>27</v>
      </c>
      <c r="I92" s="3">
        <v>5</v>
      </c>
      <c r="J92" s="3" t="s">
        <v>30</v>
      </c>
      <c r="K92" s="18">
        <v>275</v>
      </c>
      <c r="L92" s="16">
        <v>600</v>
      </c>
      <c r="M92" s="6" t="str" cm="1">
        <f t="array" ref="M92">_xlfn.IFS(L92&lt;100,"Economy",L92&lt;200,"Standard",L92&lt;350,"Powerful",L92&lt;500,"High Performance",L92&lt;800,"Sports Performance",L92&gt;=800,"Super Performance")</f>
        <v>Sports Performance</v>
      </c>
    </row>
    <row r="93" spans="1:13" x14ac:dyDescent="0.25">
      <c r="A93" s="5" t="s">
        <v>287</v>
      </c>
      <c r="B93" s="3" t="s">
        <v>288</v>
      </c>
      <c r="C93" s="3" t="s">
        <v>289</v>
      </c>
      <c r="D93" s="4">
        <v>10205494</v>
      </c>
      <c r="E93" s="3">
        <v>2993</v>
      </c>
      <c r="F93" s="3">
        <v>6</v>
      </c>
      <c r="G93" s="3" t="s">
        <v>36</v>
      </c>
      <c r="H93" s="3" t="s">
        <v>66</v>
      </c>
      <c r="I93" s="3">
        <v>7</v>
      </c>
      <c r="J93" s="3" t="s">
        <v>30</v>
      </c>
      <c r="K93" s="18">
        <v>258</v>
      </c>
      <c r="L93" s="16">
        <v>600</v>
      </c>
      <c r="M93" s="6" t="str" cm="1">
        <f t="array" ref="M93">_xlfn.IFS(L93&lt;100,"Economy",L93&lt;200,"Standard",L93&lt;350,"Powerful",L93&lt;500,"High Performance",L93&lt;800,"Sports Performance",L93&gt;=800,"Super Performance")</f>
        <v>Sports Performance</v>
      </c>
    </row>
    <row r="94" spans="1:13" x14ac:dyDescent="0.25">
      <c r="A94" s="5" t="s">
        <v>287</v>
      </c>
      <c r="B94" s="3" t="s">
        <v>288</v>
      </c>
      <c r="C94" s="3" t="s">
        <v>290</v>
      </c>
      <c r="D94" s="4">
        <v>9689321</v>
      </c>
      <c r="E94" s="3">
        <v>2993</v>
      </c>
      <c r="F94" s="3">
        <v>6</v>
      </c>
      <c r="G94" s="3" t="s">
        <v>36</v>
      </c>
      <c r="H94" s="3" t="s">
        <v>66</v>
      </c>
      <c r="I94" s="3">
        <v>7</v>
      </c>
      <c r="J94" s="3" t="s">
        <v>30</v>
      </c>
      <c r="K94" s="18">
        <v>258</v>
      </c>
      <c r="L94" s="16">
        <v>600</v>
      </c>
      <c r="M94" s="6" t="str" cm="1">
        <f t="array" ref="M94">_xlfn.IFS(L94&lt;100,"Economy",L94&lt;200,"Standard",L94&lt;350,"Powerful",L94&lt;500,"High Performance",L94&lt;800,"Sports Performance",L94&gt;=800,"Super Performance")</f>
        <v>Sports Performance</v>
      </c>
    </row>
    <row r="95" spans="1:13" x14ac:dyDescent="0.25">
      <c r="A95" s="5" t="s">
        <v>287</v>
      </c>
      <c r="B95" s="3" t="s">
        <v>288</v>
      </c>
      <c r="C95" s="3" t="s">
        <v>293</v>
      </c>
      <c r="D95" s="4">
        <v>8877094</v>
      </c>
      <c r="E95" s="3">
        <v>2993</v>
      </c>
      <c r="F95" s="3">
        <v>6</v>
      </c>
      <c r="G95" s="3" t="s">
        <v>36</v>
      </c>
      <c r="H95" s="3" t="s">
        <v>66</v>
      </c>
      <c r="I95" s="3">
        <v>7</v>
      </c>
      <c r="J95" s="3" t="s">
        <v>30</v>
      </c>
      <c r="K95" s="18">
        <v>258</v>
      </c>
      <c r="L95" s="16">
        <v>600</v>
      </c>
      <c r="M95" s="6" t="str" cm="1">
        <f t="array" ref="M95">_xlfn.IFS(L95&lt;100,"Economy",L95&lt;200,"Standard",L95&lt;350,"Powerful",L95&lt;500,"High Performance",L95&lt;800,"Sports Performance",L95&gt;=800,"Super Performance")</f>
        <v>Sports Performance</v>
      </c>
    </row>
    <row r="96" spans="1:13" x14ac:dyDescent="0.25">
      <c r="A96" s="5" t="s">
        <v>287</v>
      </c>
      <c r="B96" s="3" t="s">
        <v>288</v>
      </c>
      <c r="C96" s="3" t="s">
        <v>295</v>
      </c>
      <c r="D96" s="4">
        <v>10861088</v>
      </c>
      <c r="E96" s="3">
        <v>2993</v>
      </c>
      <c r="F96" s="3">
        <v>6</v>
      </c>
      <c r="G96" s="3" t="s">
        <v>36</v>
      </c>
      <c r="H96" s="3" t="s">
        <v>66</v>
      </c>
      <c r="I96" s="3">
        <v>7</v>
      </c>
      <c r="J96" s="3" t="s">
        <v>30</v>
      </c>
      <c r="K96" s="18">
        <v>258</v>
      </c>
      <c r="L96" s="16">
        <v>600</v>
      </c>
      <c r="M96" s="6" t="str" cm="1">
        <f t="array" ref="M96">_xlfn.IFS(L96&lt;100,"Economy",L96&lt;200,"Standard",L96&lt;350,"Powerful",L96&lt;500,"High Performance",L96&lt;800,"Sports Performance",L96&gt;=800,"Super Performance")</f>
        <v>Sports Performance</v>
      </c>
    </row>
    <row r="97" spans="1:13" x14ac:dyDescent="0.25">
      <c r="A97" s="5" t="s">
        <v>85</v>
      </c>
      <c r="B97" s="3" t="s">
        <v>326</v>
      </c>
      <c r="C97" s="3" t="s">
        <v>327</v>
      </c>
      <c r="D97" s="4">
        <v>41000000</v>
      </c>
      <c r="E97" s="3">
        <v>5204</v>
      </c>
      <c r="F97" s="3">
        <v>10</v>
      </c>
      <c r="G97" s="3" t="s">
        <v>10</v>
      </c>
      <c r="H97" s="3" t="s">
        <v>206</v>
      </c>
      <c r="I97" s="3">
        <v>2</v>
      </c>
      <c r="J97" s="3" t="s">
        <v>30</v>
      </c>
      <c r="K97" s="18">
        <v>631</v>
      </c>
      <c r="L97" s="16">
        <v>600</v>
      </c>
      <c r="M97" s="6" t="str" cm="1">
        <f t="array" ref="M97">_xlfn.IFS(L97&lt;100,"Economy",L97&lt;200,"Standard",L97&lt;350,"Powerful",L97&lt;500,"High Performance",L97&lt;800,"Sports Performance",L97&gt;=800,"Super Performance")</f>
        <v>Sports Performance</v>
      </c>
    </row>
    <row r="98" spans="1:13" x14ac:dyDescent="0.25">
      <c r="A98" s="5" t="s">
        <v>85</v>
      </c>
      <c r="B98" s="3" t="s">
        <v>326</v>
      </c>
      <c r="C98" s="3" t="s">
        <v>391</v>
      </c>
      <c r="D98" s="4">
        <v>37614126</v>
      </c>
      <c r="E98" s="3">
        <v>5204</v>
      </c>
      <c r="F98" s="3">
        <v>10</v>
      </c>
      <c r="G98" s="3" t="s">
        <v>10</v>
      </c>
      <c r="H98" s="3" t="s">
        <v>212</v>
      </c>
      <c r="I98" s="3">
        <v>2</v>
      </c>
      <c r="J98" s="3" t="s">
        <v>30</v>
      </c>
      <c r="K98" s="18">
        <v>639</v>
      </c>
      <c r="L98" s="16">
        <v>600</v>
      </c>
      <c r="M98" s="6" t="str" cm="1">
        <f t="array" ref="M98">_xlfn.IFS(L98&lt;100,"Economy",L98&lt;200,"Standard",L98&lt;350,"Powerful",L98&lt;500,"High Performance",L98&lt;800,"Sports Performance",L98&gt;=800,"Super Performance")</f>
        <v>Sports Performance</v>
      </c>
    </row>
    <row r="99" spans="1:13" x14ac:dyDescent="0.25">
      <c r="A99" s="5" t="s">
        <v>85</v>
      </c>
      <c r="B99" s="3" t="s">
        <v>326</v>
      </c>
      <c r="C99" s="3" t="s">
        <v>394</v>
      </c>
      <c r="D99" s="4">
        <v>37300000</v>
      </c>
      <c r="E99" s="3">
        <v>5204</v>
      </c>
      <c r="F99" s="3">
        <v>10</v>
      </c>
      <c r="G99" s="3" t="s">
        <v>10</v>
      </c>
      <c r="H99" s="3" t="s">
        <v>212</v>
      </c>
      <c r="I99" s="3">
        <v>2</v>
      </c>
      <c r="J99" s="3" t="s">
        <v>30</v>
      </c>
      <c r="K99" s="18">
        <v>631</v>
      </c>
      <c r="L99" s="16">
        <v>600</v>
      </c>
      <c r="M99" s="6" t="str" cm="1">
        <f t="array" ref="M99">_xlfn.IFS(L99&lt;100,"Economy",L99&lt;200,"Standard",L99&lt;350,"Powerful",L99&lt;500,"High Performance",L99&lt;800,"Sports Performance",L99&gt;=800,"Super Performance")</f>
        <v>Sports Performance</v>
      </c>
    </row>
    <row r="100" spans="1:13" x14ac:dyDescent="0.25">
      <c r="A100" s="5" t="s">
        <v>68</v>
      </c>
      <c r="B100" s="3" t="s">
        <v>557</v>
      </c>
      <c r="C100" s="3" t="s">
        <v>212</v>
      </c>
      <c r="D100" s="4">
        <v>11141200</v>
      </c>
      <c r="E100" s="3">
        <v>2894</v>
      </c>
      <c r="F100" s="3">
        <v>8</v>
      </c>
      <c r="G100" s="3" t="s">
        <v>10</v>
      </c>
      <c r="H100" s="3" t="s">
        <v>212</v>
      </c>
      <c r="I100" s="3">
        <v>4</v>
      </c>
      <c r="J100" s="3" t="s">
        <v>30</v>
      </c>
      <c r="K100" s="18">
        <v>450</v>
      </c>
      <c r="L100" s="16">
        <v>600</v>
      </c>
      <c r="M100" s="6" t="str" cm="1">
        <f t="array" ref="M100">_xlfn.IFS(L100&lt;100,"Economy",L100&lt;200,"Standard",L100&lt;350,"Powerful",L100&lt;500,"High Performance",L100&lt;800,"Sports Performance",L100&gt;=800,"Super Performance")</f>
        <v>Sports Performance</v>
      </c>
    </row>
    <row r="101" spans="1:13" x14ac:dyDescent="0.25">
      <c r="A101" s="5" t="s">
        <v>90</v>
      </c>
      <c r="B101" s="3" t="s">
        <v>564</v>
      </c>
      <c r="C101" s="3" t="s">
        <v>566</v>
      </c>
      <c r="D101" s="4">
        <v>15000000</v>
      </c>
      <c r="E101" s="3">
        <v>2925</v>
      </c>
      <c r="F101" s="3">
        <v>6</v>
      </c>
      <c r="G101" s="3" t="s">
        <v>36</v>
      </c>
      <c r="H101" s="3" t="s">
        <v>66</v>
      </c>
      <c r="I101" s="3">
        <v>7</v>
      </c>
      <c r="J101" s="3" t="s">
        <v>30</v>
      </c>
      <c r="K101" s="18">
        <v>289</v>
      </c>
      <c r="L101" s="16">
        <v>600</v>
      </c>
      <c r="M101" s="6" t="str" cm="1">
        <f t="array" ref="M101">_xlfn.IFS(L101&lt;100,"Economy",L101&lt;200,"Standard",L101&lt;350,"Powerful",L101&lt;500,"High Performance",L101&lt;800,"Sports Performance",L101&gt;=800,"Super Performance")</f>
        <v>Sports Performance</v>
      </c>
    </row>
    <row r="102" spans="1:13" x14ac:dyDescent="0.25">
      <c r="A102" s="5" t="s">
        <v>146</v>
      </c>
      <c r="B102" s="3" t="s">
        <v>585</v>
      </c>
      <c r="C102" s="3" t="s">
        <v>586</v>
      </c>
      <c r="D102" s="4">
        <v>19527130</v>
      </c>
      <c r="E102" s="3">
        <v>2993</v>
      </c>
      <c r="F102" s="3">
        <v>6</v>
      </c>
      <c r="G102" s="3" t="s">
        <v>36</v>
      </c>
      <c r="H102" s="3" t="s">
        <v>66</v>
      </c>
      <c r="I102" s="3">
        <v>7</v>
      </c>
      <c r="J102" s="3" t="s">
        <v>30</v>
      </c>
      <c r="K102" s="18">
        <v>254</v>
      </c>
      <c r="L102" s="16">
        <v>600</v>
      </c>
      <c r="M102" s="6" t="str" cm="1">
        <f t="array" ref="M102">_xlfn.IFS(L102&lt;100,"Economy",L102&lt;200,"Standard",L102&lt;350,"Powerful",L102&lt;500,"High Performance",L102&lt;800,"Sports Performance",L102&gt;=800,"Super Performance")</f>
        <v>Sports Performance</v>
      </c>
    </row>
    <row r="103" spans="1:13" x14ac:dyDescent="0.25">
      <c r="A103" s="5" t="s">
        <v>146</v>
      </c>
      <c r="B103" s="3" t="s">
        <v>147</v>
      </c>
      <c r="C103" s="3" t="s">
        <v>664</v>
      </c>
      <c r="D103" s="4">
        <v>10373732</v>
      </c>
      <c r="E103" s="3">
        <v>2993</v>
      </c>
      <c r="F103" s="3">
        <v>6</v>
      </c>
      <c r="G103" s="3" t="s">
        <v>36</v>
      </c>
      <c r="H103" s="3" t="s">
        <v>66</v>
      </c>
      <c r="I103" s="3">
        <v>5</v>
      </c>
      <c r="J103" s="3" t="s">
        <v>30</v>
      </c>
      <c r="K103" s="18">
        <v>254</v>
      </c>
      <c r="L103" s="16">
        <v>600</v>
      </c>
      <c r="M103" s="6" t="str" cm="1">
        <f t="array" ref="M103">_xlfn.IFS(L103&lt;100,"Economy",L103&lt;200,"Standard",L103&lt;350,"Powerful",L103&lt;500,"High Performance",L103&lt;800,"Sports Performance",L103&gt;=800,"Super Performance")</f>
        <v>Sports Performance</v>
      </c>
    </row>
    <row r="104" spans="1:13" x14ac:dyDescent="0.25">
      <c r="A104" s="5" t="s">
        <v>146</v>
      </c>
      <c r="B104" s="3" t="s">
        <v>147</v>
      </c>
      <c r="C104" s="3" t="s">
        <v>665</v>
      </c>
      <c r="D104" s="4">
        <v>11913021</v>
      </c>
      <c r="E104" s="3">
        <v>2993</v>
      </c>
      <c r="F104" s="3">
        <v>6</v>
      </c>
      <c r="G104" s="3" t="s">
        <v>36</v>
      </c>
      <c r="H104" s="3" t="s">
        <v>66</v>
      </c>
      <c r="I104" s="3">
        <v>5</v>
      </c>
      <c r="J104" s="3" t="s">
        <v>30</v>
      </c>
      <c r="K104" s="18">
        <v>254</v>
      </c>
      <c r="L104" s="16">
        <v>600</v>
      </c>
      <c r="M104" s="6" t="str" cm="1">
        <f t="array" ref="M104">_xlfn.IFS(L104&lt;100,"Economy",L104&lt;200,"Standard",L104&lt;350,"Powerful",L104&lt;500,"High Performance",L104&lt;800,"Sports Performance",L104&gt;=800,"Super Performance")</f>
        <v>Sports Performance</v>
      </c>
    </row>
    <row r="105" spans="1:13" x14ac:dyDescent="0.25">
      <c r="A105" s="5" t="s">
        <v>146</v>
      </c>
      <c r="B105" s="3" t="s">
        <v>585</v>
      </c>
      <c r="C105" s="3" t="s">
        <v>668</v>
      </c>
      <c r="D105" s="4">
        <v>18185267</v>
      </c>
      <c r="E105" s="3">
        <v>2993</v>
      </c>
      <c r="F105" s="3">
        <v>6</v>
      </c>
      <c r="G105" s="3" t="s">
        <v>36</v>
      </c>
      <c r="H105" s="3" t="s">
        <v>66</v>
      </c>
      <c r="I105" s="3">
        <v>5</v>
      </c>
      <c r="J105" s="3" t="s">
        <v>30</v>
      </c>
      <c r="K105" s="18">
        <v>254</v>
      </c>
      <c r="L105" s="16">
        <v>600</v>
      </c>
      <c r="M105" s="6" t="str" cm="1">
        <f t="array" ref="M105">_xlfn.IFS(L105&lt;100,"Economy",L105&lt;200,"Standard",L105&lt;350,"Powerful",L105&lt;500,"High Performance",L105&lt;800,"Sports Performance",L105&gt;=800,"Super Performance")</f>
        <v>Sports Performance</v>
      </c>
    </row>
    <row r="106" spans="1:13" x14ac:dyDescent="0.25">
      <c r="A106" s="5" t="s">
        <v>150</v>
      </c>
      <c r="B106" s="3" t="s">
        <v>951</v>
      </c>
      <c r="C106" s="3" t="s">
        <v>153</v>
      </c>
      <c r="D106" s="4">
        <v>17900000</v>
      </c>
      <c r="E106" s="3">
        <v>2987</v>
      </c>
      <c r="F106" s="3">
        <v>6</v>
      </c>
      <c r="G106" s="3" t="s">
        <v>36</v>
      </c>
      <c r="H106" s="3" t="s">
        <v>218</v>
      </c>
      <c r="I106" s="3">
        <v>4</v>
      </c>
      <c r="J106" s="3" t="s">
        <v>30</v>
      </c>
      <c r="K106" s="18">
        <v>275</v>
      </c>
      <c r="L106" s="16">
        <v>600</v>
      </c>
      <c r="M106" s="6" t="str" cm="1">
        <f t="array" ref="M106">_xlfn.IFS(L106&lt;100,"Economy",L106&lt;200,"Standard",L106&lt;350,"Powerful",L106&lt;500,"High Performance",L106&lt;800,"Sports Performance",L106&gt;=800,"Super Performance")</f>
        <v>Sports Performance</v>
      </c>
    </row>
    <row r="107" spans="1:13" x14ac:dyDescent="0.25">
      <c r="A107" s="5" t="s">
        <v>150</v>
      </c>
      <c r="B107" s="3" t="s">
        <v>1019</v>
      </c>
      <c r="C107" s="3" t="s">
        <v>36</v>
      </c>
      <c r="D107" s="4">
        <v>14512054</v>
      </c>
      <c r="E107" s="3">
        <v>2987</v>
      </c>
      <c r="F107" s="3">
        <v>6</v>
      </c>
      <c r="G107" s="3" t="s">
        <v>36</v>
      </c>
      <c r="H107" s="3" t="s">
        <v>66</v>
      </c>
      <c r="I107" s="3">
        <v>4</v>
      </c>
      <c r="J107" s="3" t="s">
        <v>30</v>
      </c>
      <c r="K107" s="18">
        <v>275</v>
      </c>
      <c r="L107" s="16">
        <v>600</v>
      </c>
      <c r="M107" s="6" t="str" cm="1">
        <f t="array" ref="M107">_xlfn.IFS(L107&lt;100,"Economy",L107&lt;200,"Standard",L107&lt;350,"Powerful",L107&lt;500,"High Performance",L107&lt;800,"Sports Performance",L107&gt;=800,"Super Performance")</f>
        <v>Sports Performance</v>
      </c>
    </row>
    <row r="108" spans="1:13" x14ac:dyDescent="0.25">
      <c r="A108" s="5" t="s">
        <v>68</v>
      </c>
      <c r="B108" s="3" t="s">
        <v>575</v>
      </c>
      <c r="C108" s="3" t="s">
        <v>1025</v>
      </c>
      <c r="D108" s="4">
        <v>7221500</v>
      </c>
      <c r="E108" s="3">
        <v>2967</v>
      </c>
      <c r="F108" s="3">
        <v>6</v>
      </c>
      <c r="G108" s="3" t="s">
        <v>36</v>
      </c>
      <c r="H108" s="3" t="s">
        <v>66</v>
      </c>
      <c r="I108" s="3">
        <v>7</v>
      </c>
      <c r="J108" s="3" t="s">
        <v>30</v>
      </c>
      <c r="K108" s="18">
        <v>249</v>
      </c>
      <c r="L108" s="16">
        <v>600</v>
      </c>
      <c r="M108" s="6" t="str" cm="1">
        <f t="array" ref="M108">_xlfn.IFS(L108&lt;100,"Economy",L108&lt;200,"Standard",L108&lt;350,"Powerful",L108&lt;500,"High Performance",L108&lt;800,"Sports Performance",L108&gt;=800,"Super Performance")</f>
        <v>Sports Performance</v>
      </c>
    </row>
    <row r="109" spans="1:13" x14ac:dyDescent="0.25">
      <c r="A109" s="5" t="s">
        <v>68</v>
      </c>
      <c r="B109" s="3" t="s">
        <v>575</v>
      </c>
      <c r="C109" s="3" t="s">
        <v>1026</v>
      </c>
      <c r="D109" s="4">
        <v>8021500</v>
      </c>
      <c r="E109" s="3">
        <v>2967</v>
      </c>
      <c r="F109" s="3">
        <v>6</v>
      </c>
      <c r="G109" s="3" t="s">
        <v>36</v>
      </c>
      <c r="H109" s="3" t="s">
        <v>66</v>
      </c>
      <c r="I109" s="3">
        <v>7</v>
      </c>
      <c r="J109" s="3" t="s">
        <v>30</v>
      </c>
      <c r="K109" s="18">
        <v>249</v>
      </c>
      <c r="L109" s="16">
        <v>600</v>
      </c>
      <c r="M109" s="6" t="str" cm="1">
        <f t="array" ref="M109">_xlfn.IFS(L109&lt;100,"Economy",L109&lt;200,"Standard",L109&lt;350,"Powerful",L109&lt;500,"High Performance",L109&lt;800,"Sports Performance",L109&gt;=800,"Super Performance")</f>
        <v>Sports Performance</v>
      </c>
    </row>
    <row r="110" spans="1:13" x14ac:dyDescent="0.25">
      <c r="A110" s="5" t="s">
        <v>68</v>
      </c>
      <c r="B110" s="3" t="s">
        <v>575</v>
      </c>
      <c r="C110" s="3" t="s">
        <v>1027</v>
      </c>
      <c r="D110" s="4">
        <v>8111500</v>
      </c>
      <c r="E110" s="3">
        <v>2967</v>
      </c>
      <c r="F110" s="3">
        <v>6</v>
      </c>
      <c r="G110" s="3" t="s">
        <v>36</v>
      </c>
      <c r="H110" s="3" t="s">
        <v>66</v>
      </c>
      <c r="I110" s="3">
        <v>7</v>
      </c>
      <c r="J110" s="3" t="s">
        <v>30</v>
      </c>
      <c r="K110" s="18">
        <v>249</v>
      </c>
      <c r="L110" s="16">
        <v>600</v>
      </c>
      <c r="M110" s="6" t="str" cm="1">
        <f t="array" ref="M110">_xlfn.IFS(L110&lt;100,"Economy",L110&lt;200,"Standard",L110&lt;350,"Powerful",L110&lt;500,"High Performance",L110&lt;800,"Sports Performance",L110&gt;=800,"Super Performance")</f>
        <v>Sports Performance</v>
      </c>
    </row>
    <row r="111" spans="1:13" x14ac:dyDescent="0.25">
      <c r="A111" s="5" t="s">
        <v>280</v>
      </c>
      <c r="B111" s="3" t="s">
        <v>1140</v>
      </c>
      <c r="C111" s="3" t="s">
        <v>1141</v>
      </c>
      <c r="D111" s="4">
        <v>9738609</v>
      </c>
      <c r="E111" s="3">
        <v>2993</v>
      </c>
      <c r="F111" s="3">
        <v>6</v>
      </c>
      <c r="G111" s="3" t="s">
        <v>36</v>
      </c>
      <c r="H111" s="3" t="s">
        <v>27</v>
      </c>
      <c r="I111" s="3">
        <v>5</v>
      </c>
      <c r="J111" s="3" t="s">
        <v>30</v>
      </c>
      <c r="K111" s="18">
        <v>274</v>
      </c>
      <c r="L111" s="16">
        <v>600</v>
      </c>
      <c r="M111" s="6" t="str" cm="1">
        <f t="array" ref="M111">_xlfn.IFS(L111&lt;100,"Economy",L111&lt;200,"Standard",L111&lt;350,"Powerful",L111&lt;500,"High Performance",L111&lt;800,"Sports Performance",L111&gt;=800,"Super Performance")</f>
        <v>Sports Performance</v>
      </c>
    </row>
    <row r="112" spans="1:13" x14ac:dyDescent="0.25">
      <c r="A112" s="5" t="s">
        <v>280</v>
      </c>
      <c r="B112" s="3" t="s">
        <v>1140</v>
      </c>
      <c r="C112" s="3" t="s">
        <v>1145</v>
      </c>
      <c r="D112" s="4">
        <v>10725145</v>
      </c>
      <c r="E112" s="3">
        <v>2993</v>
      </c>
      <c r="F112" s="3">
        <v>6</v>
      </c>
      <c r="G112" s="3" t="s">
        <v>36</v>
      </c>
      <c r="H112" s="3" t="s">
        <v>27</v>
      </c>
      <c r="I112" s="3">
        <v>5</v>
      </c>
      <c r="J112" s="3" t="s">
        <v>30</v>
      </c>
      <c r="K112" s="18">
        <v>274</v>
      </c>
      <c r="L112" s="16">
        <v>600</v>
      </c>
      <c r="M112" s="6" t="str" cm="1">
        <f t="array" ref="M112">_xlfn.IFS(L112&lt;100,"Economy",L112&lt;200,"Standard",L112&lt;350,"Powerful",L112&lt;500,"High Performance",L112&lt;800,"Sports Performance",L112&gt;=800,"Super Performance")</f>
        <v>Sports Performance</v>
      </c>
    </row>
    <row r="113" spans="1:13" x14ac:dyDescent="0.25">
      <c r="A113" s="5" t="s">
        <v>150</v>
      </c>
      <c r="B113" s="3" t="s">
        <v>1019</v>
      </c>
      <c r="C113" s="3" t="s">
        <v>1020</v>
      </c>
      <c r="D113" s="4">
        <v>15383399</v>
      </c>
      <c r="E113" s="3">
        <v>2979</v>
      </c>
      <c r="F113" s="3">
        <v>6</v>
      </c>
      <c r="G113" s="3" t="s">
        <v>36</v>
      </c>
      <c r="H113" s="3" t="s">
        <v>66</v>
      </c>
      <c r="I113" s="3">
        <v>4</v>
      </c>
      <c r="J113" s="3" t="s">
        <v>30</v>
      </c>
      <c r="K113" s="18">
        <v>430</v>
      </c>
      <c r="L113" s="16">
        <v>580</v>
      </c>
      <c r="M113" s="6" t="str" cm="1">
        <f t="array" ref="M113">_xlfn.IFS(L113&lt;100,"Economy",L113&lt;200,"Standard",L113&lt;350,"Powerful",L113&lt;500,"High Performance",L113&lt;800,"Sports Performance",L113&gt;=800,"Super Performance")</f>
        <v>Sports Performance</v>
      </c>
    </row>
    <row r="114" spans="1:13" x14ac:dyDescent="0.25">
      <c r="A114" s="5" t="s">
        <v>150</v>
      </c>
      <c r="B114" s="3" t="s">
        <v>151</v>
      </c>
      <c r="C114" s="3" t="s">
        <v>36</v>
      </c>
      <c r="D114" s="4">
        <v>13387856</v>
      </c>
      <c r="E114" s="3">
        <v>2987</v>
      </c>
      <c r="F114" s="3">
        <v>0</v>
      </c>
      <c r="G114" s="3" t="s">
        <v>36</v>
      </c>
      <c r="H114" s="3" t="s">
        <v>27</v>
      </c>
      <c r="I114" s="3">
        <v>5</v>
      </c>
      <c r="J114" s="3" t="s">
        <v>30</v>
      </c>
      <c r="K114" s="18">
        <v>275</v>
      </c>
      <c r="L114" s="16">
        <v>570</v>
      </c>
      <c r="M114" s="6" t="str" cm="1">
        <f t="array" ref="M114">_xlfn.IFS(L114&lt;100,"Economy",L114&lt;200,"Standard",L114&lt;350,"Powerful",L114&lt;500,"High Performance",L114&lt;800,"Sports Performance",L114&gt;=800,"Super Performance")</f>
        <v>Sports Performance</v>
      </c>
    </row>
    <row r="115" spans="1:13" x14ac:dyDescent="0.25">
      <c r="A115" s="5" t="s">
        <v>63</v>
      </c>
      <c r="B115" s="3" t="s">
        <v>83</v>
      </c>
      <c r="C115" s="3" t="s">
        <v>306</v>
      </c>
      <c r="D115" s="4">
        <v>8931819</v>
      </c>
      <c r="E115" s="3">
        <v>2987</v>
      </c>
      <c r="F115" s="3">
        <v>6</v>
      </c>
      <c r="G115" s="3" t="s">
        <v>36</v>
      </c>
      <c r="H115" s="3" t="s">
        <v>66</v>
      </c>
      <c r="I115" s="3">
        <v>5</v>
      </c>
      <c r="J115" s="3" t="s">
        <v>30</v>
      </c>
      <c r="K115" s="18">
        <v>240</v>
      </c>
      <c r="L115" s="16">
        <v>570</v>
      </c>
      <c r="M115" s="6" t="str" cm="1">
        <f t="array" ref="M115">_xlfn.IFS(L115&lt;100,"Economy",L115&lt;200,"Standard",L115&lt;350,"Powerful",L115&lt;500,"High Performance",L115&lt;800,"Sports Performance",L115&gt;=800,"Super Performance")</f>
        <v>Sports Performance</v>
      </c>
    </row>
    <row r="116" spans="1:13" x14ac:dyDescent="0.25">
      <c r="A116" s="5" t="s">
        <v>63</v>
      </c>
      <c r="B116" s="3" t="s">
        <v>83</v>
      </c>
      <c r="C116" s="3" t="s">
        <v>375</v>
      </c>
      <c r="D116" s="4">
        <v>7882867</v>
      </c>
      <c r="E116" s="3">
        <v>2987</v>
      </c>
      <c r="F116" s="3">
        <v>6</v>
      </c>
      <c r="G116" s="3" t="s">
        <v>36</v>
      </c>
      <c r="H116" s="3" t="s">
        <v>66</v>
      </c>
      <c r="I116" s="3">
        <v>5</v>
      </c>
      <c r="J116" s="3" t="s">
        <v>30</v>
      </c>
      <c r="K116" s="18">
        <v>240</v>
      </c>
      <c r="L116" s="16">
        <v>570</v>
      </c>
      <c r="M116" s="6" t="str" cm="1">
        <f t="array" ref="M116">_xlfn.IFS(L116&lt;100,"Economy",L116&lt;200,"Standard",L116&lt;350,"Powerful",L116&lt;500,"High Performance",L116&lt;800,"Sports Performance",L116&gt;=800,"Super Performance")</f>
        <v>Sports Performance</v>
      </c>
    </row>
    <row r="117" spans="1:13" x14ac:dyDescent="0.25">
      <c r="A117" s="5" t="s">
        <v>85</v>
      </c>
      <c r="B117" s="3" t="s">
        <v>326</v>
      </c>
      <c r="C117" s="3" t="s">
        <v>328</v>
      </c>
      <c r="D117" s="4">
        <v>32200000</v>
      </c>
      <c r="E117" s="3">
        <v>5204</v>
      </c>
      <c r="F117" s="3">
        <v>10</v>
      </c>
      <c r="G117" s="3" t="s">
        <v>10</v>
      </c>
      <c r="H117" s="3" t="s">
        <v>212</v>
      </c>
      <c r="I117" s="3">
        <v>2</v>
      </c>
      <c r="J117" s="3" t="s">
        <v>30</v>
      </c>
      <c r="K117" s="18">
        <v>610</v>
      </c>
      <c r="L117" s="16">
        <v>560</v>
      </c>
      <c r="M117" s="6" t="str" cm="1">
        <f t="array" ref="M117">_xlfn.IFS(L117&lt;100,"Economy",L117&lt;200,"Standard",L117&lt;350,"Powerful",L117&lt;500,"High Performance",L117&lt;800,"Sports Performance",L117&gt;=800,"Super Performance")</f>
        <v>Sports Performance</v>
      </c>
    </row>
    <row r="118" spans="1:13" x14ac:dyDescent="0.25">
      <c r="A118" s="5" t="s">
        <v>85</v>
      </c>
      <c r="B118" s="3" t="s">
        <v>326</v>
      </c>
      <c r="C118" s="3" t="s">
        <v>388</v>
      </c>
      <c r="D118" s="4">
        <v>37133704</v>
      </c>
      <c r="E118" s="3">
        <v>5204</v>
      </c>
      <c r="F118" s="3">
        <v>10</v>
      </c>
      <c r="G118" s="3" t="s">
        <v>10</v>
      </c>
      <c r="H118" s="3" t="s">
        <v>212</v>
      </c>
      <c r="I118" s="3">
        <v>2</v>
      </c>
      <c r="J118" s="3" t="s">
        <v>30</v>
      </c>
      <c r="K118" s="18">
        <v>610</v>
      </c>
      <c r="L118" s="16">
        <v>560</v>
      </c>
      <c r="M118" s="6" t="str" cm="1">
        <f t="array" ref="M118">_xlfn.IFS(L118&lt;100,"Economy",L118&lt;200,"Standard",L118&lt;350,"Powerful",L118&lt;500,"High Performance",L118&lt;800,"Sports Performance",L118&gt;=800,"Super Performance")</f>
        <v>Sports Performance</v>
      </c>
    </row>
    <row r="119" spans="1:13" x14ac:dyDescent="0.25">
      <c r="A119" s="5" t="s">
        <v>85</v>
      </c>
      <c r="B119" s="3" t="s">
        <v>326</v>
      </c>
      <c r="C119" s="3" t="s">
        <v>390</v>
      </c>
      <c r="D119" s="4">
        <v>35150732</v>
      </c>
      <c r="E119" s="3">
        <v>5204</v>
      </c>
      <c r="F119" s="3">
        <v>10</v>
      </c>
      <c r="G119" s="3" t="s">
        <v>10</v>
      </c>
      <c r="H119" s="3" t="s">
        <v>212</v>
      </c>
      <c r="I119" s="3">
        <v>2</v>
      </c>
      <c r="J119" s="3" t="s">
        <v>30</v>
      </c>
      <c r="K119" s="18">
        <v>610</v>
      </c>
      <c r="L119" s="16">
        <v>560</v>
      </c>
      <c r="M119" s="6" t="str" cm="1">
        <f t="array" ref="M119">_xlfn.IFS(L119&lt;100,"Economy",L119&lt;200,"Standard",L119&lt;350,"Powerful",L119&lt;500,"High Performance",L119&lt;800,"Sports Performance",L119&gt;=800,"Super Performance")</f>
        <v>Sports Performance</v>
      </c>
    </row>
    <row r="120" spans="1:13" x14ac:dyDescent="0.25">
      <c r="A120" s="5" t="s">
        <v>85</v>
      </c>
      <c r="B120" s="3" t="s">
        <v>326</v>
      </c>
      <c r="C120" s="3" t="s">
        <v>393</v>
      </c>
      <c r="D120" s="4">
        <v>40742932</v>
      </c>
      <c r="E120" s="3">
        <v>5204</v>
      </c>
      <c r="F120" s="3">
        <v>10</v>
      </c>
      <c r="G120" s="3" t="s">
        <v>10</v>
      </c>
      <c r="H120" s="3" t="s">
        <v>212</v>
      </c>
      <c r="I120" s="3">
        <v>2</v>
      </c>
      <c r="J120" s="3" t="s">
        <v>30</v>
      </c>
      <c r="K120" s="18">
        <v>602</v>
      </c>
      <c r="L120" s="16">
        <v>560</v>
      </c>
      <c r="M120" s="6" t="str" cm="1">
        <f t="array" ref="M120">_xlfn.IFS(L120&lt;100,"Economy",L120&lt;200,"Standard",L120&lt;350,"Powerful",L120&lt;500,"High Performance",L120&lt;800,"Sports Performance",L120&gt;=800,"Super Performance")</f>
        <v>Sports Performance</v>
      </c>
    </row>
    <row r="121" spans="1:13" x14ac:dyDescent="0.25">
      <c r="A121" s="5" t="s">
        <v>68</v>
      </c>
      <c r="B121" s="3" t="s">
        <v>958</v>
      </c>
      <c r="C121" s="3" t="s">
        <v>959</v>
      </c>
      <c r="D121" s="4">
        <v>27245000</v>
      </c>
      <c r="E121" s="3">
        <v>5204</v>
      </c>
      <c r="F121" s="3">
        <v>10</v>
      </c>
      <c r="G121" s="3" t="s">
        <v>10</v>
      </c>
      <c r="H121" s="3" t="s">
        <v>212</v>
      </c>
      <c r="I121" s="3">
        <v>2</v>
      </c>
      <c r="J121" s="3" t="s">
        <v>30</v>
      </c>
      <c r="K121" s="18">
        <v>610</v>
      </c>
      <c r="L121" s="16">
        <v>560</v>
      </c>
      <c r="M121" s="6" t="str" cm="1">
        <f t="array" ref="M121">_xlfn.IFS(L121&lt;100,"Economy",L121&lt;200,"Standard",L121&lt;350,"Powerful",L121&lt;500,"High Performance",L121&lt;800,"Sports Performance",L121&gt;=800,"Super Performance")</f>
        <v>Sports Performance</v>
      </c>
    </row>
    <row r="122" spans="1:13" x14ac:dyDescent="0.25">
      <c r="A122" s="5" t="s">
        <v>78</v>
      </c>
      <c r="B122" s="3" t="s">
        <v>401</v>
      </c>
      <c r="C122" s="3" t="s">
        <v>1150</v>
      </c>
      <c r="D122" s="4">
        <v>6680000</v>
      </c>
      <c r="E122" s="3">
        <v>2993</v>
      </c>
      <c r="F122" s="3">
        <v>6</v>
      </c>
      <c r="G122" s="3" t="s">
        <v>36</v>
      </c>
      <c r="H122" s="3" t="s">
        <v>27</v>
      </c>
      <c r="I122" s="3">
        <v>5</v>
      </c>
      <c r="J122" s="3" t="s">
        <v>30</v>
      </c>
      <c r="K122" s="18">
        <v>258</v>
      </c>
      <c r="L122" s="16">
        <v>560</v>
      </c>
      <c r="M122" s="6" t="str" cm="1">
        <f t="array" ref="M122">_xlfn.IFS(L122&lt;100,"Economy",L122&lt;200,"Standard",L122&lt;350,"Powerful",L122&lt;500,"High Performance",L122&lt;800,"Sports Performance",L122&gt;=800,"Super Performance")</f>
        <v>Sports Performance</v>
      </c>
    </row>
    <row r="123" spans="1:13" x14ac:dyDescent="0.25">
      <c r="A123" s="5" t="s">
        <v>78</v>
      </c>
      <c r="B123" s="3" t="s">
        <v>942</v>
      </c>
      <c r="C123" s="3" t="s">
        <v>212</v>
      </c>
      <c r="D123" s="4">
        <v>8180000</v>
      </c>
      <c r="E123" s="3">
        <v>2979</v>
      </c>
      <c r="F123" s="3">
        <v>6</v>
      </c>
      <c r="G123" s="3" t="s">
        <v>10</v>
      </c>
      <c r="H123" s="3" t="s">
        <v>212</v>
      </c>
      <c r="I123" s="3">
        <v>4</v>
      </c>
      <c r="J123" s="3" t="s">
        <v>30</v>
      </c>
      <c r="K123" s="18">
        <v>410</v>
      </c>
      <c r="L123" s="16">
        <v>550</v>
      </c>
      <c r="M123" s="6" t="str" cm="1">
        <f t="array" ref="M123">_xlfn.IFS(L123&lt;100,"Economy",L123&lt;200,"Standard",L123&lt;350,"Powerful",L123&lt;500,"High Performance",L123&lt;800,"Sports Performance",L123&gt;=800,"Super Performance")</f>
        <v>Sports Performance</v>
      </c>
    </row>
    <row r="124" spans="1:13" x14ac:dyDescent="0.25">
      <c r="A124" s="5" t="s">
        <v>78</v>
      </c>
      <c r="B124" s="3" t="s">
        <v>1004</v>
      </c>
      <c r="C124" s="3" t="s">
        <v>212</v>
      </c>
      <c r="D124" s="4">
        <v>13590000</v>
      </c>
      <c r="E124" s="3">
        <v>2979</v>
      </c>
      <c r="F124" s="3">
        <v>6</v>
      </c>
      <c r="G124" s="3" t="s">
        <v>10</v>
      </c>
      <c r="H124" s="3" t="s">
        <v>212</v>
      </c>
      <c r="I124" s="3">
        <v>4</v>
      </c>
      <c r="J124" s="3" t="s">
        <v>30</v>
      </c>
      <c r="K124" s="18">
        <v>431</v>
      </c>
      <c r="L124" s="16">
        <v>550</v>
      </c>
      <c r="M124" s="6" t="str" cm="1">
        <f t="array" ref="M124">_xlfn.IFS(L124&lt;100,"Economy",L124&lt;200,"Standard",L124&lt;350,"Powerful",L124&lt;500,"High Performance",L124&lt;800,"Sports Performance",L124&gt;=800,"Super Performance")</f>
        <v>Sports Performance</v>
      </c>
    </row>
    <row r="125" spans="1:13" x14ac:dyDescent="0.25">
      <c r="A125" s="5" t="s">
        <v>170</v>
      </c>
      <c r="B125" s="3" t="s">
        <v>343</v>
      </c>
      <c r="C125" s="3" t="s">
        <v>87</v>
      </c>
      <c r="D125" s="4">
        <v>23290000</v>
      </c>
      <c r="E125" s="3">
        <v>5700</v>
      </c>
      <c r="F125" s="3">
        <v>0</v>
      </c>
      <c r="G125" s="3" t="s">
        <v>36</v>
      </c>
      <c r="H125" s="3" t="s">
        <v>66</v>
      </c>
      <c r="I125" s="3">
        <v>7</v>
      </c>
      <c r="J125" s="3" t="s">
        <v>30</v>
      </c>
      <c r="K125" s="18">
        <v>380</v>
      </c>
      <c r="L125" s="16">
        <v>546</v>
      </c>
      <c r="M125" s="6" t="str" cm="1">
        <f t="array" ref="M125">_xlfn.IFS(L125&lt;100,"Economy",L125&lt;200,"Standard",L125&lt;350,"Powerful",L125&lt;500,"High Performance",L125&lt;800,"Sports Performance",L125&gt;=800,"Super Performance")</f>
        <v>Sports Performance</v>
      </c>
    </row>
    <row r="126" spans="1:13" x14ac:dyDescent="0.25">
      <c r="A126" s="5" t="s">
        <v>85</v>
      </c>
      <c r="B126" s="3" t="s">
        <v>326</v>
      </c>
      <c r="C126" s="3" t="s">
        <v>389</v>
      </c>
      <c r="D126" s="4">
        <v>32452486</v>
      </c>
      <c r="E126" s="3">
        <v>5204</v>
      </c>
      <c r="F126" s="3">
        <v>10</v>
      </c>
      <c r="G126" s="3" t="s">
        <v>10</v>
      </c>
      <c r="H126" s="3" t="s">
        <v>212</v>
      </c>
      <c r="I126" s="3">
        <v>2</v>
      </c>
      <c r="J126" s="3" t="s">
        <v>30</v>
      </c>
      <c r="K126" s="18">
        <v>580</v>
      </c>
      <c r="L126" s="16">
        <v>540</v>
      </c>
      <c r="M126" s="6" t="str" cm="1">
        <f t="array" ref="M126">_xlfn.IFS(L126&lt;100,"Economy",L126&lt;200,"Standard",L126&lt;350,"Powerful",L126&lt;500,"High Performance",L126&lt;800,"Sports Performance",L126&gt;=800,"Super Performance")</f>
        <v>Sports Performance</v>
      </c>
    </row>
    <row r="127" spans="1:13" x14ac:dyDescent="0.25">
      <c r="A127" s="5" t="s">
        <v>85</v>
      </c>
      <c r="B127" s="3" t="s">
        <v>326</v>
      </c>
      <c r="C127" s="3" t="s">
        <v>392</v>
      </c>
      <c r="D127" s="4">
        <v>35535000</v>
      </c>
      <c r="E127" s="3">
        <v>5204</v>
      </c>
      <c r="F127" s="3">
        <v>10</v>
      </c>
      <c r="G127" s="3" t="s">
        <v>10</v>
      </c>
      <c r="H127" s="3" t="s">
        <v>212</v>
      </c>
      <c r="I127" s="3">
        <v>2</v>
      </c>
      <c r="J127" s="3" t="s">
        <v>30</v>
      </c>
      <c r="K127" s="18">
        <v>571</v>
      </c>
      <c r="L127" s="16">
        <v>540</v>
      </c>
      <c r="M127" s="6" t="str" cm="1">
        <f t="array" ref="M127">_xlfn.IFS(L127&lt;100,"Economy",L127&lt;200,"Standard",L127&lt;350,"Powerful",L127&lt;500,"High Performance",L127&lt;800,"Sports Performance",L127&gt;=800,"Super Performance")</f>
        <v>Sports Performance</v>
      </c>
    </row>
    <row r="128" spans="1:13" x14ac:dyDescent="0.25">
      <c r="A128" s="5" t="s">
        <v>259</v>
      </c>
      <c r="B128" s="3" t="s">
        <v>963</v>
      </c>
      <c r="C128" s="3" t="s">
        <v>212</v>
      </c>
      <c r="D128" s="4">
        <v>42531500</v>
      </c>
      <c r="E128" s="3">
        <v>4497</v>
      </c>
      <c r="F128" s="3">
        <v>8</v>
      </c>
      <c r="G128" s="3" t="s">
        <v>10</v>
      </c>
      <c r="H128" s="3" t="s">
        <v>212</v>
      </c>
      <c r="I128" s="3">
        <v>2</v>
      </c>
      <c r="J128" s="3" t="s">
        <v>30</v>
      </c>
      <c r="K128" s="18">
        <v>605</v>
      </c>
      <c r="L128" s="16">
        <v>540</v>
      </c>
      <c r="M128" s="6" t="str" cm="1">
        <f t="array" ref="M128">_xlfn.IFS(L128&lt;100,"Economy",L128&lt;200,"Standard",L128&lt;350,"Powerful",L128&lt;500,"High Performance",L128&lt;800,"Sports Performance",L128&gt;=800,"Super Performance")</f>
        <v>Sports Performance</v>
      </c>
    </row>
    <row r="129" spans="1:13" x14ac:dyDescent="0.25">
      <c r="A129" s="5" t="s">
        <v>297</v>
      </c>
      <c r="B129" s="3">
        <v>911</v>
      </c>
      <c r="C129" s="3" t="s">
        <v>1005</v>
      </c>
      <c r="D129" s="4">
        <v>17420000</v>
      </c>
      <c r="E129" s="3">
        <v>2981</v>
      </c>
      <c r="F129" s="3">
        <v>6</v>
      </c>
      <c r="G129" s="3" t="s">
        <v>10</v>
      </c>
      <c r="H129" s="3" t="s">
        <v>212</v>
      </c>
      <c r="I129" s="3">
        <v>4</v>
      </c>
      <c r="J129" s="3" t="s">
        <v>30</v>
      </c>
      <c r="K129" s="18">
        <v>450</v>
      </c>
      <c r="L129" s="16">
        <v>530</v>
      </c>
      <c r="M129" s="6" t="str" cm="1">
        <f t="array" ref="M129">_xlfn.IFS(L129&lt;100,"Economy",L129&lt;200,"Standard",L129&lt;350,"Powerful",L129&lt;500,"High Performance",L129&lt;800,"Sports Performance",L129&gt;=800,"Super Performance")</f>
        <v>Sports Performance</v>
      </c>
    </row>
    <row r="130" spans="1:13" x14ac:dyDescent="0.25">
      <c r="A130" s="5" t="s">
        <v>297</v>
      </c>
      <c r="B130" s="3">
        <v>911</v>
      </c>
      <c r="C130" s="3" t="s">
        <v>1006</v>
      </c>
      <c r="D130" s="4">
        <v>18844000</v>
      </c>
      <c r="E130" s="3">
        <v>2981</v>
      </c>
      <c r="F130" s="3">
        <v>6</v>
      </c>
      <c r="G130" s="3" t="s">
        <v>10</v>
      </c>
      <c r="H130" s="3" t="s">
        <v>206</v>
      </c>
      <c r="I130" s="3">
        <v>4</v>
      </c>
      <c r="J130" s="3" t="s">
        <v>30</v>
      </c>
      <c r="K130" s="18">
        <v>450</v>
      </c>
      <c r="L130" s="16">
        <v>530</v>
      </c>
      <c r="M130" s="6" t="str" cm="1">
        <f t="array" ref="M130">_xlfn.IFS(L130&lt;100,"Economy",L130&lt;200,"Standard",L130&lt;350,"Powerful",L130&lt;500,"High Performance",L130&lt;800,"Sports Performance",L130&gt;=800,"Super Performance")</f>
        <v>Sports Performance</v>
      </c>
    </row>
    <row r="131" spans="1:13" x14ac:dyDescent="0.25">
      <c r="A131" s="5" t="s">
        <v>150</v>
      </c>
      <c r="B131" s="3" t="s">
        <v>950</v>
      </c>
      <c r="C131" s="3" t="s">
        <v>219</v>
      </c>
      <c r="D131" s="4">
        <v>17229579</v>
      </c>
      <c r="E131" s="3">
        <v>4691</v>
      </c>
      <c r="F131" s="3">
        <v>8</v>
      </c>
      <c r="G131" s="3" t="s">
        <v>10</v>
      </c>
      <c r="H131" s="3" t="s">
        <v>212</v>
      </c>
      <c r="I131" s="3">
        <v>4</v>
      </c>
      <c r="J131" s="3" t="s">
        <v>30</v>
      </c>
      <c r="K131" s="18">
        <v>460</v>
      </c>
      <c r="L131" s="16">
        <v>520</v>
      </c>
      <c r="M131" s="6" t="str" cm="1">
        <f t="array" ref="M131">_xlfn.IFS(L131&lt;100,"Economy",L131&lt;200,"Standard",L131&lt;350,"Powerful",L131&lt;500,"High Performance",L131&lt;800,"Sports Performance",L131&gt;=800,"Super Performance")</f>
        <v>Sports Performance</v>
      </c>
    </row>
    <row r="132" spans="1:13" x14ac:dyDescent="0.25">
      <c r="A132" s="5" t="s">
        <v>40</v>
      </c>
      <c r="B132" s="3" t="s">
        <v>938</v>
      </c>
      <c r="C132" s="3" t="s">
        <v>939</v>
      </c>
      <c r="D132" s="4">
        <v>7462000</v>
      </c>
      <c r="E132" s="3">
        <v>4951</v>
      </c>
      <c r="F132" s="3">
        <v>8</v>
      </c>
      <c r="G132" s="3" t="s">
        <v>10</v>
      </c>
      <c r="H132" s="3" t="s">
        <v>1391</v>
      </c>
      <c r="I132" s="3">
        <v>4</v>
      </c>
      <c r="J132" s="3" t="s">
        <v>30</v>
      </c>
      <c r="K132" s="18">
        <v>401</v>
      </c>
      <c r="L132" s="16">
        <v>515</v>
      </c>
      <c r="M132" s="6" t="str" cm="1">
        <f t="array" ref="M132">_xlfn.IFS(L132&lt;100,"Economy",L132&lt;200,"Standard",L132&lt;350,"Powerful",L132&lt;500,"High Performance",L132&lt;800,"Sports Performance",L132&gt;=800,"Super Performance")</f>
        <v>Sports Performance</v>
      </c>
    </row>
    <row r="133" spans="1:13" x14ac:dyDescent="0.25">
      <c r="A133" s="5" t="s">
        <v>150</v>
      </c>
      <c r="B133" s="3" t="s">
        <v>986</v>
      </c>
      <c r="C133" s="3" t="s">
        <v>937</v>
      </c>
      <c r="D133" s="4">
        <v>19865675</v>
      </c>
      <c r="E133" s="3">
        <v>4691</v>
      </c>
      <c r="F133" s="3">
        <v>8</v>
      </c>
      <c r="G133" s="3" t="s">
        <v>10</v>
      </c>
      <c r="H133" s="3" t="s">
        <v>206</v>
      </c>
      <c r="I133" s="3">
        <v>4</v>
      </c>
      <c r="J133" s="3" t="s">
        <v>30</v>
      </c>
      <c r="K133" s="18">
        <v>450</v>
      </c>
      <c r="L133" s="16">
        <v>510</v>
      </c>
      <c r="M133" s="6" t="str" cm="1">
        <f t="array" ref="M133">_xlfn.IFS(L133&lt;100,"Economy",L133&lt;200,"Standard",L133&lt;350,"Powerful",L133&lt;500,"High Performance",L133&lt;800,"Sports Performance",L133&gt;=800,"Super Performance")</f>
        <v>Sports Performance</v>
      </c>
    </row>
    <row r="134" spans="1:13" x14ac:dyDescent="0.25">
      <c r="A134" s="5" t="s">
        <v>68</v>
      </c>
      <c r="B134" s="3" t="s">
        <v>76</v>
      </c>
      <c r="C134" s="3" t="s">
        <v>77</v>
      </c>
      <c r="D134" s="4">
        <v>7243000</v>
      </c>
      <c r="E134" s="3">
        <v>2995</v>
      </c>
      <c r="F134" s="3">
        <v>6</v>
      </c>
      <c r="G134" s="3" t="s">
        <v>10</v>
      </c>
      <c r="H134" s="3" t="s">
        <v>27</v>
      </c>
      <c r="I134" s="3">
        <v>5</v>
      </c>
      <c r="J134" s="3" t="s">
        <v>30</v>
      </c>
      <c r="K134" s="18">
        <v>333</v>
      </c>
      <c r="L134" s="16">
        <v>500</v>
      </c>
      <c r="M134" s="6" t="str" cm="1">
        <f t="array" ref="M134">_xlfn.IFS(L134&lt;100,"Economy",L134&lt;200,"Standard",L134&lt;350,"Powerful",L134&lt;500,"High Performance",L134&lt;800,"Sports Performance",L134&gt;=800,"Super Performance")</f>
        <v>Sports Performance</v>
      </c>
    </row>
    <row r="135" spans="1:13" x14ac:dyDescent="0.25">
      <c r="A135" s="5" t="s">
        <v>90</v>
      </c>
      <c r="B135" s="3" t="s">
        <v>174</v>
      </c>
      <c r="C135" s="3" t="s">
        <v>175</v>
      </c>
      <c r="D135" s="4">
        <v>7370000</v>
      </c>
      <c r="E135" s="3">
        <v>1950</v>
      </c>
      <c r="F135" s="3">
        <v>4</v>
      </c>
      <c r="G135" s="3" t="s">
        <v>36</v>
      </c>
      <c r="H135" s="3" t="s">
        <v>66</v>
      </c>
      <c r="I135" s="3">
        <v>5</v>
      </c>
      <c r="J135" s="3" t="s">
        <v>30</v>
      </c>
      <c r="K135" s="18">
        <v>245</v>
      </c>
      <c r="L135" s="16">
        <v>500</v>
      </c>
      <c r="M135" s="6" t="str" cm="1">
        <f t="array" ref="M135">_xlfn.IFS(L135&lt;100,"Economy",L135&lt;200,"Standard",L135&lt;350,"Powerful",L135&lt;500,"High Performance",L135&lt;800,"Sports Performance",L135&gt;=800,"Super Performance")</f>
        <v>Sports Performance</v>
      </c>
    </row>
    <row r="136" spans="1:13" x14ac:dyDescent="0.25">
      <c r="A136" s="5" t="s">
        <v>90</v>
      </c>
      <c r="B136" s="3" t="s">
        <v>177</v>
      </c>
      <c r="C136" s="3" t="s">
        <v>178</v>
      </c>
      <c r="D136" s="4">
        <v>8470000</v>
      </c>
      <c r="E136" s="3">
        <v>1950</v>
      </c>
      <c r="F136" s="3">
        <v>4</v>
      </c>
      <c r="G136" s="3" t="s">
        <v>36</v>
      </c>
      <c r="H136" s="3" t="s">
        <v>27</v>
      </c>
      <c r="I136" s="3">
        <v>5</v>
      </c>
      <c r="J136" s="3" t="s">
        <v>30</v>
      </c>
      <c r="K136" s="18">
        <v>245</v>
      </c>
      <c r="L136" s="16">
        <v>500</v>
      </c>
      <c r="M136" s="6" t="str" cm="1">
        <f t="array" ref="M136">_xlfn.IFS(L136&lt;100,"Economy",L136&lt;200,"Standard",L136&lt;350,"Powerful",L136&lt;500,"High Performance",L136&lt;800,"Sports Performance",L136&gt;=800,"Super Performance")</f>
        <v>Sports Performance</v>
      </c>
    </row>
    <row r="137" spans="1:13" x14ac:dyDescent="0.25">
      <c r="A137" s="5" t="s">
        <v>68</v>
      </c>
      <c r="B137" s="3" t="s">
        <v>209</v>
      </c>
      <c r="C137" s="3" t="s">
        <v>210</v>
      </c>
      <c r="D137" s="4">
        <v>15600000</v>
      </c>
      <c r="E137" s="3">
        <v>2995</v>
      </c>
      <c r="F137" s="3">
        <v>8</v>
      </c>
      <c r="G137" s="3" t="s">
        <v>10</v>
      </c>
      <c r="H137" s="3" t="s">
        <v>27</v>
      </c>
      <c r="I137" s="3">
        <v>4</v>
      </c>
      <c r="J137" s="3" t="s">
        <v>30</v>
      </c>
      <c r="K137" s="18">
        <v>340</v>
      </c>
      <c r="L137" s="16">
        <v>500</v>
      </c>
      <c r="M137" s="6" t="str" cm="1">
        <f t="array" ref="M137">_xlfn.IFS(L137&lt;100,"Economy",L137&lt;200,"Standard",L137&lt;350,"Powerful",L137&lt;500,"High Performance",L137&lt;800,"Sports Performance",L137&gt;=800,"Super Performance")</f>
        <v>Sports Performance</v>
      </c>
    </row>
    <row r="138" spans="1:13" x14ac:dyDescent="0.25">
      <c r="A138" s="5" t="s">
        <v>78</v>
      </c>
      <c r="B138" s="3" t="s">
        <v>250</v>
      </c>
      <c r="C138" s="3" t="s">
        <v>252</v>
      </c>
      <c r="D138" s="4">
        <v>7890000</v>
      </c>
      <c r="E138" s="3">
        <v>2998</v>
      </c>
      <c r="F138" s="3">
        <v>6</v>
      </c>
      <c r="G138" s="3" t="s">
        <v>10</v>
      </c>
      <c r="H138" s="3" t="s">
        <v>1389</v>
      </c>
      <c r="I138" s="3">
        <v>2</v>
      </c>
      <c r="J138" s="3" t="s">
        <v>30</v>
      </c>
      <c r="K138" s="18">
        <v>340</v>
      </c>
      <c r="L138" s="16">
        <v>500</v>
      </c>
      <c r="M138" s="6" t="str" cm="1">
        <f t="array" ref="M138">_xlfn.IFS(L138&lt;100,"Economy",L138&lt;200,"Standard",L138&lt;350,"Powerful",L138&lt;500,"High Performance",L138&lt;800,"Sports Performance",L138&gt;=800,"Super Performance")</f>
        <v>Sports Performance</v>
      </c>
    </row>
    <row r="139" spans="1:13" x14ac:dyDescent="0.25">
      <c r="A139" s="5" t="s">
        <v>68</v>
      </c>
      <c r="B139" s="3" t="s">
        <v>562</v>
      </c>
      <c r="C139" s="3" t="s">
        <v>563</v>
      </c>
      <c r="D139" s="4">
        <v>13359500</v>
      </c>
      <c r="E139" s="3">
        <v>2995</v>
      </c>
      <c r="F139" s="3">
        <v>4</v>
      </c>
      <c r="G139" s="3" t="s">
        <v>10</v>
      </c>
      <c r="H139" s="3" t="s">
        <v>66</v>
      </c>
      <c r="I139" s="3">
        <v>7</v>
      </c>
      <c r="J139" s="3" t="s">
        <v>30</v>
      </c>
      <c r="K139" s="18">
        <v>340</v>
      </c>
      <c r="L139" s="16">
        <v>500</v>
      </c>
      <c r="M139" s="6" t="str" cm="1">
        <f t="array" ref="M139">_xlfn.IFS(L139&lt;100,"Economy",L139&lt;200,"Standard",L139&lt;350,"Powerful",L139&lt;500,"High Performance",L139&lt;800,"Sports Performance",L139&gt;=800,"Super Performance")</f>
        <v>Sports Performance</v>
      </c>
    </row>
    <row r="140" spans="1:13" x14ac:dyDescent="0.25">
      <c r="A140" s="5" t="s">
        <v>90</v>
      </c>
      <c r="B140" s="3" t="s">
        <v>683</v>
      </c>
      <c r="C140" s="3" t="s">
        <v>789</v>
      </c>
      <c r="D140" s="4">
        <v>4974750</v>
      </c>
      <c r="E140" s="3">
        <v>1950</v>
      </c>
      <c r="F140" s="3">
        <v>4</v>
      </c>
      <c r="G140" s="3" t="s">
        <v>36</v>
      </c>
      <c r="H140" s="3" t="s">
        <v>27</v>
      </c>
      <c r="I140" s="3">
        <v>5</v>
      </c>
      <c r="J140" s="3" t="s">
        <v>30</v>
      </c>
      <c r="K140" s="18">
        <v>241</v>
      </c>
      <c r="L140" s="16">
        <v>500</v>
      </c>
      <c r="M140" s="6" t="str" cm="1">
        <f t="array" ref="M140">_xlfn.IFS(L140&lt;100,"Economy",L140&lt;200,"Standard",L140&lt;350,"Powerful",L140&lt;500,"High Performance",L140&lt;800,"Sports Performance",L140&gt;=800,"Super Performance")</f>
        <v>Sports Performance</v>
      </c>
    </row>
    <row r="141" spans="1:13" x14ac:dyDescent="0.25">
      <c r="A141" s="5" t="s">
        <v>150</v>
      </c>
      <c r="B141" s="3" t="s">
        <v>1019</v>
      </c>
      <c r="C141" s="3" t="s">
        <v>152</v>
      </c>
      <c r="D141" s="4">
        <v>14863774</v>
      </c>
      <c r="E141" s="3">
        <v>2979</v>
      </c>
      <c r="F141" s="3">
        <v>6</v>
      </c>
      <c r="G141" s="3" t="s">
        <v>36</v>
      </c>
      <c r="H141" s="3" t="s">
        <v>66</v>
      </c>
      <c r="I141" s="3">
        <v>4</v>
      </c>
      <c r="J141" s="3" t="s">
        <v>30</v>
      </c>
      <c r="K141" s="18">
        <v>350</v>
      </c>
      <c r="L141" s="16">
        <v>500</v>
      </c>
      <c r="M141" s="6" t="str" cm="1">
        <f t="array" ref="M141">_xlfn.IFS(L141&lt;100,"Economy",L141&lt;200,"Standard",L141&lt;350,"Powerful",L141&lt;500,"High Performance",L141&lt;800,"Sports Performance",L141&gt;=800,"Super Performance")</f>
        <v>Sports Performance</v>
      </c>
    </row>
    <row r="142" spans="1:13" x14ac:dyDescent="0.25">
      <c r="A142" s="5" t="s">
        <v>382</v>
      </c>
      <c r="B142" s="3" t="s">
        <v>441</v>
      </c>
      <c r="C142" s="3" t="s">
        <v>445</v>
      </c>
      <c r="D142" s="4">
        <v>8491500</v>
      </c>
      <c r="E142" s="3">
        <v>1969</v>
      </c>
      <c r="F142" s="3">
        <v>4</v>
      </c>
      <c r="G142" s="3" t="s">
        <v>36</v>
      </c>
      <c r="H142" s="3" t="s">
        <v>66</v>
      </c>
      <c r="I142" s="3">
        <v>7</v>
      </c>
      <c r="J142" s="3" t="s">
        <v>30</v>
      </c>
      <c r="K142" s="18">
        <v>235</v>
      </c>
      <c r="L142" s="16">
        <v>480</v>
      </c>
      <c r="M142" s="6" t="str" cm="1">
        <f t="array" ref="M142">_xlfn.IFS(L142&lt;100,"Economy",L142&lt;200,"Standard",L142&lt;350,"Powerful",L142&lt;500,"High Performance",L142&lt;800,"Sports Performance",L142&gt;=800,"Super Performance")</f>
        <v>High Performance</v>
      </c>
    </row>
    <row r="143" spans="1:13" x14ac:dyDescent="0.25">
      <c r="A143" s="5" t="s">
        <v>382</v>
      </c>
      <c r="B143" s="3" t="s">
        <v>509</v>
      </c>
      <c r="C143" s="3" t="s">
        <v>442</v>
      </c>
      <c r="D143" s="4">
        <v>6531000</v>
      </c>
      <c r="E143" s="3">
        <v>1969</v>
      </c>
      <c r="F143" s="3">
        <v>4</v>
      </c>
      <c r="G143" s="3" t="s">
        <v>36</v>
      </c>
      <c r="H143" s="3" t="s">
        <v>66</v>
      </c>
      <c r="I143" s="3">
        <v>5</v>
      </c>
      <c r="J143" s="3" t="s">
        <v>30</v>
      </c>
      <c r="K143" s="18">
        <v>235</v>
      </c>
      <c r="L143" s="16">
        <v>480</v>
      </c>
      <c r="M143" s="6" t="str" cm="1">
        <f t="array" ref="M143">_xlfn.IFS(L143&lt;100,"Economy",L143&lt;200,"Standard",L143&lt;350,"Powerful",L143&lt;500,"High Performance",L143&lt;800,"Sports Performance",L143&gt;=800,"Super Performance")</f>
        <v>High Performance</v>
      </c>
    </row>
    <row r="144" spans="1:13" x14ac:dyDescent="0.25">
      <c r="A144" s="5" t="s">
        <v>297</v>
      </c>
      <c r="B144" s="3" t="s">
        <v>694</v>
      </c>
      <c r="C144" s="3" t="s">
        <v>323</v>
      </c>
      <c r="D144" s="4">
        <v>8503000</v>
      </c>
      <c r="E144" s="3">
        <v>2995</v>
      </c>
      <c r="F144" s="3">
        <v>6</v>
      </c>
      <c r="G144" s="3" t="s">
        <v>10</v>
      </c>
      <c r="H144" s="3" t="s">
        <v>66</v>
      </c>
      <c r="I144" s="3">
        <v>5</v>
      </c>
      <c r="J144" s="3" t="s">
        <v>30</v>
      </c>
      <c r="K144" s="18">
        <v>349</v>
      </c>
      <c r="L144" s="16">
        <v>480</v>
      </c>
      <c r="M144" s="6" t="str" cm="1">
        <f t="array" ref="M144">_xlfn.IFS(L144&lt;100,"Economy",L144&lt;200,"Standard",L144&lt;350,"Powerful",L144&lt;500,"High Performance",L144&lt;800,"Sports Performance",L144&gt;=800,"Super Performance")</f>
        <v>High Performance</v>
      </c>
    </row>
    <row r="145" spans="1:13" x14ac:dyDescent="0.25">
      <c r="A145" s="5" t="s">
        <v>90</v>
      </c>
      <c r="B145" s="3" t="s">
        <v>940</v>
      </c>
      <c r="C145" s="3" t="s">
        <v>941</v>
      </c>
      <c r="D145" s="4">
        <v>7711338</v>
      </c>
      <c r="E145" s="3">
        <v>2996</v>
      </c>
      <c r="F145" s="3">
        <v>6</v>
      </c>
      <c r="G145" s="3" t="s">
        <v>10</v>
      </c>
      <c r="H145" s="3" t="s">
        <v>206</v>
      </c>
      <c r="I145" s="3">
        <v>4</v>
      </c>
      <c r="J145" s="3" t="s">
        <v>30</v>
      </c>
      <c r="K145" s="18">
        <v>334</v>
      </c>
      <c r="L145" s="16">
        <v>480</v>
      </c>
      <c r="M145" s="6" t="str" cm="1">
        <f t="array" ref="M145">_xlfn.IFS(L145&lt;100,"Economy",L145&lt;200,"Standard",L145&lt;350,"Powerful",L145&lt;500,"High Performance",L145&lt;800,"Sports Performance",L145&gt;=800,"Super Performance")</f>
        <v>High Performance</v>
      </c>
    </row>
    <row r="146" spans="1:13" x14ac:dyDescent="0.25">
      <c r="A146" s="5" t="s">
        <v>90</v>
      </c>
      <c r="B146" s="3" t="s">
        <v>1015</v>
      </c>
      <c r="C146" s="3" t="s">
        <v>1017</v>
      </c>
      <c r="D146" s="4">
        <v>8776900</v>
      </c>
      <c r="E146" s="3">
        <v>2996</v>
      </c>
      <c r="F146" s="3">
        <v>8</v>
      </c>
      <c r="G146" s="3" t="s">
        <v>10</v>
      </c>
      <c r="H146" s="3" t="s">
        <v>66</v>
      </c>
      <c r="I146" s="3">
        <v>7</v>
      </c>
      <c r="J146" s="3" t="s">
        <v>30</v>
      </c>
      <c r="K146" s="18">
        <v>333</v>
      </c>
      <c r="L146" s="16">
        <v>480</v>
      </c>
      <c r="M146" s="6" t="str" cm="1">
        <f t="array" ref="M146">_xlfn.IFS(L146&lt;100,"Economy",L146&lt;200,"Standard",L146&lt;350,"Powerful",L146&lt;500,"High Performance",L146&lt;800,"Sports Performance",L146&gt;=800,"Super Performance")</f>
        <v>High Performance</v>
      </c>
    </row>
    <row r="147" spans="1:13" x14ac:dyDescent="0.25">
      <c r="A147" s="5" t="s">
        <v>90</v>
      </c>
      <c r="B147" s="3" t="s">
        <v>1015</v>
      </c>
      <c r="C147" s="3" t="s">
        <v>1018</v>
      </c>
      <c r="D147" s="4">
        <v>8690000</v>
      </c>
      <c r="E147" s="3">
        <v>2996</v>
      </c>
      <c r="F147" s="3">
        <v>8</v>
      </c>
      <c r="G147" s="3" t="s">
        <v>10</v>
      </c>
      <c r="H147" s="3" t="s">
        <v>66</v>
      </c>
      <c r="I147" s="3">
        <v>7</v>
      </c>
      <c r="J147" s="3" t="s">
        <v>30</v>
      </c>
      <c r="K147" s="18">
        <v>333</v>
      </c>
      <c r="L147" s="16">
        <v>480</v>
      </c>
      <c r="M147" s="6" t="str" cm="1">
        <f t="array" ref="M147">_xlfn.IFS(L147&lt;100,"Economy",L147&lt;200,"Standard",L147&lt;350,"Powerful",L147&lt;500,"High Performance",L147&lt;800,"Sports Performance",L147&gt;=800,"Super Performance")</f>
        <v>High Performance</v>
      </c>
    </row>
    <row r="148" spans="1:13" x14ac:dyDescent="0.25">
      <c r="A148" s="5" t="s">
        <v>90</v>
      </c>
      <c r="B148" s="3" t="s">
        <v>948</v>
      </c>
      <c r="C148" s="3" t="s">
        <v>1126</v>
      </c>
      <c r="D148" s="4">
        <v>13976653</v>
      </c>
      <c r="E148" s="3">
        <v>2996</v>
      </c>
      <c r="F148" s="3">
        <v>6</v>
      </c>
      <c r="G148" s="3" t="s">
        <v>10</v>
      </c>
      <c r="H148" s="3" t="s">
        <v>27</v>
      </c>
      <c r="I148" s="3">
        <v>5</v>
      </c>
      <c r="J148" s="3" t="s">
        <v>30</v>
      </c>
      <c r="K148" s="18">
        <v>333</v>
      </c>
      <c r="L148" s="16">
        <v>480</v>
      </c>
      <c r="M148" s="6" t="str" cm="1">
        <f t="array" ref="M148">_xlfn.IFS(L148&lt;100,"Economy",L148&lt;200,"Standard",L148&lt;350,"Powerful",L148&lt;500,"High Performance",L148&lt;800,"Sports Performance",L148&gt;=800,"Super Performance")</f>
        <v>High Performance</v>
      </c>
    </row>
    <row r="149" spans="1:13" x14ac:dyDescent="0.25">
      <c r="A149" s="5" t="s">
        <v>382</v>
      </c>
      <c r="B149" s="3" t="s">
        <v>1138</v>
      </c>
      <c r="C149" s="3" t="s">
        <v>1139</v>
      </c>
      <c r="D149" s="4">
        <v>5990000</v>
      </c>
      <c r="E149" s="3">
        <v>1969</v>
      </c>
      <c r="F149" s="3">
        <v>5</v>
      </c>
      <c r="G149" s="3" t="s">
        <v>36</v>
      </c>
      <c r="H149" s="3" t="s">
        <v>66</v>
      </c>
      <c r="I149" s="3">
        <v>5</v>
      </c>
      <c r="J149" s="3" t="s">
        <v>30</v>
      </c>
      <c r="K149" s="18">
        <v>233</v>
      </c>
      <c r="L149" s="16">
        <v>480</v>
      </c>
      <c r="M149" s="6" t="str" cm="1">
        <f t="array" ref="M149">_xlfn.IFS(L149&lt;100,"Economy",L149&lt;200,"Standard",L149&lt;350,"Powerful",L149&lt;500,"High Performance",L149&lt;800,"Sports Performance",L149&gt;=800,"Super Performance")</f>
        <v>High Performance</v>
      </c>
    </row>
    <row r="150" spans="1:13" x14ac:dyDescent="0.25">
      <c r="A150" s="5" t="s">
        <v>90</v>
      </c>
      <c r="B150" s="3" t="s">
        <v>1316</v>
      </c>
      <c r="C150" s="3" t="s">
        <v>1319</v>
      </c>
      <c r="D150" s="4">
        <v>8067000</v>
      </c>
      <c r="E150" s="3">
        <v>1991</v>
      </c>
      <c r="F150" s="3">
        <v>4</v>
      </c>
      <c r="G150" s="3" t="s">
        <v>10</v>
      </c>
      <c r="H150" s="3" t="s">
        <v>66</v>
      </c>
      <c r="I150" s="3">
        <v>5</v>
      </c>
      <c r="J150" s="3" t="s">
        <v>30</v>
      </c>
      <c r="K150" s="18">
        <v>375</v>
      </c>
      <c r="L150" s="16">
        <v>475</v>
      </c>
      <c r="M150" s="6" t="str" cm="1">
        <f t="array" ref="M150">_xlfn.IFS(L150&lt;100,"Economy",L150&lt;200,"Standard",L150&lt;350,"Powerful",L150&lt;500,"High Performance",L150&lt;800,"Sports Performance",L150&gt;=800,"Super Performance")</f>
        <v>High Performance</v>
      </c>
    </row>
    <row r="151" spans="1:13" x14ac:dyDescent="0.25">
      <c r="A151" s="5" t="s">
        <v>382</v>
      </c>
      <c r="B151" s="3" t="s">
        <v>441</v>
      </c>
      <c r="C151" s="3" t="s">
        <v>442</v>
      </c>
      <c r="D151" s="4">
        <v>8790000</v>
      </c>
      <c r="E151" s="3">
        <v>1969</v>
      </c>
      <c r="F151" s="3">
        <v>4</v>
      </c>
      <c r="G151" s="3" t="s">
        <v>36</v>
      </c>
      <c r="H151" s="3" t="s">
        <v>66</v>
      </c>
      <c r="I151" s="3">
        <v>7</v>
      </c>
      <c r="J151" s="3" t="s">
        <v>30</v>
      </c>
      <c r="K151" s="18">
        <v>225</v>
      </c>
      <c r="L151" s="16">
        <v>470</v>
      </c>
      <c r="M151" s="6" t="str" cm="1">
        <f t="array" ref="M151">_xlfn.IFS(L151&lt;100,"Economy",L151&lt;200,"Standard",L151&lt;350,"Powerful",L151&lt;500,"High Performance",L151&lt;800,"Sports Performance",L151&gt;=800,"Super Performance")</f>
        <v>High Performance</v>
      </c>
    </row>
    <row r="152" spans="1:13" x14ac:dyDescent="0.25">
      <c r="A152" s="5" t="s">
        <v>382</v>
      </c>
      <c r="B152" s="3" t="s">
        <v>441</v>
      </c>
      <c r="C152" s="3" t="s">
        <v>443</v>
      </c>
      <c r="D152" s="4">
        <v>8090000</v>
      </c>
      <c r="E152" s="3">
        <v>1969</v>
      </c>
      <c r="F152" s="3">
        <v>4</v>
      </c>
      <c r="G152" s="3" t="s">
        <v>36</v>
      </c>
      <c r="H152" s="3" t="s">
        <v>66</v>
      </c>
      <c r="I152" s="3">
        <v>7</v>
      </c>
      <c r="J152" s="3" t="s">
        <v>30</v>
      </c>
      <c r="K152" s="18">
        <v>225</v>
      </c>
      <c r="L152" s="16">
        <v>470</v>
      </c>
      <c r="M152" s="6" t="str" cm="1">
        <f t="array" ref="M152">_xlfn.IFS(L152&lt;100,"Economy",L152&lt;200,"Standard",L152&lt;350,"Powerful",L152&lt;500,"High Performance",L152&lt;800,"Sports Performance",L152&gt;=800,"Super Performance")</f>
        <v>High Performance</v>
      </c>
    </row>
    <row r="153" spans="1:13" x14ac:dyDescent="0.25">
      <c r="A153" s="5" t="s">
        <v>40</v>
      </c>
      <c r="B153" s="3" t="s">
        <v>1023</v>
      </c>
      <c r="C153" s="3" t="s">
        <v>1024</v>
      </c>
      <c r="D153" s="4">
        <v>3470000</v>
      </c>
      <c r="E153" s="3">
        <v>3198</v>
      </c>
      <c r="F153" s="3">
        <v>5</v>
      </c>
      <c r="G153" s="3" t="s">
        <v>36</v>
      </c>
      <c r="H153" s="3" t="s">
        <v>66</v>
      </c>
      <c r="I153" s="3">
        <v>7</v>
      </c>
      <c r="J153" s="3" t="s">
        <v>30</v>
      </c>
      <c r="K153" s="18">
        <v>200</v>
      </c>
      <c r="L153" s="16">
        <v>470</v>
      </c>
      <c r="M153" s="6" t="str" cm="1">
        <f t="array" ref="M153">_xlfn.IFS(L153&lt;100,"Economy",L153&lt;200,"Standard",L153&lt;350,"Powerful",L153&lt;500,"High Performance",L153&lt;800,"Sports Performance",L153&gt;=800,"Super Performance")</f>
        <v>High Performance</v>
      </c>
    </row>
    <row r="154" spans="1:13" x14ac:dyDescent="0.25">
      <c r="A154" s="5" t="s">
        <v>382</v>
      </c>
      <c r="B154" s="3" t="s">
        <v>652</v>
      </c>
      <c r="C154" s="3" t="s">
        <v>1260</v>
      </c>
      <c r="D154" s="4">
        <v>5602000</v>
      </c>
      <c r="E154" s="3">
        <v>1969</v>
      </c>
      <c r="F154" s="3">
        <v>4</v>
      </c>
      <c r="G154" s="3" t="s">
        <v>10</v>
      </c>
      <c r="H154" s="3" t="s">
        <v>27</v>
      </c>
      <c r="I154" s="3">
        <v>5</v>
      </c>
      <c r="J154" s="3" t="s">
        <v>30</v>
      </c>
      <c r="K154" s="18">
        <v>372</v>
      </c>
      <c r="L154" s="16">
        <v>470</v>
      </c>
      <c r="M154" s="6" t="str" cm="1">
        <f t="array" ref="M154">_xlfn.IFS(L154&lt;100,"Economy",L154&lt;200,"Standard",L154&lt;350,"Powerful",L154&lt;500,"High Performance",L154&lt;800,"Sports Performance",L154&gt;=800,"Super Performance")</f>
        <v>High Performance</v>
      </c>
    </row>
    <row r="155" spans="1:13" x14ac:dyDescent="0.25">
      <c r="A155" s="5" t="s">
        <v>1394</v>
      </c>
      <c r="B155" s="3" t="s">
        <v>79</v>
      </c>
      <c r="C155" s="3" t="s">
        <v>82</v>
      </c>
      <c r="D155" s="4">
        <v>8290000</v>
      </c>
      <c r="E155" s="3">
        <v>2998</v>
      </c>
      <c r="F155" s="3">
        <v>6</v>
      </c>
      <c r="G155" s="3" t="s">
        <v>10</v>
      </c>
      <c r="H155" s="3" t="s">
        <v>66</v>
      </c>
      <c r="I155" s="3">
        <v>5</v>
      </c>
      <c r="J155" s="3" t="s">
        <v>30</v>
      </c>
      <c r="K155" s="18">
        <v>340</v>
      </c>
      <c r="L155" s="16">
        <v>450</v>
      </c>
      <c r="M155" s="6" t="str" cm="1">
        <f t="array" ref="M155">_xlfn.IFS(L155&lt;100,"Economy",L155&lt;200,"Standard",L155&lt;350,"Powerful",L155&lt;500,"High Performance",L155&lt;800,"Sports Performance",L155&gt;=800,"Super Performance")</f>
        <v>High Performance</v>
      </c>
    </row>
    <row r="156" spans="1:13" x14ac:dyDescent="0.25">
      <c r="A156" s="5" t="s">
        <v>78</v>
      </c>
      <c r="B156" s="3" t="s">
        <v>275</v>
      </c>
      <c r="C156" s="3" t="s">
        <v>276</v>
      </c>
      <c r="D156" s="4">
        <v>10490000</v>
      </c>
      <c r="E156" s="3">
        <v>2998</v>
      </c>
      <c r="F156" s="3">
        <v>6</v>
      </c>
      <c r="G156" s="3" t="s">
        <v>10</v>
      </c>
      <c r="H156" s="3" t="s">
        <v>66</v>
      </c>
      <c r="I156" s="3">
        <v>7</v>
      </c>
      <c r="J156" s="3" t="s">
        <v>30</v>
      </c>
      <c r="K156" s="18">
        <v>335</v>
      </c>
      <c r="L156" s="16">
        <v>450</v>
      </c>
      <c r="M156" s="6" t="str" cm="1">
        <f t="array" ref="M156">_xlfn.IFS(L156&lt;100,"Economy",L156&lt;200,"Standard",L156&lt;350,"Powerful",L156&lt;500,"High Performance",L156&lt;800,"Sports Performance",L156&gt;=800,"Super Performance")</f>
        <v>High Performance</v>
      </c>
    </row>
    <row r="157" spans="1:13" x14ac:dyDescent="0.25">
      <c r="A157" s="5" t="s">
        <v>287</v>
      </c>
      <c r="B157" s="3" t="s">
        <v>288</v>
      </c>
      <c r="C157" s="3" t="s">
        <v>291</v>
      </c>
      <c r="D157" s="4">
        <v>8433741</v>
      </c>
      <c r="E157" s="3">
        <v>2995</v>
      </c>
      <c r="F157" s="3">
        <v>6</v>
      </c>
      <c r="G157" s="3" t="s">
        <v>10</v>
      </c>
      <c r="H157" s="3" t="s">
        <v>66</v>
      </c>
      <c r="I157" s="3">
        <v>7</v>
      </c>
      <c r="J157" s="3" t="s">
        <v>30</v>
      </c>
      <c r="K157" s="18">
        <v>394</v>
      </c>
      <c r="L157" s="16">
        <v>450</v>
      </c>
      <c r="M157" s="6" t="str" cm="1">
        <f t="array" ref="M157">_xlfn.IFS(L157&lt;100,"Economy",L157&lt;200,"Standard",L157&lt;350,"Powerful",L157&lt;500,"High Performance",L157&lt;800,"Sports Performance",L157&gt;=800,"Super Performance")</f>
        <v>High Performance</v>
      </c>
    </row>
    <row r="158" spans="1:13" x14ac:dyDescent="0.25">
      <c r="A158" s="5" t="s">
        <v>287</v>
      </c>
      <c r="B158" s="3" t="s">
        <v>288</v>
      </c>
      <c r="C158" s="3" t="s">
        <v>292</v>
      </c>
      <c r="D158" s="4">
        <v>8077550</v>
      </c>
      <c r="E158" s="3">
        <v>2995</v>
      </c>
      <c r="F158" s="3">
        <v>6</v>
      </c>
      <c r="G158" s="3" t="s">
        <v>10</v>
      </c>
      <c r="H158" s="3" t="s">
        <v>66</v>
      </c>
      <c r="I158" s="3">
        <v>7</v>
      </c>
      <c r="J158" s="3" t="s">
        <v>30</v>
      </c>
      <c r="K158" s="18">
        <v>394</v>
      </c>
      <c r="L158" s="16">
        <v>450</v>
      </c>
      <c r="M158" s="6" t="str" cm="1">
        <f t="array" ref="M158">_xlfn.IFS(L158&lt;100,"Economy",L158&lt;200,"Standard",L158&lt;350,"Powerful",L158&lt;500,"High Performance",L158&lt;800,"Sports Performance",L158&gt;=800,"Super Performance")</f>
        <v>High Performance</v>
      </c>
    </row>
    <row r="159" spans="1:13" x14ac:dyDescent="0.25">
      <c r="A159" s="5" t="s">
        <v>287</v>
      </c>
      <c r="B159" s="3" t="s">
        <v>288</v>
      </c>
      <c r="C159" s="3" t="s">
        <v>294</v>
      </c>
      <c r="D159" s="4">
        <v>7693664</v>
      </c>
      <c r="E159" s="3">
        <v>2995</v>
      </c>
      <c r="F159" s="3">
        <v>6</v>
      </c>
      <c r="G159" s="3" t="s">
        <v>10</v>
      </c>
      <c r="H159" s="3" t="s">
        <v>66</v>
      </c>
      <c r="I159" s="3">
        <v>7</v>
      </c>
      <c r="J159" s="3" t="s">
        <v>30</v>
      </c>
      <c r="K159" s="18">
        <v>394</v>
      </c>
      <c r="L159" s="16">
        <v>450</v>
      </c>
      <c r="M159" s="6" t="str" cm="1">
        <f t="array" ref="M159">_xlfn.IFS(L159&lt;100,"Economy",L159&lt;200,"Standard",L159&lt;350,"Powerful",L159&lt;500,"High Performance",L159&lt;800,"Sports Performance",L159&gt;=800,"Super Performance")</f>
        <v>High Performance</v>
      </c>
    </row>
    <row r="160" spans="1:13" x14ac:dyDescent="0.25">
      <c r="A160" s="5" t="s">
        <v>287</v>
      </c>
      <c r="B160" s="3" t="s">
        <v>288</v>
      </c>
      <c r="C160" s="3" t="s">
        <v>296</v>
      </c>
      <c r="D160" s="4">
        <v>8937846</v>
      </c>
      <c r="E160" s="3">
        <v>2995</v>
      </c>
      <c r="F160" s="3">
        <v>6</v>
      </c>
      <c r="G160" s="3" t="s">
        <v>10</v>
      </c>
      <c r="H160" s="3" t="s">
        <v>66</v>
      </c>
      <c r="I160" s="3">
        <v>7</v>
      </c>
      <c r="J160" s="3" t="s">
        <v>30</v>
      </c>
      <c r="K160" s="18">
        <v>394</v>
      </c>
      <c r="L160" s="16">
        <v>450</v>
      </c>
      <c r="M160" s="6" t="str" cm="1">
        <f t="array" ref="M160">_xlfn.IFS(L160&lt;100,"Economy",L160&lt;200,"Standard",L160&lt;350,"Powerful",L160&lt;500,"High Performance",L160&lt;800,"Sports Performance",L160&gt;=800,"Super Performance")</f>
        <v>High Performance</v>
      </c>
    </row>
    <row r="161" spans="1:13" x14ac:dyDescent="0.25">
      <c r="A161" s="5" t="s">
        <v>297</v>
      </c>
      <c r="B161" s="3" t="s">
        <v>298</v>
      </c>
      <c r="C161" s="3" t="s">
        <v>299</v>
      </c>
      <c r="D161" s="4">
        <v>13151000</v>
      </c>
      <c r="E161" s="3">
        <v>2995</v>
      </c>
      <c r="F161" s="3">
        <v>6</v>
      </c>
      <c r="G161" s="3" t="s">
        <v>10</v>
      </c>
      <c r="H161" s="3" t="s">
        <v>66</v>
      </c>
      <c r="I161" s="3">
        <v>5</v>
      </c>
      <c r="J161" s="3" t="s">
        <v>30</v>
      </c>
      <c r="K161" s="18">
        <v>340</v>
      </c>
      <c r="L161" s="16">
        <v>450</v>
      </c>
      <c r="M161" s="6" t="str" cm="1">
        <f t="array" ref="M161">_xlfn.IFS(L161&lt;100,"Economy",L161&lt;200,"Standard",L161&lt;350,"Powerful",L161&lt;500,"High Performance",L161&lt;800,"Sports Performance",L161&gt;=800,"Super Performance")</f>
        <v>High Performance</v>
      </c>
    </row>
    <row r="162" spans="1:13" x14ac:dyDescent="0.25">
      <c r="A162" s="5" t="s">
        <v>78</v>
      </c>
      <c r="B162" s="3" t="s">
        <v>558</v>
      </c>
      <c r="C162" s="3" t="s">
        <v>559</v>
      </c>
      <c r="D162" s="4">
        <v>13510000</v>
      </c>
      <c r="E162" s="3">
        <v>2998</v>
      </c>
      <c r="F162" s="3">
        <v>6</v>
      </c>
      <c r="G162" s="3" t="s">
        <v>10</v>
      </c>
      <c r="H162" s="3" t="s">
        <v>27</v>
      </c>
      <c r="I162" s="3">
        <v>4</v>
      </c>
      <c r="J162" s="3" t="s">
        <v>30</v>
      </c>
      <c r="K162" s="18">
        <v>340</v>
      </c>
      <c r="L162" s="16">
        <v>450</v>
      </c>
      <c r="M162" s="6" t="str" cm="1">
        <f t="array" ref="M162">_xlfn.IFS(L162&lt;100,"Economy",L162&lt;200,"Standard",L162&lt;350,"Powerful",L162&lt;500,"High Performance",L162&lt;800,"Sports Performance",L162&gt;=800,"Super Performance")</f>
        <v>High Performance</v>
      </c>
    </row>
    <row r="163" spans="1:13" x14ac:dyDescent="0.25">
      <c r="A163" s="5" t="s">
        <v>78</v>
      </c>
      <c r="B163" s="3" t="s">
        <v>558</v>
      </c>
      <c r="C163" s="3" t="s">
        <v>560</v>
      </c>
      <c r="D163" s="4">
        <v>16500000</v>
      </c>
      <c r="E163" s="3">
        <v>2998</v>
      </c>
      <c r="F163" s="3">
        <v>6</v>
      </c>
      <c r="G163" s="3" t="s">
        <v>194</v>
      </c>
      <c r="H163" s="3" t="s">
        <v>27</v>
      </c>
      <c r="I163" s="3">
        <v>4</v>
      </c>
      <c r="J163" s="3" t="s">
        <v>30</v>
      </c>
      <c r="K163" s="18">
        <v>286</v>
      </c>
      <c r="L163" s="16">
        <v>450</v>
      </c>
      <c r="M163" s="6" t="str" cm="1">
        <f t="array" ref="M163">_xlfn.IFS(L163&lt;100,"Economy",L163&lt;200,"Standard",L163&lt;350,"Powerful",L163&lt;500,"High Performance",L163&lt;800,"Sports Performance",L163&gt;=800,"Super Performance")</f>
        <v>High Performance</v>
      </c>
    </row>
    <row r="164" spans="1:13" x14ac:dyDescent="0.25">
      <c r="A164" s="5" t="s">
        <v>146</v>
      </c>
      <c r="B164" s="3" t="s">
        <v>147</v>
      </c>
      <c r="C164" s="3" t="s">
        <v>582</v>
      </c>
      <c r="D164" s="4">
        <v>11476911</v>
      </c>
      <c r="E164" s="3">
        <v>2995</v>
      </c>
      <c r="F164" s="3">
        <v>6</v>
      </c>
      <c r="G164" s="3" t="s">
        <v>10</v>
      </c>
      <c r="H164" s="3" t="s">
        <v>66</v>
      </c>
      <c r="I164" s="3">
        <v>7</v>
      </c>
      <c r="J164" s="3" t="s">
        <v>30</v>
      </c>
      <c r="K164" s="18">
        <v>335</v>
      </c>
      <c r="L164" s="16">
        <v>450</v>
      </c>
      <c r="M164" s="6" t="str" cm="1">
        <f t="array" ref="M164">_xlfn.IFS(L164&lt;100,"Economy",L164&lt;200,"Standard",L164&lt;350,"Powerful",L164&lt;500,"High Performance",L164&lt;800,"Sports Performance",L164&gt;=800,"Super Performance")</f>
        <v>High Performance</v>
      </c>
    </row>
    <row r="165" spans="1:13" x14ac:dyDescent="0.25">
      <c r="A165" s="5" t="s">
        <v>146</v>
      </c>
      <c r="B165" s="3" t="s">
        <v>147</v>
      </c>
      <c r="C165" s="3" t="s">
        <v>584</v>
      </c>
      <c r="D165" s="4">
        <v>13228725</v>
      </c>
      <c r="E165" s="3">
        <v>2995</v>
      </c>
      <c r="F165" s="3">
        <v>6</v>
      </c>
      <c r="G165" s="3" t="s">
        <v>10</v>
      </c>
      <c r="H165" s="3" t="s">
        <v>66</v>
      </c>
      <c r="I165" s="3">
        <v>7</v>
      </c>
      <c r="J165" s="3" t="s">
        <v>30</v>
      </c>
      <c r="K165" s="18">
        <v>335</v>
      </c>
      <c r="L165" s="16">
        <v>450</v>
      </c>
      <c r="M165" s="6" t="str" cm="1">
        <f t="array" ref="M165">_xlfn.IFS(L165&lt;100,"Economy",L165&lt;200,"Standard",L165&lt;350,"Powerful",L165&lt;500,"High Performance",L165&lt;800,"Sports Performance",L165&gt;=800,"Super Performance")</f>
        <v>High Performance</v>
      </c>
    </row>
    <row r="166" spans="1:13" x14ac:dyDescent="0.25">
      <c r="A166" s="5" t="s">
        <v>297</v>
      </c>
      <c r="B166" s="3" t="s">
        <v>666</v>
      </c>
      <c r="C166" s="3" t="s">
        <v>667</v>
      </c>
      <c r="D166" s="4">
        <v>15806000</v>
      </c>
      <c r="E166" s="3">
        <v>2995</v>
      </c>
      <c r="F166" s="3">
        <v>6</v>
      </c>
      <c r="G166" s="3" t="s">
        <v>194</v>
      </c>
      <c r="H166" s="3" t="s">
        <v>66</v>
      </c>
      <c r="I166" s="3">
        <v>5</v>
      </c>
      <c r="J166" s="3" t="s">
        <v>30</v>
      </c>
      <c r="K166" s="18">
        <v>340</v>
      </c>
      <c r="L166" s="16">
        <v>450</v>
      </c>
      <c r="M166" s="6" t="str" cm="1">
        <f t="array" ref="M166">_xlfn.IFS(L166&lt;100,"Economy",L166&lt;200,"Standard",L166&lt;350,"Powerful",L166&lt;500,"High Performance",L166&lt;800,"Sports Performance",L166&gt;=800,"Super Performance")</f>
        <v>High Performance</v>
      </c>
    </row>
    <row r="167" spans="1:13" x14ac:dyDescent="0.25">
      <c r="A167" s="5" t="s">
        <v>297</v>
      </c>
      <c r="B167" s="3" t="s">
        <v>666</v>
      </c>
      <c r="C167" s="3" t="s">
        <v>299</v>
      </c>
      <c r="D167" s="4">
        <v>11936000</v>
      </c>
      <c r="E167" s="3">
        <v>2995</v>
      </c>
      <c r="F167" s="3">
        <v>6</v>
      </c>
      <c r="G167" s="3" t="s">
        <v>10</v>
      </c>
      <c r="H167" s="3" t="s">
        <v>66</v>
      </c>
      <c r="I167" s="3">
        <v>5</v>
      </c>
      <c r="J167" s="3" t="s">
        <v>30</v>
      </c>
      <c r="K167" s="18">
        <v>335</v>
      </c>
      <c r="L167" s="16">
        <v>450</v>
      </c>
      <c r="M167" s="6" t="str" cm="1">
        <f t="array" ref="M167">_xlfn.IFS(L167&lt;100,"Economy",L167&lt;200,"Standard",L167&lt;350,"Powerful",L167&lt;500,"High Performance",L167&lt;800,"Sports Performance",L167&gt;=800,"Super Performance")</f>
        <v>High Performance</v>
      </c>
    </row>
    <row r="168" spans="1:13" x14ac:dyDescent="0.25">
      <c r="A168" s="5" t="s">
        <v>146</v>
      </c>
      <c r="B168" s="3" t="s">
        <v>585</v>
      </c>
      <c r="C168" s="3" t="s">
        <v>1031</v>
      </c>
      <c r="D168" s="4">
        <v>19527130</v>
      </c>
      <c r="E168" s="3">
        <v>2995</v>
      </c>
      <c r="F168" s="3">
        <v>6</v>
      </c>
      <c r="G168" s="3" t="s">
        <v>10</v>
      </c>
      <c r="H168" s="3" t="s">
        <v>66</v>
      </c>
      <c r="I168" s="3">
        <v>7</v>
      </c>
      <c r="J168" s="3" t="s">
        <v>30</v>
      </c>
      <c r="K168" s="18">
        <v>335</v>
      </c>
      <c r="L168" s="16">
        <v>450</v>
      </c>
      <c r="M168" s="6" t="str" cm="1">
        <f t="array" ref="M168">_xlfn.IFS(L168&lt;100,"Economy",L168&lt;200,"Standard",L168&lt;350,"Powerful",L168&lt;500,"High Performance",L168&lt;800,"Sports Performance",L168&gt;=800,"Super Performance")</f>
        <v>High Performance</v>
      </c>
    </row>
    <row r="169" spans="1:13" x14ac:dyDescent="0.25">
      <c r="A169" s="5" t="s">
        <v>146</v>
      </c>
      <c r="B169" s="3" t="s">
        <v>585</v>
      </c>
      <c r="C169" s="3" t="s">
        <v>1033</v>
      </c>
      <c r="D169" s="4">
        <v>21398758</v>
      </c>
      <c r="E169" s="3">
        <v>2995</v>
      </c>
      <c r="F169" s="3">
        <v>6</v>
      </c>
      <c r="G169" s="3" t="s">
        <v>10</v>
      </c>
      <c r="H169" s="3" t="s">
        <v>66</v>
      </c>
      <c r="I169" s="3">
        <v>7</v>
      </c>
      <c r="J169" s="3" t="s">
        <v>30</v>
      </c>
      <c r="K169" s="18">
        <v>335</v>
      </c>
      <c r="L169" s="16">
        <v>450</v>
      </c>
      <c r="M169" s="6" t="str" cm="1">
        <f t="array" ref="M169">_xlfn.IFS(L169&lt;100,"Economy",L169&lt;200,"Standard",L169&lt;350,"Powerful",L169&lt;500,"High Performance",L169&lt;800,"Sports Performance",L169&gt;=800,"Super Performance")</f>
        <v>High Performance</v>
      </c>
    </row>
    <row r="170" spans="1:13" x14ac:dyDescent="0.25">
      <c r="A170" s="5" t="s">
        <v>55</v>
      </c>
      <c r="B170" s="3" t="s">
        <v>1084</v>
      </c>
      <c r="C170" s="3" t="s">
        <v>1085</v>
      </c>
      <c r="D170" s="4">
        <v>3205000</v>
      </c>
      <c r="E170" s="3">
        <v>2755</v>
      </c>
      <c r="F170" s="3">
        <v>4</v>
      </c>
      <c r="G170" s="3" t="s">
        <v>36</v>
      </c>
      <c r="H170" s="3" t="s">
        <v>66</v>
      </c>
      <c r="I170" s="3">
        <v>7</v>
      </c>
      <c r="J170" s="3" t="s">
        <v>30</v>
      </c>
      <c r="K170" s="18">
        <v>177</v>
      </c>
      <c r="L170" s="16">
        <v>450</v>
      </c>
      <c r="M170" s="6" t="str" cm="1">
        <f t="array" ref="M170">_xlfn.IFS(L170&lt;100,"Economy",L170&lt;200,"Standard",L170&lt;350,"Powerful",L170&lt;500,"High Performance",L170&lt;800,"Sports Performance",L170&gt;=800,"Super Performance")</f>
        <v>High Performance</v>
      </c>
    </row>
    <row r="171" spans="1:13" x14ac:dyDescent="0.25">
      <c r="A171" s="5" t="s">
        <v>55</v>
      </c>
      <c r="B171" s="3" t="s">
        <v>1084</v>
      </c>
      <c r="C171" s="3" t="s">
        <v>1088</v>
      </c>
      <c r="D171" s="4">
        <v>3395000</v>
      </c>
      <c r="E171" s="3">
        <v>2755</v>
      </c>
      <c r="F171" s="3">
        <v>4</v>
      </c>
      <c r="G171" s="3" t="s">
        <v>36</v>
      </c>
      <c r="H171" s="3" t="s">
        <v>66</v>
      </c>
      <c r="I171" s="3">
        <v>7</v>
      </c>
      <c r="J171" s="3" t="s">
        <v>30</v>
      </c>
      <c r="K171" s="18">
        <v>177</v>
      </c>
      <c r="L171" s="16">
        <v>450</v>
      </c>
      <c r="M171" s="6" t="str" cm="1">
        <f t="array" ref="M171">_xlfn.IFS(L171&lt;100,"Economy",L171&lt;200,"Standard",L171&lt;350,"Powerful",L171&lt;500,"High Performance",L171&lt;800,"Sports Performance",L171&gt;=800,"Super Performance")</f>
        <v>High Performance</v>
      </c>
    </row>
    <row r="172" spans="1:13" x14ac:dyDescent="0.25">
      <c r="A172" s="5" t="s">
        <v>55</v>
      </c>
      <c r="B172" s="3" t="s">
        <v>1084</v>
      </c>
      <c r="C172" s="3" t="s">
        <v>1091</v>
      </c>
      <c r="D172" s="4">
        <v>3420000</v>
      </c>
      <c r="E172" s="3">
        <v>2755</v>
      </c>
      <c r="F172" s="3">
        <v>4</v>
      </c>
      <c r="G172" s="3" t="s">
        <v>36</v>
      </c>
      <c r="H172" s="3" t="s">
        <v>66</v>
      </c>
      <c r="I172" s="3">
        <v>7</v>
      </c>
      <c r="J172" s="3" t="s">
        <v>30</v>
      </c>
      <c r="K172" s="18">
        <v>177</v>
      </c>
      <c r="L172" s="16">
        <v>450</v>
      </c>
      <c r="M172" s="6" t="str" cm="1">
        <f t="array" ref="M172">_xlfn.IFS(L172&lt;100,"Economy",L172&lt;200,"Standard",L172&lt;350,"Powerful",L172&lt;500,"High Performance",L172&lt;800,"Sports Performance",L172&gt;=800,"Super Performance")</f>
        <v>High Performance</v>
      </c>
    </row>
    <row r="173" spans="1:13" x14ac:dyDescent="0.25">
      <c r="A173" s="5" t="s">
        <v>90</v>
      </c>
      <c r="B173" s="3" t="s">
        <v>1316</v>
      </c>
      <c r="C173" s="3" t="s">
        <v>1317</v>
      </c>
      <c r="D173" s="4">
        <v>7784944</v>
      </c>
      <c r="E173" s="3">
        <v>1991</v>
      </c>
      <c r="F173" s="3">
        <v>4</v>
      </c>
      <c r="G173" s="3" t="s">
        <v>10</v>
      </c>
      <c r="H173" s="3" t="s">
        <v>66</v>
      </c>
      <c r="I173" s="3">
        <v>5</v>
      </c>
      <c r="J173" s="3" t="s">
        <v>30</v>
      </c>
      <c r="K173" s="18">
        <v>360</v>
      </c>
      <c r="L173" s="16">
        <v>450</v>
      </c>
      <c r="M173" s="6" t="str" cm="1">
        <f t="array" ref="M173">_xlfn.IFS(L173&lt;100,"Economy",L173&lt;200,"Standard",L173&lt;350,"Powerful",L173&lt;500,"High Performance",L173&lt;800,"Sports Performance",L173&gt;=800,"Super Performance")</f>
        <v>High Performance</v>
      </c>
    </row>
    <row r="174" spans="1:13" x14ac:dyDescent="0.25">
      <c r="A174" s="5" t="s">
        <v>589</v>
      </c>
      <c r="B174" s="3" t="s">
        <v>1112</v>
      </c>
      <c r="C174" s="3" t="s">
        <v>1113</v>
      </c>
      <c r="D174" s="4">
        <v>6862560</v>
      </c>
      <c r="E174" s="3">
        <v>3200</v>
      </c>
      <c r="F174" s="3">
        <v>4</v>
      </c>
      <c r="G174" s="3" t="s">
        <v>36</v>
      </c>
      <c r="H174" s="3" t="s">
        <v>66</v>
      </c>
      <c r="I174" s="3">
        <v>7</v>
      </c>
      <c r="J174" s="3" t="s">
        <v>30</v>
      </c>
      <c r="K174" s="18">
        <v>202</v>
      </c>
      <c r="L174" s="16">
        <v>441</v>
      </c>
      <c r="M174" s="6" t="str" cm="1">
        <f t="array" ref="M174">_xlfn.IFS(L174&lt;100,"Economy",L174&lt;200,"Standard",L174&lt;350,"Powerful",L174&lt;500,"High Performance",L174&lt;800,"Sports Performance",L174&gt;=800,"Super Performance")</f>
        <v>High Performance</v>
      </c>
    </row>
    <row r="175" spans="1:13" x14ac:dyDescent="0.25">
      <c r="A175" s="5" t="s">
        <v>239</v>
      </c>
      <c r="B175" s="3" t="s">
        <v>240</v>
      </c>
      <c r="C175" s="3" t="s">
        <v>241</v>
      </c>
      <c r="D175" s="4">
        <v>2495000</v>
      </c>
      <c r="E175" s="3">
        <v>2199</v>
      </c>
      <c r="F175" s="3">
        <v>4</v>
      </c>
      <c r="G175" s="3" t="s">
        <v>36</v>
      </c>
      <c r="H175" s="3" t="s">
        <v>242</v>
      </c>
      <c r="I175" s="3">
        <v>7</v>
      </c>
      <c r="J175" s="3" t="s">
        <v>30</v>
      </c>
      <c r="K175" s="18">
        <v>200</v>
      </c>
      <c r="L175" s="16">
        <v>440</v>
      </c>
      <c r="M175" s="6" t="str" cm="1">
        <f t="array" ref="M175">_xlfn.IFS(L175&lt;100,"Economy",L175&lt;200,"Standard",L175&lt;350,"Powerful",L175&lt;500,"High Performance",L175&lt;800,"Sports Performance",L175&gt;=800,"Super Performance")</f>
        <v>High Performance</v>
      </c>
    </row>
    <row r="176" spans="1:13" x14ac:dyDescent="0.25">
      <c r="A176" s="5" t="s">
        <v>239</v>
      </c>
      <c r="B176" s="3" t="s">
        <v>240</v>
      </c>
      <c r="C176" s="3" t="s">
        <v>243</v>
      </c>
      <c r="D176" s="4">
        <v>2515000</v>
      </c>
      <c r="E176" s="3">
        <v>2199</v>
      </c>
      <c r="F176" s="3">
        <v>4</v>
      </c>
      <c r="G176" s="3" t="s">
        <v>36</v>
      </c>
      <c r="H176" s="3" t="s">
        <v>242</v>
      </c>
      <c r="I176" s="3">
        <v>7</v>
      </c>
      <c r="J176" s="3" t="s">
        <v>30</v>
      </c>
      <c r="K176" s="18">
        <v>200</v>
      </c>
      <c r="L176" s="16">
        <v>440</v>
      </c>
      <c r="M176" s="6" t="str" cm="1">
        <f t="array" ref="M176">_xlfn.IFS(L176&lt;100,"Economy",L176&lt;200,"Standard",L176&lt;350,"Powerful",L176&lt;500,"High Performance",L176&lt;800,"Sports Performance",L176&gt;=800,"Super Performance")</f>
        <v>High Performance</v>
      </c>
    </row>
    <row r="177" spans="1:13" x14ac:dyDescent="0.25">
      <c r="A177" s="5" t="s">
        <v>239</v>
      </c>
      <c r="B177" s="3" t="s">
        <v>240</v>
      </c>
      <c r="C177" s="3" t="s">
        <v>244</v>
      </c>
      <c r="D177" s="4">
        <v>2895000</v>
      </c>
      <c r="E177" s="3">
        <v>2199</v>
      </c>
      <c r="F177" s="3">
        <v>4</v>
      </c>
      <c r="G177" s="3" t="s">
        <v>36</v>
      </c>
      <c r="H177" s="3" t="s">
        <v>242</v>
      </c>
      <c r="I177" s="3">
        <v>7</v>
      </c>
      <c r="J177" s="3" t="s">
        <v>30</v>
      </c>
      <c r="K177" s="18">
        <v>200</v>
      </c>
      <c r="L177" s="16">
        <v>440</v>
      </c>
      <c r="M177" s="6" t="str" cm="1">
        <f t="array" ref="M177">_xlfn.IFS(L177&lt;100,"Economy",L177&lt;200,"Standard",L177&lt;350,"Powerful",L177&lt;500,"High Performance",L177&lt;800,"Sports Performance",L177&gt;=800,"Super Performance")</f>
        <v>High Performance</v>
      </c>
    </row>
    <row r="178" spans="1:13" x14ac:dyDescent="0.25">
      <c r="A178" s="5" t="s">
        <v>239</v>
      </c>
      <c r="B178" s="3" t="s">
        <v>240</v>
      </c>
      <c r="C178" s="3" t="s">
        <v>245</v>
      </c>
      <c r="D178" s="4">
        <v>2995000</v>
      </c>
      <c r="E178" s="3">
        <v>2199</v>
      </c>
      <c r="F178" s="3">
        <v>4</v>
      </c>
      <c r="G178" s="3" t="s">
        <v>36</v>
      </c>
      <c r="H178" s="3" t="s">
        <v>242</v>
      </c>
      <c r="I178" s="3">
        <v>7</v>
      </c>
      <c r="J178" s="3" t="s">
        <v>30</v>
      </c>
      <c r="K178" s="18">
        <v>200</v>
      </c>
      <c r="L178" s="16">
        <v>440</v>
      </c>
      <c r="M178" s="6" t="str" cm="1">
        <f t="array" ref="M178">_xlfn.IFS(L178&lt;100,"Economy",L178&lt;200,"Standard",L178&lt;350,"Powerful",L178&lt;500,"High Performance",L178&lt;800,"Sports Performance",L178&gt;=800,"Super Performance")</f>
        <v>High Performance</v>
      </c>
    </row>
    <row r="179" spans="1:13" x14ac:dyDescent="0.25">
      <c r="A179" s="5" t="s">
        <v>239</v>
      </c>
      <c r="B179" s="3" t="s">
        <v>240</v>
      </c>
      <c r="C179" s="3" t="s">
        <v>246</v>
      </c>
      <c r="D179" s="4">
        <v>3395000</v>
      </c>
      <c r="E179" s="3">
        <v>2199</v>
      </c>
      <c r="F179" s="3">
        <v>4</v>
      </c>
      <c r="G179" s="3" t="s">
        <v>36</v>
      </c>
      <c r="H179" s="3" t="s">
        <v>242</v>
      </c>
      <c r="I179" s="3">
        <v>7</v>
      </c>
      <c r="J179" s="3" t="s">
        <v>30</v>
      </c>
      <c r="K179" s="18">
        <v>200</v>
      </c>
      <c r="L179" s="16">
        <v>440</v>
      </c>
      <c r="M179" s="6" t="str" cm="1">
        <f t="array" ref="M179">_xlfn.IFS(L179&lt;100,"Economy",L179&lt;200,"Standard",L179&lt;350,"Powerful",L179&lt;500,"High Performance",L179&lt;800,"Sports Performance",L179&gt;=800,"Super Performance")</f>
        <v>High Performance</v>
      </c>
    </row>
    <row r="180" spans="1:13" x14ac:dyDescent="0.25">
      <c r="A180" s="5" t="s">
        <v>280</v>
      </c>
      <c r="B180" s="3" t="s">
        <v>507</v>
      </c>
      <c r="C180" s="3" t="s">
        <v>508</v>
      </c>
      <c r="D180" s="4">
        <v>6463780</v>
      </c>
      <c r="E180" s="3">
        <v>1999</v>
      </c>
      <c r="F180" s="3">
        <v>4</v>
      </c>
      <c r="G180" s="3" t="s">
        <v>36</v>
      </c>
      <c r="H180" s="3" t="s">
        <v>66</v>
      </c>
      <c r="I180" s="3">
        <v>5</v>
      </c>
      <c r="J180" s="3" t="s">
        <v>30</v>
      </c>
      <c r="K180" s="18">
        <v>180</v>
      </c>
      <c r="L180" s="16">
        <v>430</v>
      </c>
      <c r="M180" s="6" t="str" cm="1">
        <f t="array" ref="M180">_xlfn.IFS(L180&lt;100,"Economy",L180&lt;200,"Standard",L180&lt;350,"Powerful",L180&lt;500,"High Performance",L180&lt;800,"Sports Performance",L180&gt;=800,"Super Performance")</f>
        <v>High Performance</v>
      </c>
    </row>
    <row r="181" spans="1:13" x14ac:dyDescent="0.25">
      <c r="A181" s="5" t="s">
        <v>280</v>
      </c>
      <c r="B181" s="3" t="s">
        <v>346</v>
      </c>
      <c r="C181" s="3" t="s">
        <v>473</v>
      </c>
      <c r="D181" s="4">
        <v>4498000</v>
      </c>
      <c r="E181" s="3">
        <v>1999</v>
      </c>
      <c r="F181" s="3">
        <v>4</v>
      </c>
      <c r="G181" s="3" t="s">
        <v>36</v>
      </c>
      <c r="H181" s="3" t="s">
        <v>27</v>
      </c>
      <c r="I181" s="3">
        <v>4</v>
      </c>
      <c r="J181" s="3" t="s">
        <v>30</v>
      </c>
      <c r="K181" s="18">
        <v>180</v>
      </c>
      <c r="L181" s="16">
        <v>430</v>
      </c>
      <c r="M181" s="6" t="str" cm="1">
        <f t="array" ref="M181">_xlfn.IFS(L181&lt;100,"Economy",L181&lt;200,"Standard",L181&lt;350,"Powerful",L181&lt;500,"High Performance",L181&lt;800,"Sports Performance",L181&gt;=800,"Super Performance")</f>
        <v>High Performance</v>
      </c>
    </row>
    <row r="182" spans="1:13" x14ac:dyDescent="0.25">
      <c r="A182" s="5" t="s">
        <v>280</v>
      </c>
      <c r="B182" s="3" t="s">
        <v>346</v>
      </c>
      <c r="C182" s="3" t="s">
        <v>554</v>
      </c>
      <c r="D182" s="4">
        <v>4633000</v>
      </c>
      <c r="E182" s="3">
        <v>1999</v>
      </c>
      <c r="F182" s="3">
        <v>4</v>
      </c>
      <c r="G182" s="3" t="s">
        <v>36</v>
      </c>
      <c r="H182" s="3" t="s">
        <v>27</v>
      </c>
      <c r="I182" s="3">
        <v>4</v>
      </c>
      <c r="J182" s="3" t="s">
        <v>30</v>
      </c>
      <c r="K182" s="18">
        <v>180</v>
      </c>
      <c r="L182" s="16">
        <v>430</v>
      </c>
      <c r="M182" s="6" t="str" cm="1">
        <f t="array" ref="M182">_xlfn.IFS(L182&lt;100,"Economy",L182&lt;200,"Standard",L182&lt;350,"Powerful",L182&lt;500,"High Performance",L182&lt;800,"Sports Performance",L182&gt;=800,"Super Performance")</f>
        <v>High Performance</v>
      </c>
    </row>
    <row r="183" spans="1:13" x14ac:dyDescent="0.25">
      <c r="A183" s="5" t="s">
        <v>287</v>
      </c>
      <c r="B183" s="3" t="s">
        <v>555</v>
      </c>
      <c r="C183" s="3" t="s">
        <v>323</v>
      </c>
      <c r="D183" s="4">
        <v>5706000</v>
      </c>
      <c r="E183" s="3">
        <v>1999</v>
      </c>
      <c r="F183" s="3">
        <v>4</v>
      </c>
      <c r="G183" s="3" t="s">
        <v>36</v>
      </c>
      <c r="H183" s="3" t="s">
        <v>66</v>
      </c>
      <c r="I183" s="3">
        <v>7</v>
      </c>
      <c r="J183" s="3" t="s">
        <v>30</v>
      </c>
      <c r="K183" s="18">
        <v>179</v>
      </c>
      <c r="L183" s="16">
        <v>430</v>
      </c>
      <c r="M183" s="6" t="str" cm="1">
        <f t="array" ref="M183">_xlfn.IFS(L183&lt;100,"Economy",L183&lt;200,"Standard",L183&lt;350,"Powerful",L183&lt;500,"High Performance",L183&lt;800,"Sports Performance",L183&gt;=800,"Super Performance")</f>
        <v>High Performance</v>
      </c>
    </row>
    <row r="184" spans="1:13" x14ac:dyDescent="0.25">
      <c r="A184" s="5" t="s">
        <v>287</v>
      </c>
      <c r="B184" s="3" t="s">
        <v>555</v>
      </c>
      <c r="C184" s="3" t="s">
        <v>556</v>
      </c>
      <c r="D184" s="4">
        <v>6089000</v>
      </c>
      <c r="E184" s="3">
        <v>1999</v>
      </c>
      <c r="F184" s="3">
        <v>4</v>
      </c>
      <c r="G184" s="3" t="s">
        <v>36</v>
      </c>
      <c r="H184" s="3" t="s">
        <v>66</v>
      </c>
      <c r="I184" s="3">
        <v>7</v>
      </c>
      <c r="J184" s="3" t="s">
        <v>30</v>
      </c>
      <c r="K184" s="18">
        <v>179</v>
      </c>
      <c r="L184" s="16">
        <v>430</v>
      </c>
      <c r="M184" s="6" t="str" cm="1">
        <f t="array" ref="M184">_xlfn.IFS(L184&lt;100,"Economy",L184&lt;200,"Standard",L184&lt;350,"Powerful",L184&lt;500,"High Performance",L184&lt;800,"Sports Performance",L184&gt;=800,"Super Performance")</f>
        <v>High Performance</v>
      </c>
    </row>
    <row r="185" spans="1:13" x14ac:dyDescent="0.25">
      <c r="A185" s="5" t="s">
        <v>146</v>
      </c>
      <c r="B185" s="3" t="s">
        <v>758</v>
      </c>
      <c r="C185" s="3" t="s">
        <v>323</v>
      </c>
      <c r="D185" s="4">
        <v>5494000</v>
      </c>
      <c r="E185" s="3">
        <v>1999</v>
      </c>
      <c r="F185" s="3">
        <v>4</v>
      </c>
      <c r="G185" s="3" t="s">
        <v>36</v>
      </c>
      <c r="H185" s="3" t="s">
        <v>66</v>
      </c>
      <c r="I185" s="3">
        <v>5</v>
      </c>
      <c r="J185" s="3" t="s">
        <v>30</v>
      </c>
      <c r="K185" s="18">
        <v>179</v>
      </c>
      <c r="L185" s="16">
        <v>430</v>
      </c>
      <c r="M185" s="6" t="str" cm="1">
        <f t="array" ref="M185">_xlfn.IFS(L185&lt;100,"Economy",L185&lt;200,"Standard",L185&lt;350,"Powerful",L185&lt;500,"High Performance",L185&lt;800,"Sports Performance",L185&gt;=800,"Super Performance")</f>
        <v>High Performance</v>
      </c>
    </row>
    <row r="186" spans="1:13" x14ac:dyDescent="0.25">
      <c r="A186" s="5" t="s">
        <v>146</v>
      </c>
      <c r="B186" s="3" t="s">
        <v>758</v>
      </c>
      <c r="C186" s="3" t="s">
        <v>759</v>
      </c>
      <c r="D186" s="4">
        <v>5985000</v>
      </c>
      <c r="E186" s="3">
        <v>1999</v>
      </c>
      <c r="F186" s="3">
        <v>4</v>
      </c>
      <c r="G186" s="3" t="s">
        <v>36</v>
      </c>
      <c r="H186" s="3" t="s">
        <v>66</v>
      </c>
      <c r="I186" s="3">
        <v>5</v>
      </c>
      <c r="J186" s="3" t="s">
        <v>30</v>
      </c>
      <c r="K186" s="18">
        <v>179</v>
      </c>
      <c r="L186" s="16">
        <v>430</v>
      </c>
      <c r="M186" s="6" t="str" cm="1">
        <f t="array" ref="M186">_xlfn.IFS(L186&lt;100,"Economy",L186&lt;200,"Standard",L186&lt;350,"Powerful",L186&lt;500,"High Performance",L186&lt;800,"Sports Performance",L186&gt;=800,"Super Performance")</f>
        <v>High Performance</v>
      </c>
    </row>
    <row r="187" spans="1:13" x14ac:dyDescent="0.25">
      <c r="A187" s="5" t="s">
        <v>280</v>
      </c>
      <c r="B187" s="3" t="s">
        <v>1208</v>
      </c>
      <c r="C187" s="3" t="s">
        <v>1211</v>
      </c>
      <c r="D187" s="4">
        <v>6138811</v>
      </c>
      <c r="E187" s="3">
        <v>1999</v>
      </c>
      <c r="F187" s="3">
        <v>4</v>
      </c>
      <c r="G187" s="3" t="s">
        <v>36</v>
      </c>
      <c r="H187" s="3" t="s">
        <v>27</v>
      </c>
      <c r="I187" s="3">
        <v>5</v>
      </c>
      <c r="J187" s="3" t="s">
        <v>30</v>
      </c>
      <c r="K187" s="18">
        <v>180</v>
      </c>
      <c r="L187" s="16">
        <v>430</v>
      </c>
      <c r="M187" s="6" t="str" cm="1">
        <f t="array" ref="M187">_xlfn.IFS(L187&lt;100,"Economy",L187&lt;200,"Standard",L187&lt;350,"Powerful",L187&lt;500,"High Performance",L187&lt;800,"Sports Performance",L187&gt;=800,"Super Performance")</f>
        <v>High Performance</v>
      </c>
    </row>
    <row r="188" spans="1:13" x14ac:dyDescent="0.25">
      <c r="A188" s="5" t="s">
        <v>280</v>
      </c>
      <c r="B188" s="3" t="s">
        <v>1208</v>
      </c>
      <c r="C188" s="3" t="s">
        <v>1212</v>
      </c>
      <c r="D188" s="4">
        <v>5506622</v>
      </c>
      <c r="E188" s="3">
        <v>1999</v>
      </c>
      <c r="F188" s="3">
        <v>4</v>
      </c>
      <c r="G188" s="3" t="s">
        <v>36</v>
      </c>
      <c r="H188" s="3" t="s">
        <v>27</v>
      </c>
      <c r="I188" s="3">
        <v>5</v>
      </c>
      <c r="J188" s="3" t="s">
        <v>30</v>
      </c>
      <c r="K188" s="18">
        <v>180</v>
      </c>
      <c r="L188" s="16">
        <v>430</v>
      </c>
      <c r="M188" s="6" t="str" cm="1">
        <f t="array" ref="M188">_xlfn.IFS(L188&lt;100,"Economy",L188&lt;200,"Standard",L188&lt;350,"Powerful",L188&lt;500,"High Performance",L188&lt;800,"Sports Performance",L188&gt;=800,"Super Performance")</f>
        <v>High Performance</v>
      </c>
    </row>
    <row r="189" spans="1:13" x14ac:dyDescent="0.25">
      <c r="A189" s="5" t="s">
        <v>280</v>
      </c>
      <c r="B189" s="3" t="s">
        <v>1208</v>
      </c>
      <c r="C189" s="3" t="s">
        <v>1216</v>
      </c>
      <c r="D189" s="4">
        <v>4977080</v>
      </c>
      <c r="E189" s="3">
        <v>1999</v>
      </c>
      <c r="F189" s="3">
        <v>4</v>
      </c>
      <c r="G189" s="3" t="s">
        <v>36</v>
      </c>
      <c r="H189" s="3" t="s">
        <v>27</v>
      </c>
      <c r="I189" s="3">
        <v>5</v>
      </c>
      <c r="J189" s="3" t="s">
        <v>30</v>
      </c>
      <c r="K189" s="18">
        <v>180</v>
      </c>
      <c r="L189" s="16">
        <v>430</v>
      </c>
      <c r="M189" s="6" t="str" cm="1">
        <f t="array" ref="M189">_xlfn.IFS(L189&lt;100,"Economy",L189&lt;200,"Standard",L189&lt;350,"Powerful",L189&lt;500,"High Performance",L189&lt;800,"Sports Performance",L189&gt;=800,"Super Performance")</f>
        <v>High Performance</v>
      </c>
    </row>
    <row r="190" spans="1:13" x14ac:dyDescent="0.25">
      <c r="A190" s="5" t="s">
        <v>146</v>
      </c>
      <c r="B190" s="3" t="s">
        <v>320</v>
      </c>
      <c r="C190" s="3" t="s">
        <v>1268</v>
      </c>
      <c r="D190" s="4">
        <v>7246802</v>
      </c>
      <c r="E190" s="3">
        <v>1999</v>
      </c>
      <c r="F190" s="3">
        <v>4</v>
      </c>
      <c r="G190" s="3" t="s">
        <v>36</v>
      </c>
      <c r="H190" s="3" t="s">
        <v>66</v>
      </c>
      <c r="I190" s="3">
        <v>5</v>
      </c>
      <c r="J190" s="3" t="s">
        <v>30</v>
      </c>
      <c r="K190" s="18">
        <v>179</v>
      </c>
      <c r="L190" s="16">
        <v>430</v>
      </c>
      <c r="M190" s="6" t="str" cm="1">
        <f t="array" ref="M190">_xlfn.IFS(L190&lt;100,"Economy",L190&lt;200,"Standard",L190&lt;350,"Powerful",L190&lt;500,"High Performance",L190&lt;800,"Sports Performance",L190&gt;=800,"Super Performance")</f>
        <v>High Performance</v>
      </c>
    </row>
    <row r="191" spans="1:13" x14ac:dyDescent="0.25">
      <c r="A191" s="5" t="s">
        <v>202</v>
      </c>
      <c r="B191" s="3" t="s">
        <v>203</v>
      </c>
      <c r="C191" s="3" t="s">
        <v>204</v>
      </c>
      <c r="D191" s="4">
        <v>2770150</v>
      </c>
      <c r="E191" s="3">
        <v>2157</v>
      </c>
      <c r="F191" s="3">
        <v>4</v>
      </c>
      <c r="G191" s="3" t="s">
        <v>36</v>
      </c>
      <c r="H191" s="3" t="s">
        <v>66</v>
      </c>
      <c r="I191" s="3">
        <v>7</v>
      </c>
      <c r="J191" s="3" t="s">
        <v>30</v>
      </c>
      <c r="K191" s="18">
        <v>178</v>
      </c>
      <c r="L191" s="16">
        <v>420</v>
      </c>
      <c r="M191" s="6" t="str" cm="1">
        <f t="array" ref="M191">_xlfn.IFS(L191&lt;100,"Economy",L191&lt;200,"Standard",L191&lt;350,"Powerful",L191&lt;500,"High Performance",L191&lt;800,"Sports Performance",L191&gt;=800,"Super Performance")</f>
        <v>High Performance</v>
      </c>
    </row>
    <row r="192" spans="1:13" x14ac:dyDescent="0.25">
      <c r="A192" s="5" t="s">
        <v>202</v>
      </c>
      <c r="B192" s="3" t="s">
        <v>203</v>
      </c>
      <c r="C192" s="3" t="s">
        <v>205</v>
      </c>
      <c r="D192" s="4">
        <v>3070150</v>
      </c>
      <c r="E192" s="3">
        <v>2157</v>
      </c>
      <c r="F192" s="3">
        <v>4</v>
      </c>
      <c r="G192" s="3" t="s">
        <v>36</v>
      </c>
      <c r="H192" s="3" t="s">
        <v>66</v>
      </c>
      <c r="I192" s="3">
        <v>7</v>
      </c>
      <c r="J192" s="3" t="s">
        <v>30</v>
      </c>
      <c r="K192" s="18">
        <v>178</v>
      </c>
      <c r="L192" s="16">
        <v>420</v>
      </c>
      <c r="M192" s="6" t="str" cm="1">
        <f t="array" ref="M192">_xlfn.IFS(L192&lt;100,"Economy",L192&lt;200,"Standard",L192&lt;350,"Powerful",L192&lt;500,"High Performance",L192&lt;800,"Sports Performance",L192&gt;=800,"Super Performance")</f>
        <v>High Performance</v>
      </c>
    </row>
    <row r="193" spans="1:13" x14ac:dyDescent="0.25">
      <c r="A193" s="5" t="s">
        <v>382</v>
      </c>
      <c r="B193" s="3" t="s">
        <v>983</v>
      </c>
      <c r="C193" s="3" t="s">
        <v>315</v>
      </c>
      <c r="D193" s="4">
        <v>4426500</v>
      </c>
      <c r="E193" s="3">
        <v>2400</v>
      </c>
      <c r="F193" s="3">
        <v>5</v>
      </c>
      <c r="G193" s="3" t="s">
        <v>36</v>
      </c>
      <c r="H193" s="3" t="s">
        <v>1392</v>
      </c>
      <c r="I193" s="3">
        <v>4</v>
      </c>
      <c r="J193" s="3" t="s">
        <v>30</v>
      </c>
      <c r="K193" s="18">
        <v>190</v>
      </c>
      <c r="L193" s="16">
        <v>420</v>
      </c>
      <c r="M193" s="6" t="str" cm="1">
        <f t="array" ref="M193">_xlfn.IFS(L193&lt;100,"Economy",L193&lt;200,"Standard",L193&lt;350,"Powerful",L193&lt;500,"High Performance",L193&lt;800,"Sports Performance",L193&gt;=800,"Super Performance")</f>
        <v>High Performance</v>
      </c>
    </row>
    <row r="194" spans="1:13" x14ac:dyDescent="0.25">
      <c r="A194" s="5" t="s">
        <v>55</v>
      </c>
      <c r="B194" s="3" t="s">
        <v>1084</v>
      </c>
      <c r="C194" s="3" t="s">
        <v>1086</v>
      </c>
      <c r="D194" s="4">
        <v>3019000</v>
      </c>
      <c r="E194" s="3">
        <v>2755</v>
      </c>
      <c r="F194" s="3">
        <v>4</v>
      </c>
      <c r="G194" s="3" t="s">
        <v>36</v>
      </c>
      <c r="H194" s="3" t="s">
        <v>66</v>
      </c>
      <c r="I194" s="3">
        <v>7</v>
      </c>
      <c r="J194" s="3" t="s">
        <v>12</v>
      </c>
      <c r="K194" s="18">
        <v>177</v>
      </c>
      <c r="L194" s="16">
        <v>420</v>
      </c>
      <c r="M194" s="6" t="str" cm="1">
        <f t="array" ref="M194">_xlfn.IFS(L194&lt;100,"Economy",L194&lt;200,"Standard",L194&lt;350,"Powerful",L194&lt;500,"High Performance",L194&lt;800,"Sports Performance",L194&gt;=800,"Super Performance")</f>
        <v>High Performance</v>
      </c>
    </row>
    <row r="195" spans="1:13" x14ac:dyDescent="0.25">
      <c r="A195" s="5" t="s">
        <v>55</v>
      </c>
      <c r="B195" s="3" t="s">
        <v>1084</v>
      </c>
      <c r="C195" s="3" t="s">
        <v>1087</v>
      </c>
      <c r="D195" s="4">
        <v>3216000</v>
      </c>
      <c r="E195" s="3">
        <v>2755</v>
      </c>
      <c r="F195" s="3">
        <v>4</v>
      </c>
      <c r="G195" s="3" t="s">
        <v>36</v>
      </c>
      <c r="H195" s="3" t="s">
        <v>66</v>
      </c>
      <c r="I195" s="3">
        <v>7</v>
      </c>
      <c r="J195" s="3" t="s">
        <v>12</v>
      </c>
      <c r="K195" s="18">
        <v>177</v>
      </c>
      <c r="L195" s="16">
        <v>420</v>
      </c>
      <c r="M195" s="6" t="str" cm="1">
        <f t="array" ref="M195">_xlfn.IFS(L195&lt;100,"Economy",L195&lt;200,"Standard",L195&lt;350,"Powerful",L195&lt;500,"High Performance",L195&lt;800,"Sports Performance",L195&gt;=800,"Super Performance")</f>
        <v>High Performance</v>
      </c>
    </row>
    <row r="196" spans="1:13" x14ac:dyDescent="0.25">
      <c r="A196" s="5" t="s">
        <v>55</v>
      </c>
      <c r="B196" s="3" t="s">
        <v>1045</v>
      </c>
      <c r="C196" s="3" t="s">
        <v>1046</v>
      </c>
      <c r="D196" s="4">
        <v>9630000</v>
      </c>
      <c r="E196" s="3">
        <v>2982</v>
      </c>
      <c r="F196" s="3">
        <v>4</v>
      </c>
      <c r="G196" s="3" t="s">
        <v>36</v>
      </c>
      <c r="H196" s="3" t="s">
        <v>66</v>
      </c>
      <c r="I196" s="3">
        <v>7</v>
      </c>
      <c r="J196" s="3" t="s">
        <v>30</v>
      </c>
      <c r="K196" s="18">
        <v>173</v>
      </c>
      <c r="L196" s="16">
        <v>410</v>
      </c>
      <c r="M196" s="6" t="str" cm="1">
        <f t="array" ref="M196">_xlfn.IFS(L196&lt;100,"Economy",L196&lt;200,"Standard",L196&lt;350,"Powerful",L196&lt;500,"High Performance",L196&lt;800,"Sports Performance",L196&gt;=800,"Super Performance")</f>
        <v>High Performance</v>
      </c>
    </row>
    <row r="197" spans="1:13" x14ac:dyDescent="0.25">
      <c r="A197" s="5" t="s">
        <v>143</v>
      </c>
      <c r="B197" s="3" t="s">
        <v>166</v>
      </c>
      <c r="C197" s="3" t="s">
        <v>167</v>
      </c>
      <c r="D197" s="4">
        <v>3740000</v>
      </c>
      <c r="E197" s="3">
        <v>1998</v>
      </c>
      <c r="F197" s="3">
        <v>4</v>
      </c>
      <c r="G197" s="3" t="s">
        <v>36</v>
      </c>
      <c r="H197" s="3" t="s">
        <v>11</v>
      </c>
      <c r="I197" s="3">
        <v>5</v>
      </c>
      <c r="J197" s="3" t="s">
        <v>30</v>
      </c>
      <c r="K197" s="18">
        <v>190</v>
      </c>
      <c r="L197" s="16">
        <v>400</v>
      </c>
      <c r="M197" s="6" t="str" cm="1">
        <f t="array" ref="M197">_xlfn.IFS(L197&lt;100,"Economy",L197&lt;200,"Standard",L197&lt;350,"Powerful",L197&lt;500,"High Performance",L197&lt;800,"Sports Performance",L197&gt;=800,"Super Performance")</f>
        <v>High Performance</v>
      </c>
    </row>
    <row r="198" spans="1:13" x14ac:dyDescent="0.25">
      <c r="A198" s="5" t="s">
        <v>68</v>
      </c>
      <c r="B198" s="3" t="s">
        <v>195</v>
      </c>
      <c r="C198" s="3" t="s">
        <v>77</v>
      </c>
      <c r="D198" s="4">
        <v>6061200</v>
      </c>
      <c r="E198" s="3">
        <v>1968</v>
      </c>
      <c r="F198" s="3">
        <v>4</v>
      </c>
      <c r="G198" s="3" t="s">
        <v>36</v>
      </c>
      <c r="H198" s="3" t="s">
        <v>27</v>
      </c>
      <c r="I198" s="3">
        <v>5</v>
      </c>
      <c r="J198" s="3" t="s">
        <v>30</v>
      </c>
      <c r="K198" s="18">
        <v>190</v>
      </c>
      <c r="L198" s="16">
        <v>400</v>
      </c>
      <c r="M198" s="6" t="str" cm="1">
        <f t="array" ref="M198">_xlfn.IFS(L198&lt;100,"Economy",L198&lt;200,"Standard",L198&lt;350,"Powerful",L198&lt;500,"High Performance",L198&lt;800,"Sports Performance",L198&gt;=800,"Super Performance")</f>
        <v>High Performance</v>
      </c>
    </row>
    <row r="199" spans="1:13" x14ac:dyDescent="0.25">
      <c r="A199" s="5" t="s">
        <v>90</v>
      </c>
      <c r="B199" s="3" t="s">
        <v>199</v>
      </c>
      <c r="C199" s="3" t="s">
        <v>201</v>
      </c>
      <c r="D199" s="4">
        <v>5775000</v>
      </c>
      <c r="E199" s="3">
        <v>1950</v>
      </c>
      <c r="F199" s="3">
        <v>4</v>
      </c>
      <c r="G199" s="3" t="s">
        <v>36</v>
      </c>
      <c r="H199" s="3" t="s">
        <v>66</v>
      </c>
      <c r="I199" s="3">
        <v>5</v>
      </c>
      <c r="J199" s="3" t="s">
        <v>30</v>
      </c>
      <c r="K199" s="18">
        <v>194</v>
      </c>
      <c r="L199" s="16">
        <v>400</v>
      </c>
      <c r="M199" s="6" t="str" cm="1">
        <f t="array" ref="M199">_xlfn.IFS(L199&lt;100,"Economy",L199&lt;200,"Standard",L199&lt;350,"Powerful",L199&lt;500,"High Performance",L199&lt;800,"Sports Performance",L199&gt;=800,"Super Performance")</f>
        <v>High Performance</v>
      </c>
    </row>
    <row r="200" spans="1:13" x14ac:dyDescent="0.25">
      <c r="A200" s="5" t="s">
        <v>68</v>
      </c>
      <c r="B200" s="3" t="s">
        <v>273</v>
      </c>
      <c r="C200" s="3" t="s">
        <v>274</v>
      </c>
      <c r="D200" s="4">
        <v>6948200</v>
      </c>
      <c r="E200" s="3">
        <v>1968</v>
      </c>
      <c r="F200" s="3">
        <v>4</v>
      </c>
      <c r="G200" s="3" t="s">
        <v>36</v>
      </c>
      <c r="H200" s="3" t="s">
        <v>206</v>
      </c>
      <c r="I200" s="3">
        <v>4</v>
      </c>
      <c r="J200" s="3" t="s">
        <v>30</v>
      </c>
      <c r="K200" s="18">
        <v>190</v>
      </c>
      <c r="L200" s="16">
        <v>400</v>
      </c>
      <c r="M200" s="6" t="str" cm="1">
        <f t="array" ref="M200">_xlfn.IFS(L200&lt;100,"Economy",L200&lt;200,"Standard",L200&lt;350,"Powerful",L200&lt;500,"High Performance",L200&lt;800,"Sports Performance",L200&gt;=800,"Super Performance")</f>
        <v>High Performance</v>
      </c>
    </row>
    <row r="201" spans="1:13" x14ac:dyDescent="0.25">
      <c r="A201" s="5" t="s">
        <v>280</v>
      </c>
      <c r="B201" s="3" t="s">
        <v>281</v>
      </c>
      <c r="C201" s="3" t="s">
        <v>284</v>
      </c>
      <c r="D201" s="4">
        <v>9092578</v>
      </c>
      <c r="E201" s="3">
        <v>1997</v>
      </c>
      <c r="F201" s="3">
        <v>6</v>
      </c>
      <c r="G201" s="3" t="s">
        <v>10</v>
      </c>
      <c r="H201" s="3" t="s">
        <v>212</v>
      </c>
      <c r="I201" s="3">
        <v>2</v>
      </c>
      <c r="J201" s="3" t="s">
        <v>30</v>
      </c>
      <c r="K201" s="18">
        <v>297</v>
      </c>
      <c r="L201" s="16">
        <v>400</v>
      </c>
      <c r="M201" s="6" t="str" cm="1">
        <f t="array" ref="M201">_xlfn.IFS(L201&lt;100,"Economy",L201&lt;200,"Standard",L201&lt;350,"Powerful",L201&lt;500,"High Performance",L201&lt;800,"Sports Performance",L201&gt;=800,"Super Performance")</f>
        <v>High Performance</v>
      </c>
    </row>
    <row r="202" spans="1:13" x14ac:dyDescent="0.25">
      <c r="A202" s="5" t="s">
        <v>22</v>
      </c>
      <c r="B202" s="3" t="s">
        <v>446</v>
      </c>
      <c r="C202" s="3" t="s">
        <v>447</v>
      </c>
      <c r="D202" s="4">
        <v>1643829</v>
      </c>
      <c r="E202" s="3">
        <v>2179</v>
      </c>
      <c r="F202" s="3">
        <v>4</v>
      </c>
      <c r="G202" s="3" t="s">
        <v>36</v>
      </c>
      <c r="H202" s="3" t="s">
        <v>66</v>
      </c>
      <c r="I202" s="3">
        <v>7</v>
      </c>
      <c r="J202" s="3" t="s">
        <v>12</v>
      </c>
      <c r="K202" s="18">
        <v>156</v>
      </c>
      <c r="L202" s="16">
        <v>400</v>
      </c>
      <c r="M202" s="6" t="str" cm="1">
        <f t="array" ref="M202">_xlfn.IFS(L202&lt;100,"Economy",L202&lt;200,"Standard",L202&lt;350,"Powerful",L202&lt;500,"High Performance",L202&lt;800,"Sports Performance",L202&gt;=800,"Super Performance")</f>
        <v>High Performance</v>
      </c>
    </row>
    <row r="203" spans="1:13" x14ac:dyDescent="0.25">
      <c r="A203" s="5" t="s">
        <v>382</v>
      </c>
      <c r="B203" s="3" t="s">
        <v>482</v>
      </c>
      <c r="C203" s="3" t="s">
        <v>483</v>
      </c>
      <c r="D203" s="4">
        <v>5890000</v>
      </c>
      <c r="E203" s="3">
        <v>1969</v>
      </c>
      <c r="F203" s="3">
        <v>4</v>
      </c>
      <c r="G203" s="3" t="s">
        <v>36</v>
      </c>
      <c r="H203" s="3" t="s">
        <v>27</v>
      </c>
      <c r="I203" s="3">
        <v>5</v>
      </c>
      <c r="J203" s="3" t="s">
        <v>30</v>
      </c>
      <c r="K203" s="18">
        <v>190</v>
      </c>
      <c r="L203" s="16">
        <v>400</v>
      </c>
      <c r="M203" s="6" t="str" cm="1">
        <f t="array" ref="M203">_xlfn.IFS(L203&lt;100,"Economy",L203&lt;200,"Standard",L203&lt;350,"Powerful",L203&lt;500,"High Performance",L203&lt;800,"Sports Performance",L203&gt;=800,"Super Performance")</f>
        <v>High Performance</v>
      </c>
    </row>
    <row r="204" spans="1:13" x14ac:dyDescent="0.25">
      <c r="A204" s="5" t="s">
        <v>68</v>
      </c>
      <c r="B204" s="3" t="s">
        <v>495</v>
      </c>
      <c r="C204" s="3" t="s">
        <v>496</v>
      </c>
      <c r="D204" s="4">
        <v>5021200</v>
      </c>
      <c r="E204" s="3">
        <v>1968</v>
      </c>
      <c r="F204" s="3">
        <v>4</v>
      </c>
      <c r="G204" s="3" t="s">
        <v>36</v>
      </c>
      <c r="H204" s="3" t="s">
        <v>66</v>
      </c>
      <c r="I204" s="3">
        <v>5</v>
      </c>
      <c r="J204" s="3" t="s">
        <v>30</v>
      </c>
      <c r="K204" s="18">
        <v>190</v>
      </c>
      <c r="L204" s="16">
        <v>400</v>
      </c>
      <c r="M204" s="6" t="str" cm="1">
        <f t="array" ref="M204">_xlfn.IFS(L204&lt;100,"Economy",L204&lt;200,"Standard",L204&lt;350,"Powerful",L204&lt;500,"High Performance",L204&lt;800,"Sports Performance",L204&gt;=800,"Super Performance")</f>
        <v>High Performance</v>
      </c>
    </row>
    <row r="205" spans="1:13" x14ac:dyDescent="0.25">
      <c r="A205" s="5" t="s">
        <v>68</v>
      </c>
      <c r="B205" s="3" t="s">
        <v>495</v>
      </c>
      <c r="C205" s="3" t="s">
        <v>497</v>
      </c>
      <c r="D205" s="4">
        <v>5621200</v>
      </c>
      <c r="E205" s="3">
        <v>1968</v>
      </c>
      <c r="F205" s="3">
        <v>4</v>
      </c>
      <c r="G205" s="3" t="s">
        <v>36</v>
      </c>
      <c r="H205" s="3" t="s">
        <v>66</v>
      </c>
      <c r="I205" s="3">
        <v>5</v>
      </c>
      <c r="J205" s="3" t="s">
        <v>30</v>
      </c>
      <c r="K205" s="18">
        <v>190</v>
      </c>
      <c r="L205" s="16">
        <v>400</v>
      </c>
      <c r="M205" s="6" t="str" cm="1">
        <f t="array" ref="M205">_xlfn.IFS(L205&lt;100,"Economy",L205&lt;200,"Standard",L205&lt;350,"Powerful",L205&lt;500,"High Performance",L205&lt;800,"Sports Performance",L205&gt;=800,"Super Performance")</f>
        <v>High Performance</v>
      </c>
    </row>
    <row r="206" spans="1:13" x14ac:dyDescent="0.25">
      <c r="A206" s="5" t="s">
        <v>146</v>
      </c>
      <c r="B206" s="3" t="s">
        <v>147</v>
      </c>
      <c r="C206" s="3" t="s">
        <v>580</v>
      </c>
      <c r="D206" s="4">
        <v>8670586</v>
      </c>
      <c r="E206" s="3">
        <v>1997</v>
      </c>
      <c r="F206" s="3">
        <v>8</v>
      </c>
      <c r="G206" s="3" t="s">
        <v>10</v>
      </c>
      <c r="H206" s="3" t="s">
        <v>66</v>
      </c>
      <c r="I206" s="3">
        <v>7</v>
      </c>
      <c r="J206" s="3" t="s">
        <v>30</v>
      </c>
      <c r="K206" s="18">
        <v>296</v>
      </c>
      <c r="L206" s="16">
        <v>400</v>
      </c>
      <c r="M206" s="6" t="str" cm="1">
        <f t="array" ref="M206">_xlfn.IFS(L206&lt;100,"Economy",L206&lt;200,"Standard",L206&lt;350,"Powerful",L206&lt;500,"High Performance",L206&lt;800,"Sports Performance",L206&gt;=800,"Super Performance")</f>
        <v>High Performance</v>
      </c>
    </row>
    <row r="207" spans="1:13" x14ac:dyDescent="0.25">
      <c r="A207" s="5" t="s">
        <v>146</v>
      </c>
      <c r="B207" s="3" t="s">
        <v>147</v>
      </c>
      <c r="C207" s="3" t="s">
        <v>581</v>
      </c>
      <c r="D207" s="4">
        <v>9448181</v>
      </c>
      <c r="E207" s="3">
        <v>1997</v>
      </c>
      <c r="F207" s="3">
        <v>8</v>
      </c>
      <c r="G207" s="3" t="s">
        <v>10</v>
      </c>
      <c r="H207" s="3" t="s">
        <v>66</v>
      </c>
      <c r="I207" s="3">
        <v>7</v>
      </c>
      <c r="J207" s="3" t="s">
        <v>30</v>
      </c>
      <c r="K207" s="18">
        <v>296</v>
      </c>
      <c r="L207" s="16">
        <v>400</v>
      </c>
      <c r="M207" s="6" t="str" cm="1">
        <f t="array" ref="M207">_xlfn.IFS(L207&lt;100,"Economy",L207&lt;200,"Standard",L207&lt;350,"Powerful",L207&lt;500,"High Performance",L207&lt;800,"Sports Performance",L207&gt;=800,"Super Performance")</f>
        <v>High Performance</v>
      </c>
    </row>
    <row r="208" spans="1:13" x14ac:dyDescent="0.25">
      <c r="A208" s="5" t="s">
        <v>146</v>
      </c>
      <c r="B208" s="3" t="s">
        <v>147</v>
      </c>
      <c r="C208" s="3" t="s">
        <v>583</v>
      </c>
      <c r="D208" s="4">
        <v>15600000</v>
      </c>
      <c r="E208" s="3">
        <v>1997</v>
      </c>
      <c r="F208" s="3">
        <v>8</v>
      </c>
      <c r="G208" s="3" t="s">
        <v>10</v>
      </c>
      <c r="H208" s="3" t="s">
        <v>66</v>
      </c>
      <c r="I208" s="3">
        <v>7</v>
      </c>
      <c r="J208" s="3" t="s">
        <v>30</v>
      </c>
      <c r="K208" s="18">
        <v>296</v>
      </c>
      <c r="L208" s="16">
        <v>400</v>
      </c>
      <c r="M208" s="6" t="str" cm="1">
        <f t="array" ref="M208">_xlfn.IFS(L208&lt;100,"Economy",L208&lt;200,"Standard",L208&lt;350,"Powerful",L208&lt;500,"High Performance",L208&lt;800,"Sports Performance",L208&gt;=800,"Super Performance")</f>
        <v>High Performance</v>
      </c>
    </row>
    <row r="209" spans="1:13" x14ac:dyDescent="0.25">
      <c r="A209" s="5" t="s">
        <v>78</v>
      </c>
      <c r="B209" s="3" t="s">
        <v>592</v>
      </c>
      <c r="C209" s="3" t="s">
        <v>595</v>
      </c>
      <c r="D209" s="4">
        <v>6440000</v>
      </c>
      <c r="E209" s="3">
        <v>1995</v>
      </c>
      <c r="F209" s="3">
        <v>4</v>
      </c>
      <c r="G209" s="3" t="s">
        <v>36</v>
      </c>
      <c r="H209" s="3" t="s">
        <v>27</v>
      </c>
      <c r="I209" s="3">
        <v>4</v>
      </c>
      <c r="J209" s="3" t="s">
        <v>30</v>
      </c>
      <c r="K209" s="18">
        <v>188</v>
      </c>
      <c r="L209" s="16">
        <v>400</v>
      </c>
      <c r="M209" s="6" t="str" cm="1">
        <f t="array" ref="M209">_xlfn.IFS(L209&lt;100,"Economy",L209&lt;200,"Standard",L209&lt;350,"Powerful",L209&lt;500,"High Performance",L209&lt;800,"Sports Performance",L209&gt;=800,"Super Performance")</f>
        <v>High Performance</v>
      </c>
    </row>
    <row r="210" spans="1:13" x14ac:dyDescent="0.25">
      <c r="A210" s="5" t="s">
        <v>280</v>
      </c>
      <c r="B210" s="3" t="s">
        <v>281</v>
      </c>
      <c r="C210" s="3" t="s">
        <v>596</v>
      </c>
      <c r="D210" s="4">
        <v>10144987</v>
      </c>
      <c r="E210" s="3">
        <v>1997</v>
      </c>
      <c r="F210" s="3">
        <v>6</v>
      </c>
      <c r="G210" s="3" t="s">
        <v>10</v>
      </c>
      <c r="H210" s="3" t="s">
        <v>206</v>
      </c>
      <c r="I210" s="3">
        <v>2</v>
      </c>
      <c r="J210" s="3" t="s">
        <v>30</v>
      </c>
      <c r="K210" s="18">
        <v>297</v>
      </c>
      <c r="L210" s="16">
        <v>400</v>
      </c>
      <c r="M210" s="6" t="str" cm="1">
        <f t="array" ref="M210">_xlfn.IFS(L210&lt;100,"Economy",L210&lt;200,"Standard",L210&lt;350,"Powerful",L210&lt;500,"High Performance",L210&lt;800,"Sports Performance",L210&gt;=800,"Super Performance")</f>
        <v>High Performance</v>
      </c>
    </row>
    <row r="211" spans="1:13" x14ac:dyDescent="0.25">
      <c r="A211" s="5" t="s">
        <v>280</v>
      </c>
      <c r="B211" s="3" t="s">
        <v>281</v>
      </c>
      <c r="C211" s="3" t="s">
        <v>597</v>
      </c>
      <c r="D211" s="4">
        <v>10419200</v>
      </c>
      <c r="E211" s="3">
        <v>1997</v>
      </c>
      <c r="F211" s="3">
        <v>8</v>
      </c>
      <c r="G211" s="3" t="s">
        <v>10</v>
      </c>
      <c r="H211" s="3" t="s">
        <v>206</v>
      </c>
      <c r="I211" s="3">
        <v>2</v>
      </c>
      <c r="J211" s="3" t="s">
        <v>30</v>
      </c>
      <c r="K211" s="18">
        <v>297</v>
      </c>
      <c r="L211" s="16">
        <v>400</v>
      </c>
      <c r="M211" s="6" t="str" cm="1">
        <f t="array" ref="M211">_xlfn.IFS(L211&lt;100,"Economy",L211&lt;200,"Standard",L211&lt;350,"Powerful",L211&lt;500,"High Performance",L211&lt;800,"Sports Performance",L211&gt;=800,"Super Performance")</f>
        <v>High Performance</v>
      </c>
    </row>
    <row r="212" spans="1:13" x14ac:dyDescent="0.25">
      <c r="A212" s="5" t="s">
        <v>280</v>
      </c>
      <c r="B212" s="3" t="s">
        <v>281</v>
      </c>
      <c r="C212" s="3" t="s">
        <v>598</v>
      </c>
      <c r="D212" s="4">
        <v>9366433</v>
      </c>
      <c r="E212" s="3">
        <v>1997</v>
      </c>
      <c r="F212" s="3">
        <v>4</v>
      </c>
      <c r="G212" s="3" t="s">
        <v>10</v>
      </c>
      <c r="H212" s="3" t="s">
        <v>212</v>
      </c>
      <c r="I212" s="3">
        <v>2</v>
      </c>
      <c r="J212" s="3" t="s">
        <v>30</v>
      </c>
      <c r="K212" s="18">
        <v>297</v>
      </c>
      <c r="L212" s="16">
        <v>400</v>
      </c>
      <c r="M212" s="6" t="str" cm="1">
        <f t="array" ref="M212">_xlfn.IFS(L212&lt;100,"Economy",L212&lt;200,"Standard",L212&lt;350,"Powerful",L212&lt;500,"High Performance",L212&lt;800,"Sports Performance",L212&gt;=800,"Super Performance")</f>
        <v>High Performance</v>
      </c>
    </row>
    <row r="213" spans="1:13" x14ac:dyDescent="0.25">
      <c r="A213" s="5" t="s">
        <v>382</v>
      </c>
      <c r="B213" s="3" t="s">
        <v>621</v>
      </c>
      <c r="C213" s="3" t="s">
        <v>622</v>
      </c>
      <c r="D213" s="4">
        <v>3990000</v>
      </c>
      <c r="E213" s="3">
        <v>1969</v>
      </c>
      <c r="F213" s="3">
        <v>5</v>
      </c>
      <c r="G213" s="3" t="s">
        <v>36</v>
      </c>
      <c r="H213" s="3" t="s">
        <v>66</v>
      </c>
      <c r="I213" s="3">
        <v>5</v>
      </c>
      <c r="J213" s="3" t="s">
        <v>30</v>
      </c>
      <c r="K213" s="18">
        <v>190</v>
      </c>
      <c r="L213" s="16">
        <v>400</v>
      </c>
      <c r="M213" s="6" t="str" cm="1">
        <f t="array" ref="M213">_xlfn.IFS(L213&lt;100,"Economy",L213&lt;200,"Standard",L213&lt;350,"Powerful",L213&lt;500,"High Performance",L213&lt;800,"Sports Performance",L213&gt;=800,"Super Performance")</f>
        <v>High Performance</v>
      </c>
    </row>
    <row r="214" spans="1:13" x14ac:dyDescent="0.25">
      <c r="A214" s="5" t="s">
        <v>382</v>
      </c>
      <c r="B214" s="3" t="s">
        <v>621</v>
      </c>
      <c r="C214" s="3" t="s">
        <v>483</v>
      </c>
      <c r="D214" s="4">
        <v>4390000</v>
      </c>
      <c r="E214" s="3">
        <v>1969</v>
      </c>
      <c r="F214" s="3">
        <v>5</v>
      </c>
      <c r="G214" s="3" t="s">
        <v>36</v>
      </c>
      <c r="H214" s="3" t="s">
        <v>66</v>
      </c>
      <c r="I214" s="3">
        <v>5</v>
      </c>
      <c r="J214" s="3" t="s">
        <v>30</v>
      </c>
      <c r="K214" s="18">
        <v>190</v>
      </c>
      <c r="L214" s="16">
        <v>400</v>
      </c>
      <c r="M214" s="6" t="str" cm="1">
        <f t="array" ref="M214">_xlfn.IFS(L214&lt;100,"Economy",L214&lt;200,"Standard",L214&lt;350,"Powerful",L214&lt;500,"High Performance",L214&lt;800,"Sports Performance",L214&gt;=800,"Super Performance")</f>
        <v>High Performance</v>
      </c>
    </row>
    <row r="215" spans="1:13" x14ac:dyDescent="0.25">
      <c r="A215" s="5" t="s">
        <v>382</v>
      </c>
      <c r="B215" s="3" t="s">
        <v>652</v>
      </c>
      <c r="C215" s="3" t="s">
        <v>653</v>
      </c>
      <c r="D215" s="4">
        <v>3850500</v>
      </c>
      <c r="E215" s="3">
        <v>1984</v>
      </c>
      <c r="F215" s="3">
        <v>5</v>
      </c>
      <c r="G215" s="3" t="s">
        <v>36</v>
      </c>
      <c r="H215" s="3" t="s">
        <v>27</v>
      </c>
      <c r="I215" s="3">
        <v>5</v>
      </c>
      <c r="J215" s="3" t="s">
        <v>30</v>
      </c>
      <c r="K215" s="18">
        <v>181</v>
      </c>
      <c r="L215" s="16">
        <v>400</v>
      </c>
      <c r="M215" s="6" t="str" cm="1">
        <f t="array" ref="M215">_xlfn.IFS(L215&lt;100,"Economy",L215&lt;200,"Standard",L215&lt;350,"Powerful",L215&lt;500,"High Performance",L215&lt;800,"Sports Performance",L215&gt;=800,"Super Performance")</f>
        <v>High Performance</v>
      </c>
    </row>
    <row r="216" spans="1:13" x14ac:dyDescent="0.25">
      <c r="A216" s="5" t="s">
        <v>90</v>
      </c>
      <c r="B216" s="3" t="s">
        <v>662</v>
      </c>
      <c r="C216" s="3" t="s">
        <v>663</v>
      </c>
      <c r="D216" s="4">
        <v>7500000</v>
      </c>
      <c r="E216" s="3">
        <v>1950</v>
      </c>
      <c r="F216" s="3">
        <v>6</v>
      </c>
      <c r="G216" s="3" t="s">
        <v>36</v>
      </c>
      <c r="H216" s="3" t="s">
        <v>66</v>
      </c>
      <c r="I216" s="3">
        <v>5</v>
      </c>
      <c r="J216" s="3" t="s">
        <v>30</v>
      </c>
      <c r="K216" s="18">
        <v>194</v>
      </c>
      <c r="L216" s="16">
        <v>400</v>
      </c>
      <c r="M216" s="6" t="str" cm="1">
        <f t="array" ref="M216">_xlfn.IFS(L216&lt;100,"Economy",L216&lt;200,"Standard",L216&lt;350,"Powerful",L216&lt;500,"High Performance",L216&lt;800,"Sports Performance",L216&gt;=800,"Super Performance")</f>
        <v>High Performance</v>
      </c>
    </row>
    <row r="217" spans="1:13" x14ac:dyDescent="0.25">
      <c r="A217" s="5" t="s">
        <v>78</v>
      </c>
      <c r="B217" s="3" t="s">
        <v>493</v>
      </c>
      <c r="C217" s="3" t="s">
        <v>753</v>
      </c>
      <c r="D217" s="4">
        <v>4240000</v>
      </c>
      <c r="E217" s="3">
        <v>1995</v>
      </c>
      <c r="F217" s="3">
        <v>4</v>
      </c>
      <c r="G217" s="3" t="s">
        <v>36</v>
      </c>
      <c r="H217" s="3" t="s">
        <v>66</v>
      </c>
      <c r="I217" s="3">
        <v>5</v>
      </c>
      <c r="J217" s="3" t="s">
        <v>30</v>
      </c>
      <c r="K217" s="18">
        <v>187</v>
      </c>
      <c r="L217" s="16">
        <v>400</v>
      </c>
      <c r="M217" s="6" t="str" cm="1">
        <f t="array" ref="M217">_xlfn.IFS(L217&lt;100,"Economy",L217&lt;200,"Standard",L217&lt;350,"Powerful",L217&lt;500,"High Performance",L217&lt;800,"Sports Performance",L217&gt;=800,"Super Performance")</f>
        <v>High Performance</v>
      </c>
    </row>
    <row r="218" spans="1:13" x14ac:dyDescent="0.25">
      <c r="A218" s="5" t="s">
        <v>78</v>
      </c>
      <c r="B218" s="3" t="s">
        <v>754</v>
      </c>
      <c r="C218" s="3" t="s">
        <v>755</v>
      </c>
      <c r="D218" s="4">
        <v>4140000</v>
      </c>
      <c r="E218" s="3">
        <v>1995</v>
      </c>
      <c r="F218" s="3">
        <v>4</v>
      </c>
      <c r="G218" s="3" t="s">
        <v>36</v>
      </c>
      <c r="H218" s="3" t="s">
        <v>27</v>
      </c>
      <c r="I218" s="3">
        <v>5</v>
      </c>
      <c r="J218" s="3" t="s">
        <v>30</v>
      </c>
      <c r="K218" s="18">
        <v>190</v>
      </c>
      <c r="L218" s="16">
        <v>400</v>
      </c>
      <c r="M218" s="6" t="str" cm="1">
        <f t="array" ref="M218">_xlfn.IFS(L218&lt;100,"Economy",L218&lt;200,"Standard",L218&lt;350,"Powerful",L218&lt;500,"High Performance",L218&lt;800,"Sports Performance",L218&gt;=800,"Super Performance")</f>
        <v>High Performance</v>
      </c>
    </row>
    <row r="219" spans="1:13" x14ac:dyDescent="0.25">
      <c r="A219" s="5" t="s">
        <v>78</v>
      </c>
      <c r="B219" s="3" t="s">
        <v>754</v>
      </c>
      <c r="C219" s="3" t="s">
        <v>756</v>
      </c>
      <c r="D219" s="4">
        <v>4690000</v>
      </c>
      <c r="E219" s="3">
        <v>1995</v>
      </c>
      <c r="F219" s="3">
        <v>4</v>
      </c>
      <c r="G219" s="3" t="s">
        <v>36</v>
      </c>
      <c r="H219" s="3" t="s">
        <v>27</v>
      </c>
      <c r="I219" s="3">
        <v>5</v>
      </c>
      <c r="J219" s="3" t="s">
        <v>30</v>
      </c>
      <c r="K219" s="18">
        <v>190</v>
      </c>
      <c r="L219" s="16">
        <v>400</v>
      </c>
      <c r="M219" s="6" t="str" cm="1">
        <f t="array" ref="M219">_xlfn.IFS(L219&lt;100,"Economy",L219&lt;200,"Standard",L219&lt;350,"Powerful",L219&lt;500,"High Performance",L219&lt;800,"Sports Performance",L219&gt;=800,"Super Performance")</f>
        <v>High Performance</v>
      </c>
    </row>
    <row r="220" spans="1:13" x14ac:dyDescent="0.25">
      <c r="A220" s="5" t="s">
        <v>78</v>
      </c>
      <c r="B220" s="3" t="s">
        <v>754</v>
      </c>
      <c r="C220" s="3" t="s">
        <v>757</v>
      </c>
      <c r="D220" s="4">
        <v>4790000</v>
      </c>
      <c r="E220" s="3">
        <v>1998</v>
      </c>
      <c r="F220" s="3">
        <v>4</v>
      </c>
      <c r="G220" s="3" t="s">
        <v>10</v>
      </c>
      <c r="H220" s="3" t="s">
        <v>27</v>
      </c>
      <c r="I220" s="3">
        <v>5</v>
      </c>
      <c r="J220" s="3" t="s">
        <v>30</v>
      </c>
      <c r="K220" s="18">
        <v>258</v>
      </c>
      <c r="L220" s="16">
        <v>400</v>
      </c>
      <c r="M220" s="6" t="str" cm="1">
        <f t="array" ref="M220">_xlfn.IFS(L220&lt;100,"Economy",L220&lt;200,"Standard",L220&lt;350,"Powerful",L220&lt;500,"High Performance",L220&lt;800,"Sports Performance",L220&gt;=800,"Super Performance")</f>
        <v>High Performance</v>
      </c>
    </row>
    <row r="221" spans="1:13" x14ac:dyDescent="0.25">
      <c r="A221" s="5" t="s">
        <v>78</v>
      </c>
      <c r="B221" s="3" t="s">
        <v>659</v>
      </c>
      <c r="C221" s="3" t="s">
        <v>761</v>
      </c>
      <c r="D221" s="4">
        <v>6060000</v>
      </c>
      <c r="E221" s="3">
        <v>1995</v>
      </c>
      <c r="F221" s="3">
        <v>4</v>
      </c>
      <c r="G221" s="3" t="s">
        <v>36</v>
      </c>
      <c r="H221" s="3" t="s">
        <v>66</v>
      </c>
      <c r="I221" s="3">
        <v>5</v>
      </c>
      <c r="J221" s="3" t="s">
        <v>30</v>
      </c>
      <c r="K221" s="18">
        <v>188</v>
      </c>
      <c r="L221" s="16">
        <v>400</v>
      </c>
      <c r="M221" s="6" t="str" cm="1">
        <f t="array" ref="M221">_xlfn.IFS(L221&lt;100,"Economy",L221&lt;200,"Standard",L221&lt;350,"Powerful",L221&lt;500,"High Performance",L221&lt;800,"Sports Performance",L221&gt;=800,"Super Performance")</f>
        <v>High Performance</v>
      </c>
    </row>
    <row r="222" spans="1:13" x14ac:dyDescent="0.25">
      <c r="A222" s="5" t="s">
        <v>90</v>
      </c>
      <c r="B222" s="3" t="s">
        <v>683</v>
      </c>
      <c r="C222" s="3" t="s">
        <v>787</v>
      </c>
      <c r="D222" s="4">
        <v>4020000</v>
      </c>
      <c r="E222" s="3">
        <v>1950</v>
      </c>
      <c r="F222" s="3">
        <v>4</v>
      </c>
      <c r="G222" s="3" t="s">
        <v>36</v>
      </c>
      <c r="H222" s="3" t="s">
        <v>27</v>
      </c>
      <c r="I222" s="3">
        <v>5</v>
      </c>
      <c r="J222" s="3" t="s">
        <v>30</v>
      </c>
      <c r="K222" s="18">
        <v>192</v>
      </c>
      <c r="L222" s="16">
        <v>400</v>
      </c>
      <c r="M222" s="6" t="str" cm="1">
        <f t="array" ref="M222">_xlfn.IFS(L222&lt;100,"Economy",L222&lt;200,"Standard",L222&lt;350,"Powerful",L222&lt;500,"High Performance",L222&lt;800,"Sports Performance",L222&gt;=800,"Super Performance")</f>
        <v>High Performance</v>
      </c>
    </row>
    <row r="223" spans="1:13" x14ac:dyDescent="0.25">
      <c r="A223" s="5" t="s">
        <v>90</v>
      </c>
      <c r="B223" s="3" t="s">
        <v>683</v>
      </c>
      <c r="C223" s="3" t="s">
        <v>788</v>
      </c>
      <c r="D223" s="4">
        <v>4670000</v>
      </c>
      <c r="E223" s="3">
        <v>1950</v>
      </c>
      <c r="F223" s="3">
        <v>4</v>
      </c>
      <c r="G223" s="3" t="s">
        <v>36</v>
      </c>
      <c r="H223" s="3" t="s">
        <v>27</v>
      </c>
      <c r="I223" s="3">
        <v>5</v>
      </c>
      <c r="J223" s="3" t="s">
        <v>30</v>
      </c>
      <c r="K223" s="18">
        <v>192</v>
      </c>
      <c r="L223" s="16">
        <v>400</v>
      </c>
      <c r="M223" s="6" t="str" cm="1">
        <f t="array" ref="M223">_xlfn.IFS(L223&lt;100,"Economy",L223&lt;200,"Standard",L223&lt;350,"Powerful",L223&lt;500,"High Performance",L223&lt;800,"Sports Performance",L223&gt;=800,"Super Performance")</f>
        <v>High Performance</v>
      </c>
    </row>
    <row r="224" spans="1:13" x14ac:dyDescent="0.25">
      <c r="A224" s="5" t="s">
        <v>22</v>
      </c>
      <c r="B224" s="3" t="s">
        <v>1021</v>
      </c>
      <c r="C224" s="3" t="s">
        <v>1078</v>
      </c>
      <c r="D224" s="4">
        <v>1639374</v>
      </c>
      <c r="E224" s="3">
        <v>2179</v>
      </c>
      <c r="F224" s="3">
        <v>4</v>
      </c>
      <c r="G224" s="3" t="s">
        <v>36</v>
      </c>
      <c r="H224" s="3" t="s">
        <v>66</v>
      </c>
      <c r="I224" s="3">
        <v>7</v>
      </c>
      <c r="J224" s="3" t="s">
        <v>12</v>
      </c>
      <c r="K224" s="18">
        <v>156</v>
      </c>
      <c r="L224" s="16">
        <v>400</v>
      </c>
      <c r="M224" s="6" t="str" cm="1">
        <f t="array" ref="M224">_xlfn.IFS(L224&lt;100,"Economy",L224&lt;200,"Standard",L224&lt;350,"Powerful",L224&lt;500,"High Performance",L224&lt;800,"Sports Performance",L224&gt;=800,"Super Performance")</f>
        <v>High Performance</v>
      </c>
    </row>
    <row r="225" spans="1:13" x14ac:dyDescent="0.25">
      <c r="A225" s="5" t="s">
        <v>22</v>
      </c>
      <c r="B225" s="3" t="s">
        <v>1021</v>
      </c>
      <c r="C225" s="3" t="s">
        <v>1079</v>
      </c>
      <c r="D225" s="4">
        <v>1912593</v>
      </c>
      <c r="E225" s="3">
        <v>2179</v>
      </c>
      <c r="F225" s="3">
        <v>4</v>
      </c>
      <c r="G225" s="3" t="s">
        <v>36</v>
      </c>
      <c r="H225" s="3" t="s">
        <v>66</v>
      </c>
      <c r="I225" s="3">
        <v>6</v>
      </c>
      <c r="J225" s="3" t="s">
        <v>30</v>
      </c>
      <c r="K225" s="18">
        <v>156</v>
      </c>
      <c r="L225" s="16">
        <v>400</v>
      </c>
      <c r="M225" s="6" t="str" cm="1">
        <f t="array" ref="M225">_xlfn.IFS(L225&lt;100,"Economy",L225&lt;200,"Standard",L225&lt;350,"Powerful",L225&lt;500,"High Performance",L225&lt;800,"Sports Performance",L225&gt;=800,"Super Performance")</f>
        <v>High Performance</v>
      </c>
    </row>
    <row r="226" spans="1:13" x14ac:dyDescent="0.25">
      <c r="A226" s="5" t="s">
        <v>22</v>
      </c>
      <c r="B226" s="3" t="s">
        <v>1021</v>
      </c>
      <c r="C226" s="3" t="s">
        <v>1080</v>
      </c>
      <c r="D226" s="4">
        <v>1796458</v>
      </c>
      <c r="E226" s="3">
        <v>2179</v>
      </c>
      <c r="F226" s="3">
        <v>4</v>
      </c>
      <c r="G226" s="3" t="s">
        <v>36</v>
      </c>
      <c r="H226" s="3" t="s">
        <v>66</v>
      </c>
      <c r="I226" s="3">
        <v>6</v>
      </c>
      <c r="J226" s="3" t="s">
        <v>12</v>
      </c>
      <c r="K226" s="18">
        <v>156</v>
      </c>
      <c r="L226" s="16">
        <v>400</v>
      </c>
      <c r="M226" s="6" t="str" cm="1">
        <f t="array" ref="M226">_xlfn.IFS(L226&lt;100,"Economy",L226&lt;200,"Standard",L226&lt;350,"Powerful",L226&lt;500,"High Performance",L226&lt;800,"Sports Performance",L226&gt;=800,"Super Performance")</f>
        <v>High Performance</v>
      </c>
    </row>
    <row r="227" spans="1:13" x14ac:dyDescent="0.25">
      <c r="A227" s="5" t="s">
        <v>22</v>
      </c>
      <c r="B227" s="3" t="s">
        <v>1021</v>
      </c>
      <c r="C227" s="3" t="s">
        <v>1082</v>
      </c>
      <c r="D227" s="4">
        <v>1531377</v>
      </c>
      <c r="E227" s="3">
        <v>2179</v>
      </c>
      <c r="F227" s="3">
        <v>4</v>
      </c>
      <c r="G227" s="3" t="s">
        <v>36</v>
      </c>
      <c r="H227" s="3" t="s">
        <v>66</v>
      </c>
      <c r="I227" s="3">
        <v>7</v>
      </c>
      <c r="J227" s="3" t="s">
        <v>12</v>
      </c>
      <c r="K227" s="18">
        <v>156</v>
      </c>
      <c r="L227" s="16">
        <v>400</v>
      </c>
      <c r="M227" s="6" t="str" cm="1">
        <f t="array" ref="M227">_xlfn.IFS(L227&lt;100,"Economy",L227&lt;200,"Standard",L227&lt;350,"Powerful",L227&lt;500,"High Performance",L227&lt;800,"Sports Performance",L227&gt;=800,"Super Performance")</f>
        <v>High Performance</v>
      </c>
    </row>
    <row r="228" spans="1:13" x14ac:dyDescent="0.25">
      <c r="A228" s="5" t="s">
        <v>22</v>
      </c>
      <c r="B228" s="3" t="s">
        <v>1021</v>
      </c>
      <c r="C228" s="3" t="s">
        <v>1083</v>
      </c>
      <c r="D228" s="4">
        <v>1655587</v>
      </c>
      <c r="E228" s="3">
        <v>2179</v>
      </c>
      <c r="F228" s="3">
        <v>4</v>
      </c>
      <c r="G228" s="3" t="s">
        <v>36</v>
      </c>
      <c r="H228" s="3" t="s">
        <v>66</v>
      </c>
      <c r="I228" s="3">
        <v>7</v>
      </c>
      <c r="J228" s="3" t="s">
        <v>30</v>
      </c>
      <c r="K228" s="18">
        <v>156</v>
      </c>
      <c r="L228" s="16">
        <v>400</v>
      </c>
      <c r="M228" s="6" t="str" cm="1">
        <f t="array" ref="M228">_xlfn.IFS(L228&lt;100,"Economy",L228&lt;200,"Standard",L228&lt;350,"Powerful",L228&lt;500,"High Performance",L228&lt;800,"Sports Performance",L228&gt;=800,"Super Performance")</f>
        <v>High Performance</v>
      </c>
    </row>
    <row r="229" spans="1:13" x14ac:dyDescent="0.25">
      <c r="A229" s="5" t="s">
        <v>22</v>
      </c>
      <c r="B229" s="3" t="s">
        <v>446</v>
      </c>
      <c r="C229" s="3" t="s">
        <v>1102</v>
      </c>
      <c r="D229" s="4">
        <v>1479574</v>
      </c>
      <c r="E229" s="3">
        <v>2179</v>
      </c>
      <c r="F229" s="3">
        <v>4</v>
      </c>
      <c r="G229" s="3" t="s">
        <v>36</v>
      </c>
      <c r="H229" s="3" t="s">
        <v>66</v>
      </c>
      <c r="I229" s="3">
        <v>7</v>
      </c>
      <c r="J229" s="3" t="s">
        <v>12</v>
      </c>
      <c r="K229" s="18">
        <v>156</v>
      </c>
      <c r="L229" s="16">
        <v>400</v>
      </c>
      <c r="M229" s="6" t="str" cm="1">
        <f t="array" ref="M229">_xlfn.IFS(L229&lt;100,"Economy",L229&lt;200,"Standard",L229&lt;350,"Powerful",L229&lt;500,"High Performance",L229&lt;800,"Sports Performance",L229&gt;=800,"Super Performance")</f>
        <v>High Performance</v>
      </c>
    </row>
    <row r="230" spans="1:13" x14ac:dyDescent="0.25">
      <c r="A230" s="5" t="s">
        <v>589</v>
      </c>
      <c r="B230" s="3" t="s">
        <v>1106</v>
      </c>
      <c r="C230" s="3" t="s">
        <v>1107</v>
      </c>
      <c r="D230" s="4">
        <v>2903750</v>
      </c>
      <c r="E230" s="3">
        <v>2477</v>
      </c>
      <c r="F230" s="3">
        <v>4</v>
      </c>
      <c r="G230" s="3" t="s">
        <v>36</v>
      </c>
      <c r="H230" s="3" t="s">
        <v>66</v>
      </c>
      <c r="I230" s="3">
        <v>7</v>
      </c>
      <c r="J230" s="3" t="s">
        <v>12</v>
      </c>
      <c r="K230" s="18">
        <v>178</v>
      </c>
      <c r="L230" s="16">
        <v>400</v>
      </c>
      <c r="M230" s="6" t="str" cm="1">
        <f t="array" ref="M230">_xlfn.IFS(L230&lt;100,"Economy",L230&lt;200,"Standard",L230&lt;350,"Powerful",L230&lt;500,"High Performance",L230&lt;800,"Sports Performance",L230&gt;=800,"Super Performance")</f>
        <v>High Performance</v>
      </c>
    </row>
    <row r="231" spans="1:13" x14ac:dyDescent="0.25">
      <c r="A231" s="5" t="s">
        <v>589</v>
      </c>
      <c r="B231" s="3" t="s">
        <v>1106</v>
      </c>
      <c r="C231" s="3" t="s">
        <v>1109</v>
      </c>
      <c r="D231" s="4">
        <v>2953240</v>
      </c>
      <c r="E231" s="3">
        <v>2477</v>
      </c>
      <c r="F231" s="3">
        <v>4</v>
      </c>
      <c r="G231" s="3" t="s">
        <v>36</v>
      </c>
      <c r="H231" s="3" t="s">
        <v>66</v>
      </c>
      <c r="I231" s="3">
        <v>7</v>
      </c>
      <c r="J231" s="3" t="s">
        <v>12</v>
      </c>
      <c r="K231" s="18">
        <v>178</v>
      </c>
      <c r="L231" s="16">
        <v>400</v>
      </c>
      <c r="M231" s="6" t="str" cm="1">
        <f t="array" ref="M231">_xlfn.IFS(L231&lt;100,"Economy",L231&lt;200,"Standard",L231&lt;350,"Powerful",L231&lt;500,"High Performance",L231&lt;800,"Sports Performance",L231&gt;=800,"Super Performance")</f>
        <v>High Performance</v>
      </c>
    </row>
    <row r="232" spans="1:13" x14ac:dyDescent="0.25">
      <c r="A232" s="5" t="s">
        <v>589</v>
      </c>
      <c r="B232" s="3" t="s">
        <v>1106</v>
      </c>
      <c r="C232" s="3" t="s">
        <v>1110</v>
      </c>
      <c r="D232" s="4">
        <v>2992800</v>
      </c>
      <c r="E232" s="3">
        <v>2477</v>
      </c>
      <c r="F232" s="3">
        <v>4</v>
      </c>
      <c r="G232" s="3" t="s">
        <v>36</v>
      </c>
      <c r="H232" s="3" t="s">
        <v>66</v>
      </c>
      <c r="I232" s="3">
        <v>7</v>
      </c>
      <c r="J232" s="3" t="s">
        <v>12</v>
      </c>
      <c r="K232" s="18">
        <v>178</v>
      </c>
      <c r="L232" s="16">
        <v>400</v>
      </c>
      <c r="M232" s="6" t="str" cm="1">
        <f t="array" ref="M232">_xlfn.IFS(L232&lt;100,"Economy",L232&lt;200,"Standard",L232&lt;350,"Powerful",L232&lt;500,"High Performance",L232&lt;800,"Sports Performance",L232&gt;=800,"Super Performance")</f>
        <v>High Performance</v>
      </c>
    </row>
    <row r="233" spans="1:13" x14ac:dyDescent="0.25">
      <c r="A233" s="5" t="s">
        <v>78</v>
      </c>
      <c r="B233" s="3" t="s">
        <v>1214</v>
      </c>
      <c r="C233" s="3" t="s">
        <v>1217</v>
      </c>
      <c r="D233" s="4">
        <v>5930000</v>
      </c>
      <c r="E233" s="3">
        <v>1995</v>
      </c>
      <c r="F233" s="3">
        <v>4</v>
      </c>
      <c r="G233" s="3" t="s">
        <v>36</v>
      </c>
      <c r="H233" s="3" t="s">
        <v>66</v>
      </c>
      <c r="I233" s="3">
        <v>5</v>
      </c>
      <c r="J233" s="3" t="s">
        <v>30</v>
      </c>
      <c r="K233" s="18">
        <v>190</v>
      </c>
      <c r="L233" s="16">
        <v>400</v>
      </c>
      <c r="M233" s="6" t="str" cm="1">
        <f t="array" ref="M233">_xlfn.IFS(L233&lt;100,"Economy",L233&lt;200,"Standard",L233&lt;350,"Powerful",L233&lt;500,"High Performance",L233&lt;800,"Sports Performance",L233&gt;=800,"Super Performance")</f>
        <v>High Performance</v>
      </c>
    </row>
    <row r="234" spans="1:13" x14ac:dyDescent="0.25">
      <c r="A234" s="5" t="s">
        <v>78</v>
      </c>
      <c r="B234" s="3" t="s">
        <v>1214</v>
      </c>
      <c r="C234" s="3" t="s">
        <v>1218</v>
      </c>
      <c r="D234" s="4">
        <v>5600000</v>
      </c>
      <c r="E234" s="3">
        <v>1995</v>
      </c>
      <c r="F234" s="3">
        <v>4</v>
      </c>
      <c r="G234" s="3" t="s">
        <v>36</v>
      </c>
      <c r="H234" s="3" t="s">
        <v>66</v>
      </c>
      <c r="I234" s="3">
        <v>5</v>
      </c>
      <c r="J234" s="3" t="s">
        <v>30</v>
      </c>
      <c r="K234" s="18">
        <v>190</v>
      </c>
      <c r="L234" s="16">
        <v>400</v>
      </c>
      <c r="M234" s="6" t="str" cm="1">
        <f t="array" ref="M234">_xlfn.IFS(L234&lt;100,"Economy",L234&lt;200,"Standard",L234&lt;350,"Powerful",L234&lt;500,"High Performance",L234&lt;800,"Sports Performance",L234&gt;=800,"Super Performance")</f>
        <v>High Performance</v>
      </c>
    </row>
    <row r="235" spans="1:13" x14ac:dyDescent="0.25">
      <c r="A235" s="5" t="s">
        <v>63</v>
      </c>
      <c r="B235" s="3" t="s">
        <v>1266</v>
      </c>
      <c r="C235" s="3" t="s">
        <v>1267</v>
      </c>
      <c r="D235" s="4">
        <v>6394000</v>
      </c>
      <c r="E235" s="3">
        <v>1999</v>
      </c>
      <c r="F235" s="3">
        <v>4</v>
      </c>
      <c r="G235" s="3" t="s">
        <v>10</v>
      </c>
      <c r="H235" s="3" t="s">
        <v>66</v>
      </c>
      <c r="I235" s="3">
        <v>5</v>
      </c>
      <c r="J235" s="3" t="s">
        <v>30</v>
      </c>
      <c r="K235" s="18">
        <v>268</v>
      </c>
      <c r="L235" s="16">
        <v>400</v>
      </c>
      <c r="M235" s="6" t="str" cm="1">
        <f t="array" ref="M235">_xlfn.IFS(L235&lt;100,"Economy",L235&lt;200,"Standard",L235&lt;350,"Powerful",L235&lt;500,"High Performance",L235&lt;800,"Sports Performance",L235&gt;=800,"Super Performance")</f>
        <v>High Performance</v>
      </c>
    </row>
    <row r="236" spans="1:13" x14ac:dyDescent="0.25">
      <c r="A236" s="5" t="s">
        <v>7</v>
      </c>
      <c r="B236" s="3" t="s">
        <v>1284</v>
      </c>
      <c r="C236" s="3" t="s">
        <v>1286</v>
      </c>
      <c r="D236" s="4">
        <v>2364354</v>
      </c>
      <c r="E236" s="3">
        <v>1995</v>
      </c>
      <c r="F236" s="3">
        <v>4</v>
      </c>
      <c r="G236" s="3" t="s">
        <v>36</v>
      </c>
      <c r="H236" s="3" t="s">
        <v>66</v>
      </c>
      <c r="I236" s="3">
        <v>5</v>
      </c>
      <c r="J236" s="3" t="s">
        <v>30</v>
      </c>
      <c r="K236" s="18">
        <v>185</v>
      </c>
      <c r="L236" s="16">
        <v>400</v>
      </c>
      <c r="M236" s="6" t="str" cm="1">
        <f t="array" ref="M236">_xlfn.IFS(L236&lt;100,"Economy",L236&lt;200,"Standard",L236&lt;350,"Powerful",L236&lt;500,"High Performance",L236&lt;800,"Sports Performance",L236&gt;=800,"Super Performance")</f>
        <v>High Performance</v>
      </c>
    </row>
    <row r="237" spans="1:13" x14ac:dyDescent="0.25">
      <c r="A237" s="5" t="s">
        <v>7</v>
      </c>
      <c r="B237" s="3" t="s">
        <v>1284</v>
      </c>
      <c r="C237" s="3" t="s">
        <v>1288</v>
      </c>
      <c r="D237" s="4">
        <v>2079717</v>
      </c>
      <c r="E237" s="3">
        <v>1995</v>
      </c>
      <c r="F237" s="3">
        <v>4</v>
      </c>
      <c r="G237" s="3" t="s">
        <v>36</v>
      </c>
      <c r="H237" s="3" t="s">
        <v>66</v>
      </c>
      <c r="I237" s="3">
        <v>5</v>
      </c>
      <c r="J237" s="3" t="s">
        <v>12</v>
      </c>
      <c r="K237" s="18">
        <v>185</v>
      </c>
      <c r="L237" s="16">
        <v>400</v>
      </c>
      <c r="M237" s="6" t="str" cm="1">
        <f t="array" ref="M237">_xlfn.IFS(L237&lt;100,"Economy",L237&lt;200,"Standard",L237&lt;350,"Powerful",L237&lt;500,"High Performance",L237&lt;800,"Sports Performance",L237&gt;=800,"Super Performance")</f>
        <v>High Performance</v>
      </c>
    </row>
    <row r="238" spans="1:13" x14ac:dyDescent="0.25">
      <c r="A238" s="5" t="s">
        <v>7</v>
      </c>
      <c r="B238" s="3" t="s">
        <v>1284</v>
      </c>
      <c r="C238" s="3" t="s">
        <v>1291</v>
      </c>
      <c r="D238" s="4">
        <v>2697417</v>
      </c>
      <c r="E238" s="3">
        <v>1995</v>
      </c>
      <c r="F238" s="3">
        <v>4</v>
      </c>
      <c r="G238" s="3" t="s">
        <v>36</v>
      </c>
      <c r="H238" s="3" t="s">
        <v>66</v>
      </c>
      <c r="I238" s="3">
        <v>5</v>
      </c>
      <c r="J238" s="3" t="s">
        <v>30</v>
      </c>
      <c r="K238" s="18">
        <v>185</v>
      </c>
      <c r="L238" s="16">
        <v>400</v>
      </c>
      <c r="M238" s="6" t="str" cm="1">
        <f t="array" ref="M238">_xlfn.IFS(L238&lt;100,"Economy",L238&lt;200,"Standard",L238&lt;350,"Powerful",L238&lt;500,"High Performance",L238&lt;800,"Sports Performance",L238&gt;=800,"Super Performance")</f>
        <v>High Performance</v>
      </c>
    </row>
    <row r="239" spans="1:13" x14ac:dyDescent="0.25">
      <c r="A239" s="5" t="s">
        <v>7</v>
      </c>
      <c r="B239" s="3" t="s">
        <v>1284</v>
      </c>
      <c r="C239" s="3" t="s">
        <v>1294</v>
      </c>
      <c r="D239" s="4">
        <v>2423720</v>
      </c>
      <c r="E239" s="3">
        <v>1995</v>
      </c>
      <c r="F239" s="3">
        <v>4</v>
      </c>
      <c r="G239" s="3" t="s">
        <v>36</v>
      </c>
      <c r="H239" s="3" t="s">
        <v>66</v>
      </c>
      <c r="I239" s="3">
        <v>5</v>
      </c>
      <c r="J239" s="3" t="s">
        <v>30</v>
      </c>
      <c r="K239" s="18">
        <v>185</v>
      </c>
      <c r="L239" s="16">
        <v>400</v>
      </c>
      <c r="M239" s="6" t="str" cm="1">
        <f t="array" ref="M239">_xlfn.IFS(L239&lt;100,"Economy",L239&lt;200,"Standard",L239&lt;350,"Powerful",L239&lt;500,"High Performance",L239&lt;800,"Sports Performance",L239&gt;=800,"Super Performance")</f>
        <v>High Performance</v>
      </c>
    </row>
    <row r="240" spans="1:13" x14ac:dyDescent="0.25">
      <c r="A240" s="5" t="s">
        <v>78</v>
      </c>
      <c r="B240" s="3" t="s">
        <v>401</v>
      </c>
      <c r="C240" s="3" t="s">
        <v>1323</v>
      </c>
      <c r="D240" s="4">
        <v>5930000</v>
      </c>
      <c r="E240" s="3">
        <v>1995</v>
      </c>
      <c r="F240" s="3">
        <v>4</v>
      </c>
      <c r="G240" s="3" t="s">
        <v>36</v>
      </c>
      <c r="H240" s="3" t="s">
        <v>27</v>
      </c>
      <c r="I240" s="3">
        <v>5</v>
      </c>
      <c r="J240" s="3" t="s">
        <v>30</v>
      </c>
      <c r="K240" s="18">
        <v>190</v>
      </c>
      <c r="L240" s="16">
        <v>400</v>
      </c>
      <c r="M240" s="6" t="str" cm="1">
        <f t="array" ref="M240">_xlfn.IFS(L240&lt;100,"Economy",L240&lt;200,"Standard",L240&lt;350,"Powerful",L240&lt;500,"High Performance",L240&lt;800,"Sports Performance",L240&gt;=800,"Super Performance")</f>
        <v>High Performance</v>
      </c>
    </row>
    <row r="241" spans="1:13" x14ac:dyDescent="0.25">
      <c r="A241" s="5" t="s">
        <v>78</v>
      </c>
      <c r="B241" s="3" t="s">
        <v>493</v>
      </c>
      <c r="C241" s="3" t="s">
        <v>1363</v>
      </c>
      <c r="D241" s="4">
        <v>3930000</v>
      </c>
      <c r="E241" s="3">
        <v>1995</v>
      </c>
      <c r="F241" s="3">
        <v>4</v>
      </c>
      <c r="G241" s="3" t="s">
        <v>36</v>
      </c>
      <c r="H241" s="3" t="s">
        <v>1390</v>
      </c>
      <c r="I241" s="3">
        <v>5</v>
      </c>
      <c r="J241" s="3" t="s">
        <v>30</v>
      </c>
      <c r="K241" s="18">
        <v>190</v>
      </c>
      <c r="L241" s="16">
        <v>400</v>
      </c>
      <c r="M241" s="6" t="str" cm="1">
        <f t="array" ref="M241">_xlfn.IFS(L241&lt;100,"Economy",L241&lt;200,"Standard",L241&lt;350,"Powerful",L241&lt;500,"High Performance",L241&lt;800,"Sports Performance",L241&gt;=800,"Super Performance")</f>
        <v>High Performance</v>
      </c>
    </row>
    <row r="242" spans="1:13" x14ac:dyDescent="0.25">
      <c r="A242" s="5" t="s">
        <v>78</v>
      </c>
      <c r="B242" s="3" t="s">
        <v>493</v>
      </c>
      <c r="C242" s="3" t="s">
        <v>1366</v>
      </c>
      <c r="D242" s="4">
        <v>3520000</v>
      </c>
      <c r="E242" s="3">
        <v>1995</v>
      </c>
      <c r="F242" s="3">
        <v>4</v>
      </c>
      <c r="G242" s="3" t="s">
        <v>36</v>
      </c>
      <c r="H242" s="3" t="s">
        <v>1390</v>
      </c>
      <c r="I242" s="3">
        <v>5</v>
      </c>
      <c r="J242" s="3" t="s">
        <v>30</v>
      </c>
      <c r="K242" s="18">
        <v>190</v>
      </c>
      <c r="L242" s="16">
        <v>400</v>
      </c>
      <c r="M242" s="6" t="str" cm="1">
        <f t="array" ref="M242">_xlfn.IFS(L242&lt;100,"Economy",L242&lt;200,"Standard",L242&lt;350,"Powerful",L242&lt;500,"High Performance",L242&lt;800,"Sports Performance",L242&gt;=800,"Super Performance")</f>
        <v>High Performance</v>
      </c>
    </row>
    <row r="243" spans="1:13" x14ac:dyDescent="0.25">
      <c r="A243" s="5" t="s">
        <v>78</v>
      </c>
      <c r="B243" s="3" t="s">
        <v>493</v>
      </c>
      <c r="C243" s="3" t="s">
        <v>1369</v>
      </c>
      <c r="D243" s="4">
        <v>4570000</v>
      </c>
      <c r="E243" s="3">
        <v>1995</v>
      </c>
      <c r="F243" s="3">
        <v>4</v>
      </c>
      <c r="G243" s="3" t="s">
        <v>36</v>
      </c>
      <c r="H243" s="3" t="s">
        <v>1390</v>
      </c>
      <c r="I243" s="3">
        <v>5</v>
      </c>
      <c r="J243" s="3" t="s">
        <v>30</v>
      </c>
      <c r="K243" s="18">
        <v>190</v>
      </c>
      <c r="L243" s="16">
        <v>400</v>
      </c>
      <c r="M243" s="6" t="str" cm="1">
        <f t="array" ref="M243">_xlfn.IFS(L243&lt;100,"Economy",L243&lt;200,"Standard",L243&lt;350,"Powerful",L243&lt;500,"High Performance",L243&lt;800,"Sports Performance",L243&gt;=800,"Super Performance")</f>
        <v>High Performance</v>
      </c>
    </row>
    <row r="244" spans="1:13" x14ac:dyDescent="0.25">
      <c r="A244" s="5" t="s">
        <v>7</v>
      </c>
      <c r="B244" s="3" t="s">
        <v>601</v>
      </c>
      <c r="C244" s="3" t="s">
        <v>602</v>
      </c>
      <c r="D244" s="4">
        <v>2371858</v>
      </c>
      <c r="E244" s="3" t="s">
        <v>1386</v>
      </c>
      <c r="F244" s="3">
        <v>0</v>
      </c>
      <c r="G244" s="3" t="s">
        <v>141</v>
      </c>
      <c r="H244" s="3" t="s">
        <v>66</v>
      </c>
      <c r="I244" s="3">
        <v>4</v>
      </c>
      <c r="J244" s="3" t="s">
        <v>30</v>
      </c>
      <c r="K244" s="18">
        <v>136</v>
      </c>
      <c r="L244" s="16">
        <v>395</v>
      </c>
      <c r="M244" s="6" t="str" cm="1">
        <f t="array" ref="M244">_xlfn.IFS(L244&lt;100,"Economy",L244&lt;200,"Standard",L244&lt;350,"Powerful",L244&lt;500,"High Performance",L244&lt;800,"Sports Performance",L244&gt;=800,"Super Performance")</f>
        <v>High Performance</v>
      </c>
    </row>
    <row r="245" spans="1:13" x14ac:dyDescent="0.25">
      <c r="A245" s="5" t="s">
        <v>40</v>
      </c>
      <c r="B245" s="3" t="s">
        <v>1023</v>
      </c>
      <c r="C245" s="3" t="s">
        <v>1092</v>
      </c>
      <c r="D245" s="4">
        <v>3233000</v>
      </c>
      <c r="E245" s="3">
        <v>2198</v>
      </c>
      <c r="F245" s="3">
        <v>4</v>
      </c>
      <c r="G245" s="3" t="s">
        <v>36</v>
      </c>
      <c r="H245" s="3" t="s">
        <v>66</v>
      </c>
      <c r="I245" s="3">
        <v>7</v>
      </c>
      <c r="J245" s="3" t="s">
        <v>30</v>
      </c>
      <c r="K245" s="18">
        <v>160</v>
      </c>
      <c r="L245" s="16">
        <v>385</v>
      </c>
      <c r="M245" s="6" t="str" cm="1">
        <f t="array" ref="M245">_xlfn.IFS(L245&lt;100,"Economy",L245&lt;200,"Standard",L245&lt;350,"Powerful",L245&lt;500,"High Performance",L245&lt;800,"Sports Performance",L245&gt;=800,"Super Performance")</f>
        <v>High Performance</v>
      </c>
    </row>
    <row r="246" spans="1:13" x14ac:dyDescent="0.25">
      <c r="A246" s="5" t="s">
        <v>40</v>
      </c>
      <c r="B246" s="3" t="s">
        <v>1023</v>
      </c>
      <c r="C246" s="3" t="s">
        <v>1093</v>
      </c>
      <c r="D246" s="4">
        <v>2920000</v>
      </c>
      <c r="E246" s="3">
        <v>2198</v>
      </c>
      <c r="F246" s="3">
        <v>4</v>
      </c>
      <c r="G246" s="3" t="s">
        <v>36</v>
      </c>
      <c r="H246" s="3" t="s">
        <v>66</v>
      </c>
      <c r="I246" s="3">
        <v>7</v>
      </c>
      <c r="J246" s="3" t="s">
        <v>12</v>
      </c>
      <c r="K246" s="18">
        <v>160</v>
      </c>
      <c r="L246" s="16">
        <v>385</v>
      </c>
      <c r="M246" s="6" t="str" cm="1">
        <f t="array" ref="M246">_xlfn.IFS(L246&lt;100,"Economy",L246&lt;200,"Standard",L246&lt;350,"Powerful",L246&lt;500,"High Performance",L246&lt;800,"Sports Performance",L246&gt;=800,"Super Performance")</f>
        <v>High Performance</v>
      </c>
    </row>
    <row r="247" spans="1:13" x14ac:dyDescent="0.25">
      <c r="A247" s="5" t="s">
        <v>90</v>
      </c>
      <c r="B247" s="3" t="s">
        <v>253</v>
      </c>
      <c r="C247" s="3" t="s">
        <v>254</v>
      </c>
      <c r="D247" s="4">
        <v>6840000</v>
      </c>
      <c r="E247" s="3">
        <v>2143</v>
      </c>
      <c r="F247" s="3">
        <v>4</v>
      </c>
      <c r="G247" s="3" t="s">
        <v>36</v>
      </c>
      <c r="H247" s="3" t="s">
        <v>242</v>
      </c>
      <c r="I247" s="3">
        <v>7</v>
      </c>
      <c r="J247" s="3" t="s">
        <v>30</v>
      </c>
      <c r="K247" s="18">
        <v>163</v>
      </c>
      <c r="L247" s="16">
        <v>380</v>
      </c>
      <c r="M247" s="6" t="str" cm="1">
        <f t="array" ref="M247">_xlfn.IFS(L247&lt;100,"Economy",L247&lt;200,"Standard",L247&lt;350,"Powerful",L247&lt;500,"High Performance",L247&lt;800,"Sports Performance",L247&gt;=800,"Super Performance")</f>
        <v>High Performance</v>
      </c>
    </row>
    <row r="248" spans="1:13" x14ac:dyDescent="0.25">
      <c r="A248" s="5" t="s">
        <v>90</v>
      </c>
      <c r="B248" s="3" t="s">
        <v>253</v>
      </c>
      <c r="C248" s="3" t="s">
        <v>255</v>
      </c>
      <c r="D248" s="4">
        <v>8190000</v>
      </c>
      <c r="E248" s="3">
        <v>2143</v>
      </c>
      <c r="F248" s="3">
        <v>4</v>
      </c>
      <c r="G248" s="3" t="s">
        <v>36</v>
      </c>
      <c r="H248" s="3" t="s">
        <v>242</v>
      </c>
      <c r="I248" s="3">
        <v>6</v>
      </c>
      <c r="J248" s="3" t="s">
        <v>30</v>
      </c>
      <c r="K248" s="18">
        <v>163</v>
      </c>
      <c r="L248" s="16">
        <v>380</v>
      </c>
      <c r="M248" s="6" t="str" cm="1">
        <f t="array" ref="M248">_xlfn.IFS(L248&lt;100,"Economy",L248&lt;200,"Standard",L248&lt;350,"Powerful",L248&lt;500,"High Performance",L248&lt;800,"Sports Performance",L248&gt;=800,"Super Performance")</f>
        <v>High Performance</v>
      </c>
    </row>
    <row r="249" spans="1:13" x14ac:dyDescent="0.25">
      <c r="A249" s="5" t="s">
        <v>90</v>
      </c>
      <c r="B249" s="3" t="s">
        <v>253</v>
      </c>
      <c r="C249" s="3" t="s">
        <v>256</v>
      </c>
      <c r="D249" s="4">
        <v>11000000</v>
      </c>
      <c r="E249" s="3">
        <v>1950</v>
      </c>
      <c r="F249" s="3">
        <v>4</v>
      </c>
      <c r="G249" s="3" t="s">
        <v>36</v>
      </c>
      <c r="H249" s="3" t="s">
        <v>226</v>
      </c>
      <c r="I249" s="3">
        <v>6</v>
      </c>
      <c r="J249" s="3" t="s">
        <v>30</v>
      </c>
      <c r="K249" s="18">
        <v>163</v>
      </c>
      <c r="L249" s="16">
        <v>380</v>
      </c>
      <c r="M249" s="6" t="str" cm="1">
        <f t="array" ref="M249">_xlfn.IFS(L249&lt;100,"Economy",L249&lt;200,"Standard",L249&lt;350,"Powerful",L249&lt;500,"High Performance",L249&lt;800,"Sports Performance",L249&gt;=800,"Super Performance")</f>
        <v>High Performance</v>
      </c>
    </row>
    <row r="250" spans="1:13" x14ac:dyDescent="0.25">
      <c r="A250" s="5" t="s">
        <v>68</v>
      </c>
      <c r="B250" s="3" t="s">
        <v>477</v>
      </c>
      <c r="C250" s="3" t="s">
        <v>479</v>
      </c>
      <c r="D250" s="4">
        <v>3992200</v>
      </c>
      <c r="E250" s="3">
        <v>1968</v>
      </c>
      <c r="F250" s="3">
        <v>4</v>
      </c>
      <c r="G250" s="3" t="s">
        <v>36</v>
      </c>
      <c r="H250" s="3" t="s">
        <v>66</v>
      </c>
      <c r="I250" s="3">
        <v>5</v>
      </c>
      <c r="J250" s="3" t="s">
        <v>30</v>
      </c>
      <c r="K250" s="18">
        <v>177</v>
      </c>
      <c r="L250" s="16">
        <v>380</v>
      </c>
      <c r="M250" s="6" t="str" cm="1">
        <f t="array" ref="M250">_xlfn.IFS(L250&lt;100,"Economy",L250&lt;200,"Standard",L250&lt;350,"Powerful",L250&lt;500,"High Performance",L250&lt;800,"Sports Performance",L250&gt;=800,"Super Performance")</f>
        <v>High Performance</v>
      </c>
    </row>
    <row r="251" spans="1:13" x14ac:dyDescent="0.25">
      <c r="A251" s="5" t="s">
        <v>68</v>
      </c>
      <c r="B251" s="3" t="s">
        <v>477</v>
      </c>
      <c r="C251" s="3" t="s">
        <v>480</v>
      </c>
      <c r="D251" s="4">
        <v>4361000</v>
      </c>
      <c r="E251" s="3">
        <v>1968</v>
      </c>
      <c r="F251" s="3">
        <v>4</v>
      </c>
      <c r="G251" s="3" t="s">
        <v>36</v>
      </c>
      <c r="H251" s="3" t="s">
        <v>66</v>
      </c>
      <c r="I251" s="3">
        <v>5</v>
      </c>
      <c r="J251" s="3" t="s">
        <v>30</v>
      </c>
      <c r="K251" s="18">
        <v>177</v>
      </c>
      <c r="L251" s="16">
        <v>380</v>
      </c>
      <c r="M251" s="6" t="str" cm="1">
        <f t="array" ref="M251">_xlfn.IFS(L251&lt;100,"Economy",L251&lt;200,"Standard",L251&lt;350,"Powerful",L251&lt;500,"High Performance",L251&lt;800,"Sports Performance",L251&gt;=800,"Super Performance")</f>
        <v>High Performance</v>
      </c>
    </row>
    <row r="252" spans="1:13" x14ac:dyDescent="0.25">
      <c r="A252" s="5" t="s">
        <v>297</v>
      </c>
      <c r="B252" s="3">
        <v>718</v>
      </c>
      <c r="C252" s="3" t="s">
        <v>943</v>
      </c>
      <c r="D252" s="4">
        <v>8995000</v>
      </c>
      <c r="E252" s="3">
        <v>1988</v>
      </c>
      <c r="F252" s="3">
        <v>4</v>
      </c>
      <c r="G252" s="3" t="s">
        <v>10</v>
      </c>
      <c r="H252" s="3" t="s">
        <v>206</v>
      </c>
      <c r="I252" s="3">
        <v>2</v>
      </c>
      <c r="J252" s="3" t="s">
        <v>30</v>
      </c>
      <c r="K252" s="18">
        <v>300</v>
      </c>
      <c r="L252" s="16">
        <v>380</v>
      </c>
      <c r="M252" s="6" t="str" cm="1">
        <f t="array" ref="M252">_xlfn.IFS(L252&lt;100,"Economy",L252&lt;200,"Standard",L252&lt;350,"Powerful",L252&lt;500,"High Performance",L252&lt;800,"Sports Performance",L252&gt;=800,"Super Performance")</f>
        <v>High Performance</v>
      </c>
    </row>
    <row r="253" spans="1:13" x14ac:dyDescent="0.25">
      <c r="A253" s="5" t="s">
        <v>297</v>
      </c>
      <c r="B253" s="3">
        <v>718</v>
      </c>
      <c r="C253" s="3" t="s">
        <v>944</v>
      </c>
      <c r="D253" s="4">
        <v>8595000</v>
      </c>
      <c r="E253" s="3">
        <v>1988</v>
      </c>
      <c r="F253" s="3">
        <v>4</v>
      </c>
      <c r="G253" s="3" t="s">
        <v>10</v>
      </c>
      <c r="H253" s="3" t="s">
        <v>212</v>
      </c>
      <c r="I253" s="3">
        <v>2</v>
      </c>
      <c r="J253" s="3" t="s">
        <v>30</v>
      </c>
      <c r="K253" s="18">
        <v>300</v>
      </c>
      <c r="L253" s="16">
        <v>380</v>
      </c>
      <c r="M253" s="6" t="str" cm="1">
        <f t="array" ref="M253">_xlfn.IFS(L253&lt;100,"Economy",L253&lt;200,"Standard",L253&lt;350,"Powerful",L253&lt;500,"High Performance",L253&lt;800,"Sports Performance",L253&gt;=800,"Super Performance")</f>
        <v>High Performance</v>
      </c>
    </row>
    <row r="254" spans="1:13" x14ac:dyDescent="0.25">
      <c r="A254" s="5" t="s">
        <v>1041</v>
      </c>
      <c r="B254" s="3" t="s">
        <v>1042</v>
      </c>
      <c r="C254" s="3" t="s">
        <v>1043</v>
      </c>
      <c r="D254" s="4">
        <v>2734834</v>
      </c>
      <c r="E254" s="3">
        <v>2999</v>
      </c>
      <c r="F254" s="3">
        <v>4</v>
      </c>
      <c r="G254" s="3" t="s">
        <v>36</v>
      </c>
      <c r="H254" s="3" t="s">
        <v>66</v>
      </c>
      <c r="I254" s="3">
        <v>7</v>
      </c>
      <c r="J254" s="3" t="s">
        <v>30</v>
      </c>
      <c r="K254" s="18">
        <v>177</v>
      </c>
      <c r="L254" s="16">
        <v>380</v>
      </c>
      <c r="M254" s="6" t="str" cm="1">
        <f t="array" ref="M254">_xlfn.IFS(L254&lt;100,"Economy",L254&lt;200,"Standard",L254&lt;350,"Powerful",L254&lt;500,"High Performance",L254&lt;800,"Sports Performance",L254&gt;=800,"Super Performance")</f>
        <v>High Performance</v>
      </c>
    </row>
    <row r="255" spans="1:13" x14ac:dyDescent="0.25">
      <c r="A255" s="5" t="s">
        <v>1041</v>
      </c>
      <c r="B255" s="3" t="s">
        <v>1042</v>
      </c>
      <c r="C255" s="3" t="s">
        <v>1044</v>
      </c>
      <c r="D255" s="4">
        <v>2931534</v>
      </c>
      <c r="E255" s="3">
        <v>2999</v>
      </c>
      <c r="F255" s="3">
        <v>4</v>
      </c>
      <c r="G255" s="3" t="s">
        <v>36</v>
      </c>
      <c r="H255" s="3" t="s">
        <v>66</v>
      </c>
      <c r="I255" s="3">
        <v>7</v>
      </c>
      <c r="J255" s="3" t="s">
        <v>30</v>
      </c>
      <c r="K255" s="18">
        <v>177</v>
      </c>
      <c r="L255" s="16">
        <v>380</v>
      </c>
      <c r="M255" s="6" t="str" cm="1">
        <f t="array" ref="M255">_xlfn.IFS(L255&lt;100,"Economy",L255&lt;200,"Standard",L255&lt;350,"Powerful",L255&lt;500,"High Performance",L255&lt;800,"Sports Performance",L255&gt;=800,"Super Performance")</f>
        <v>High Performance</v>
      </c>
    </row>
    <row r="256" spans="1:13" x14ac:dyDescent="0.25">
      <c r="A256" s="5" t="s">
        <v>68</v>
      </c>
      <c r="B256" s="3" t="s">
        <v>73</v>
      </c>
      <c r="C256" s="3" t="s">
        <v>74</v>
      </c>
      <c r="D256" s="4">
        <v>5442200</v>
      </c>
      <c r="E256" s="3">
        <v>1984</v>
      </c>
      <c r="F256" s="3">
        <v>4</v>
      </c>
      <c r="G256" s="3" t="s">
        <v>10</v>
      </c>
      <c r="H256" s="3" t="s">
        <v>27</v>
      </c>
      <c r="I256" s="3">
        <v>5</v>
      </c>
      <c r="J256" s="3" t="s">
        <v>30</v>
      </c>
      <c r="K256" s="18">
        <v>245</v>
      </c>
      <c r="L256" s="16">
        <v>370</v>
      </c>
      <c r="M256" s="6" t="str" cm="1">
        <f t="array" ref="M256">_xlfn.IFS(L256&lt;100,"Economy",L256&lt;200,"Standard",L256&lt;350,"Powerful",L256&lt;500,"High Performance",L256&lt;800,"Sports Performance",L256&gt;=800,"Super Performance")</f>
        <v>High Performance</v>
      </c>
    </row>
    <row r="257" spans="1:13" x14ac:dyDescent="0.25">
      <c r="A257" s="5" t="s">
        <v>68</v>
      </c>
      <c r="B257" s="3" t="s">
        <v>73</v>
      </c>
      <c r="C257" s="3" t="s">
        <v>75</v>
      </c>
      <c r="D257" s="4">
        <v>5942200</v>
      </c>
      <c r="E257" s="3">
        <v>1984</v>
      </c>
      <c r="F257" s="3">
        <v>4</v>
      </c>
      <c r="G257" s="3" t="s">
        <v>10</v>
      </c>
      <c r="H257" s="3" t="s">
        <v>27</v>
      </c>
      <c r="I257" s="3">
        <v>5</v>
      </c>
      <c r="J257" s="3" t="s">
        <v>30</v>
      </c>
      <c r="K257" s="18">
        <v>245</v>
      </c>
      <c r="L257" s="16">
        <v>370</v>
      </c>
      <c r="M257" s="6" t="str" cm="1">
        <f t="array" ref="M257">_xlfn.IFS(L257&lt;100,"Economy",L257&lt;200,"Standard",L257&lt;350,"Powerful",L257&lt;500,"High Performance",L257&lt;800,"Sports Performance",L257&gt;=800,"Super Performance")</f>
        <v>High Performance</v>
      </c>
    </row>
    <row r="258" spans="1:13" x14ac:dyDescent="0.25">
      <c r="A258" s="5" t="s">
        <v>90</v>
      </c>
      <c r="B258" s="3" t="s">
        <v>248</v>
      </c>
      <c r="C258" s="3" t="s">
        <v>249</v>
      </c>
      <c r="D258" s="4">
        <v>6426497</v>
      </c>
      <c r="E258" s="3">
        <v>1991</v>
      </c>
      <c r="F258" s="3">
        <v>4</v>
      </c>
      <c r="G258" s="3" t="s">
        <v>10</v>
      </c>
      <c r="H258" s="3" t="s">
        <v>206</v>
      </c>
      <c r="I258" s="3">
        <v>4</v>
      </c>
      <c r="J258" s="3" t="s">
        <v>30</v>
      </c>
      <c r="K258" s="18">
        <v>258</v>
      </c>
      <c r="L258" s="16">
        <v>370</v>
      </c>
      <c r="M258" s="6" t="str" cm="1">
        <f t="array" ref="M258">_xlfn.IFS(L258&lt;100,"Economy",L258&lt;200,"Standard",L258&lt;350,"Powerful",L258&lt;500,"High Performance",L258&lt;800,"Sports Performance",L258&gt;=800,"Super Performance")</f>
        <v>High Performance</v>
      </c>
    </row>
    <row r="259" spans="1:13" x14ac:dyDescent="0.25">
      <c r="A259" s="5" t="s">
        <v>68</v>
      </c>
      <c r="B259" s="3" t="s">
        <v>575</v>
      </c>
      <c r="C259" s="3" t="s">
        <v>576</v>
      </c>
      <c r="D259" s="4">
        <v>6921500</v>
      </c>
      <c r="E259" s="3">
        <v>1984</v>
      </c>
      <c r="F259" s="3">
        <v>6</v>
      </c>
      <c r="G259" s="3" t="s">
        <v>10</v>
      </c>
      <c r="H259" s="3" t="s">
        <v>66</v>
      </c>
      <c r="I259" s="3">
        <v>7</v>
      </c>
      <c r="J259" s="3" t="s">
        <v>30</v>
      </c>
      <c r="K259" s="18">
        <v>252</v>
      </c>
      <c r="L259" s="16">
        <v>370</v>
      </c>
      <c r="M259" s="6" t="str" cm="1">
        <f t="array" ref="M259">_xlfn.IFS(L259&lt;100,"Economy",L259&lt;200,"Standard",L259&lt;350,"Powerful",L259&lt;500,"High Performance",L259&lt;800,"Sports Performance",L259&gt;=800,"Super Performance")</f>
        <v>High Performance</v>
      </c>
    </row>
    <row r="260" spans="1:13" x14ac:dyDescent="0.25">
      <c r="A260" s="5" t="s">
        <v>68</v>
      </c>
      <c r="B260" s="3" t="s">
        <v>575</v>
      </c>
      <c r="C260" s="3" t="s">
        <v>577</v>
      </c>
      <c r="D260" s="4">
        <v>7621500</v>
      </c>
      <c r="E260" s="3">
        <v>1984</v>
      </c>
      <c r="F260" s="3">
        <v>6</v>
      </c>
      <c r="G260" s="3" t="s">
        <v>10</v>
      </c>
      <c r="H260" s="3" t="s">
        <v>66</v>
      </c>
      <c r="I260" s="3">
        <v>7</v>
      </c>
      <c r="J260" s="3" t="s">
        <v>30</v>
      </c>
      <c r="K260" s="18">
        <v>252</v>
      </c>
      <c r="L260" s="16">
        <v>370</v>
      </c>
      <c r="M260" s="6" t="str" cm="1">
        <f t="array" ref="M260">_xlfn.IFS(L260&lt;100,"Economy",L260&lt;200,"Standard",L260&lt;350,"Powerful",L260&lt;500,"High Performance",L260&lt;800,"Sports Performance",L260&gt;=800,"Super Performance")</f>
        <v>High Performance</v>
      </c>
    </row>
    <row r="261" spans="1:13" x14ac:dyDescent="0.25">
      <c r="A261" s="5" t="s">
        <v>68</v>
      </c>
      <c r="B261" s="3" t="s">
        <v>575</v>
      </c>
      <c r="C261" s="3" t="s">
        <v>578</v>
      </c>
      <c r="D261" s="4">
        <v>7711500</v>
      </c>
      <c r="E261" s="3">
        <v>1984</v>
      </c>
      <c r="F261" s="3">
        <v>6</v>
      </c>
      <c r="G261" s="3" t="s">
        <v>10</v>
      </c>
      <c r="H261" s="3" t="s">
        <v>66</v>
      </c>
      <c r="I261" s="3">
        <v>7</v>
      </c>
      <c r="J261" s="3" t="s">
        <v>30</v>
      </c>
      <c r="K261" s="18">
        <v>252</v>
      </c>
      <c r="L261" s="16">
        <v>370</v>
      </c>
      <c r="M261" s="6" t="str" cm="1">
        <f t="array" ref="M261">_xlfn.IFS(L261&lt;100,"Economy",L261&lt;200,"Standard",L261&lt;350,"Powerful",L261&lt;500,"High Performance",L261&lt;800,"Sports Performance",L261&gt;=800,"Super Performance")</f>
        <v>High Performance</v>
      </c>
    </row>
    <row r="262" spans="1:13" x14ac:dyDescent="0.25">
      <c r="A262" s="5" t="s">
        <v>68</v>
      </c>
      <c r="B262" s="3" t="s">
        <v>495</v>
      </c>
      <c r="C262" s="3" t="s">
        <v>654</v>
      </c>
      <c r="D262" s="4">
        <v>5021200</v>
      </c>
      <c r="E262" s="3">
        <v>1984</v>
      </c>
      <c r="F262" s="3">
        <v>6</v>
      </c>
      <c r="G262" s="3" t="s">
        <v>10</v>
      </c>
      <c r="H262" s="3" t="s">
        <v>66</v>
      </c>
      <c r="I262" s="3">
        <v>5</v>
      </c>
      <c r="J262" s="3" t="s">
        <v>30</v>
      </c>
      <c r="K262" s="18">
        <v>248</v>
      </c>
      <c r="L262" s="16">
        <v>370</v>
      </c>
      <c r="M262" s="6" t="str" cm="1">
        <f t="array" ref="M262">_xlfn.IFS(L262&lt;100,"Economy",L262&lt;200,"Standard",L262&lt;350,"Powerful",L262&lt;500,"High Performance",L262&lt;800,"Sports Performance",L262&gt;=800,"Super Performance")</f>
        <v>High Performance</v>
      </c>
    </row>
    <row r="263" spans="1:13" x14ac:dyDescent="0.25">
      <c r="A263" s="5" t="s">
        <v>68</v>
      </c>
      <c r="B263" s="3" t="s">
        <v>495</v>
      </c>
      <c r="C263" s="3" t="s">
        <v>655</v>
      </c>
      <c r="D263" s="4">
        <v>5621200</v>
      </c>
      <c r="E263" s="3">
        <v>1984</v>
      </c>
      <c r="F263" s="3">
        <v>6</v>
      </c>
      <c r="G263" s="3" t="s">
        <v>10</v>
      </c>
      <c r="H263" s="3" t="s">
        <v>66</v>
      </c>
      <c r="I263" s="3">
        <v>5</v>
      </c>
      <c r="J263" s="3" t="s">
        <v>30</v>
      </c>
      <c r="K263" s="18">
        <v>248</v>
      </c>
      <c r="L263" s="16">
        <v>370</v>
      </c>
      <c r="M263" s="6" t="str" cm="1">
        <f t="array" ref="M263">_xlfn.IFS(L263&lt;100,"Economy",L263&lt;200,"Standard",L263&lt;350,"Powerful",L263&lt;500,"High Performance",L263&lt;800,"Sports Performance",L263&gt;=800,"Super Performance")</f>
        <v>High Performance</v>
      </c>
    </row>
    <row r="264" spans="1:13" x14ac:dyDescent="0.25">
      <c r="A264" s="5" t="s">
        <v>297</v>
      </c>
      <c r="B264" s="3" t="s">
        <v>694</v>
      </c>
      <c r="C264" s="3" t="s">
        <v>299</v>
      </c>
      <c r="D264" s="4">
        <v>6998000</v>
      </c>
      <c r="E264" s="3">
        <v>1984</v>
      </c>
      <c r="F264" s="3">
        <v>6</v>
      </c>
      <c r="G264" s="3" t="s">
        <v>10</v>
      </c>
      <c r="H264" s="3" t="s">
        <v>66</v>
      </c>
      <c r="I264" s="3">
        <v>5</v>
      </c>
      <c r="J264" s="3" t="s">
        <v>30</v>
      </c>
      <c r="K264" s="18">
        <v>248</v>
      </c>
      <c r="L264" s="16">
        <v>370</v>
      </c>
      <c r="M264" s="6" t="str" cm="1">
        <f t="array" ref="M264">_xlfn.IFS(L264&lt;100,"Economy",L264&lt;200,"Standard",L264&lt;350,"Powerful",L264&lt;500,"High Performance",L264&lt;800,"Sports Performance",L264&gt;=800,"Super Performance")</f>
        <v>High Performance</v>
      </c>
    </row>
    <row r="265" spans="1:13" x14ac:dyDescent="0.25">
      <c r="A265" s="5" t="s">
        <v>280</v>
      </c>
      <c r="B265" s="3" t="s">
        <v>507</v>
      </c>
      <c r="C265" s="3" t="s">
        <v>792</v>
      </c>
      <c r="D265" s="4">
        <v>6422809</v>
      </c>
      <c r="E265" s="3">
        <v>1997</v>
      </c>
      <c r="F265" s="3">
        <v>4</v>
      </c>
      <c r="G265" s="3" t="s">
        <v>10</v>
      </c>
      <c r="H265" s="3" t="s">
        <v>66</v>
      </c>
      <c r="I265" s="3">
        <v>5</v>
      </c>
      <c r="J265" s="3" t="s">
        <v>30</v>
      </c>
      <c r="K265" s="18">
        <v>247</v>
      </c>
      <c r="L265" s="16">
        <v>369</v>
      </c>
      <c r="M265" s="6" t="str" cm="1">
        <f t="array" ref="M265">_xlfn.IFS(L265&lt;100,"Economy",L265&lt;200,"Standard",L265&lt;350,"Powerful",L265&lt;500,"High Performance",L265&lt;800,"Sports Performance",L265&gt;=800,"Super Performance")</f>
        <v>High Performance</v>
      </c>
    </row>
    <row r="266" spans="1:13" x14ac:dyDescent="0.25">
      <c r="A266" s="5" t="s">
        <v>146</v>
      </c>
      <c r="B266" s="3" t="s">
        <v>320</v>
      </c>
      <c r="C266" s="3" t="s">
        <v>321</v>
      </c>
      <c r="D266" s="4">
        <v>7246802</v>
      </c>
      <c r="E266" s="3">
        <v>1997</v>
      </c>
      <c r="F266" s="3">
        <v>4</v>
      </c>
      <c r="G266" s="3" t="s">
        <v>10</v>
      </c>
      <c r="H266" s="3" t="s">
        <v>66</v>
      </c>
      <c r="I266" s="3">
        <v>5</v>
      </c>
      <c r="J266" s="3" t="s">
        <v>30</v>
      </c>
      <c r="K266" s="18">
        <v>250</v>
      </c>
      <c r="L266" s="16">
        <v>365</v>
      </c>
      <c r="M266" s="6" t="str" cm="1">
        <f t="array" ref="M266">_xlfn.IFS(L266&lt;100,"Economy",L266&lt;200,"Standard",L266&lt;350,"Powerful",L266&lt;500,"High Performance",L266&lt;800,"Sports Performance",L266&gt;=800,"Super Performance")</f>
        <v>High Performance</v>
      </c>
    </row>
    <row r="267" spans="1:13" x14ac:dyDescent="0.25">
      <c r="A267" s="5" t="s">
        <v>280</v>
      </c>
      <c r="B267" s="3" t="s">
        <v>346</v>
      </c>
      <c r="C267" s="3" t="s">
        <v>498</v>
      </c>
      <c r="D267" s="4">
        <v>4498000</v>
      </c>
      <c r="E267" s="3">
        <v>1997</v>
      </c>
      <c r="F267" s="3">
        <v>4</v>
      </c>
      <c r="G267" s="3" t="s">
        <v>10</v>
      </c>
      <c r="H267" s="3" t="s">
        <v>27</v>
      </c>
      <c r="I267" s="3">
        <v>5</v>
      </c>
      <c r="J267" s="3" t="s">
        <v>30</v>
      </c>
      <c r="K267" s="18">
        <v>250</v>
      </c>
      <c r="L267" s="16">
        <v>365</v>
      </c>
      <c r="M267" s="6" t="str" cm="1">
        <f t="array" ref="M267">_xlfn.IFS(L267&lt;100,"Economy",L267&lt;200,"Standard",L267&lt;350,"Powerful",L267&lt;500,"High Performance",L267&lt;800,"Sports Performance",L267&gt;=800,"Super Performance")</f>
        <v>High Performance</v>
      </c>
    </row>
    <row r="268" spans="1:13" x14ac:dyDescent="0.25">
      <c r="A268" s="5" t="s">
        <v>280</v>
      </c>
      <c r="B268" s="3" t="s">
        <v>346</v>
      </c>
      <c r="C268" s="3" t="s">
        <v>708</v>
      </c>
      <c r="D268" s="4">
        <v>4633000</v>
      </c>
      <c r="E268" s="3">
        <v>1997</v>
      </c>
      <c r="F268" s="3">
        <v>4</v>
      </c>
      <c r="G268" s="3" t="s">
        <v>10</v>
      </c>
      <c r="H268" s="3" t="s">
        <v>27</v>
      </c>
      <c r="I268" s="3">
        <v>5</v>
      </c>
      <c r="J268" s="3" t="s">
        <v>30</v>
      </c>
      <c r="K268" s="18">
        <v>250</v>
      </c>
      <c r="L268" s="16">
        <v>365</v>
      </c>
      <c r="M268" s="6" t="str" cm="1">
        <f t="array" ref="M268">_xlfn.IFS(L268&lt;100,"Economy",L268&lt;200,"Standard",L268&lt;350,"Powerful",L268&lt;500,"High Performance",L268&lt;800,"Sports Performance",L268&gt;=800,"Super Performance")</f>
        <v>High Performance</v>
      </c>
    </row>
    <row r="269" spans="1:13" x14ac:dyDescent="0.25">
      <c r="A269" s="5" t="s">
        <v>146</v>
      </c>
      <c r="B269" s="3" t="s">
        <v>758</v>
      </c>
      <c r="C269" s="3" t="s">
        <v>498</v>
      </c>
      <c r="D269" s="4">
        <v>5494000</v>
      </c>
      <c r="E269" s="3">
        <v>1997</v>
      </c>
      <c r="F269" s="3">
        <v>4</v>
      </c>
      <c r="G269" s="3" t="s">
        <v>10</v>
      </c>
      <c r="H269" s="3" t="s">
        <v>66</v>
      </c>
      <c r="I269" s="3">
        <v>5</v>
      </c>
      <c r="J269" s="3" t="s">
        <v>30</v>
      </c>
      <c r="K269" s="18">
        <v>245</v>
      </c>
      <c r="L269" s="16">
        <v>365</v>
      </c>
      <c r="M269" s="6" t="str" cm="1">
        <f t="array" ref="M269">_xlfn.IFS(L269&lt;100,"Economy",L269&lt;200,"Standard",L269&lt;350,"Powerful",L269&lt;500,"High Performance",L269&lt;800,"Sports Performance",L269&gt;=800,"Super Performance")</f>
        <v>High Performance</v>
      </c>
    </row>
    <row r="270" spans="1:13" x14ac:dyDescent="0.25">
      <c r="A270" s="5" t="s">
        <v>146</v>
      </c>
      <c r="B270" s="3" t="s">
        <v>758</v>
      </c>
      <c r="C270" s="3" t="s">
        <v>760</v>
      </c>
      <c r="D270" s="4">
        <v>5985000</v>
      </c>
      <c r="E270" s="3">
        <v>1997</v>
      </c>
      <c r="F270" s="3">
        <v>4</v>
      </c>
      <c r="G270" s="3" t="s">
        <v>10</v>
      </c>
      <c r="H270" s="3" t="s">
        <v>66</v>
      </c>
      <c r="I270" s="3">
        <v>5</v>
      </c>
      <c r="J270" s="3" t="s">
        <v>30</v>
      </c>
      <c r="K270" s="18">
        <v>245</v>
      </c>
      <c r="L270" s="16">
        <v>365</v>
      </c>
      <c r="M270" s="6" t="str" cm="1">
        <f t="array" ref="M270">_xlfn.IFS(L270&lt;100,"Economy",L270&lt;200,"Standard",L270&lt;350,"Powerful",L270&lt;500,"High Performance",L270&lt;800,"Sports Performance",L270&gt;=800,"Super Performance")</f>
        <v>High Performance</v>
      </c>
    </row>
    <row r="271" spans="1:13" x14ac:dyDescent="0.25">
      <c r="A271" s="5" t="s">
        <v>202</v>
      </c>
      <c r="B271" s="3" t="s">
        <v>413</v>
      </c>
      <c r="C271" s="3" t="s">
        <v>423</v>
      </c>
      <c r="D271" s="4">
        <v>1230924</v>
      </c>
      <c r="E271" s="3">
        <v>2179</v>
      </c>
      <c r="F271" s="3">
        <v>4</v>
      </c>
      <c r="G271" s="3" t="s">
        <v>36</v>
      </c>
      <c r="H271" s="3" t="s">
        <v>66</v>
      </c>
      <c r="I271" s="3">
        <v>7</v>
      </c>
      <c r="J271" s="3" t="s">
        <v>12</v>
      </c>
      <c r="K271" s="18">
        <v>155</v>
      </c>
      <c r="L271" s="16">
        <v>360</v>
      </c>
      <c r="M271" s="6" t="str" cm="1">
        <f t="array" ref="M271">_xlfn.IFS(L271&lt;100,"Economy",L271&lt;200,"Standard",L271&lt;350,"Powerful",L271&lt;500,"High Performance",L271&lt;800,"Sports Performance",L271&gt;=800,"Super Performance")</f>
        <v>High Performance</v>
      </c>
    </row>
    <row r="272" spans="1:13" x14ac:dyDescent="0.25">
      <c r="A272" s="5" t="s">
        <v>55</v>
      </c>
      <c r="B272" s="3" t="s">
        <v>424</v>
      </c>
      <c r="C272" s="3" t="s">
        <v>434</v>
      </c>
      <c r="D272" s="4">
        <v>1493000</v>
      </c>
      <c r="E272" s="3">
        <v>2755</v>
      </c>
      <c r="F272" s="3">
        <v>4</v>
      </c>
      <c r="G272" s="3" t="s">
        <v>10</v>
      </c>
      <c r="H272" s="3" t="s">
        <v>242</v>
      </c>
      <c r="I272" s="3">
        <v>7</v>
      </c>
      <c r="J272" s="3" t="s">
        <v>12</v>
      </c>
      <c r="K272" s="18">
        <v>174</v>
      </c>
      <c r="L272" s="16">
        <v>360</v>
      </c>
      <c r="M272" s="6" t="str" cm="1">
        <f t="array" ref="M272">_xlfn.IFS(L272&lt;100,"Economy",L272&lt;200,"Standard",L272&lt;350,"Powerful",L272&lt;500,"High Performance",L272&lt;800,"Sports Performance",L272&gt;=800,"Super Performance")</f>
        <v>High Performance</v>
      </c>
    </row>
    <row r="273" spans="1:13" x14ac:dyDescent="0.25">
      <c r="A273" s="5" t="s">
        <v>55</v>
      </c>
      <c r="B273" s="3" t="s">
        <v>424</v>
      </c>
      <c r="C273" s="3" t="s">
        <v>435</v>
      </c>
      <c r="D273" s="4">
        <v>1498000</v>
      </c>
      <c r="E273" s="3">
        <v>2755</v>
      </c>
      <c r="F273" s="3">
        <v>4</v>
      </c>
      <c r="G273" s="3" t="s">
        <v>10</v>
      </c>
      <c r="H273" s="3" t="s">
        <v>242</v>
      </c>
      <c r="I273" s="3">
        <v>8</v>
      </c>
      <c r="J273" s="3" t="s">
        <v>12</v>
      </c>
      <c r="K273" s="18">
        <v>174</v>
      </c>
      <c r="L273" s="16">
        <v>360</v>
      </c>
      <c r="M273" s="6" t="str" cm="1">
        <f t="array" ref="M273">_xlfn.IFS(L273&lt;100,"Economy",L273&lt;200,"Standard",L273&lt;350,"Powerful",L273&lt;500,"High Performance",L273&lt;800,"Sports Performance",L273&gt;=800,"Super Performance")</f>
        <v>High Performance</v>
      </c>
    </row>
    <row r="274" spans="1:13" x14ac:dyDescent="0.25">
      <c r="A274" s="5" t="s">
        <v>138</v>
      </c>
      <c r="B274" s="3" t="s">
        <v>139</v>
      </c>
      <c r="C274" s="3" t="s">
        <v>140</v>
      </c>
      <c r="D274" s="4">
        <v>2088000</v>
      </c>
      <c r="E274" s="3" t="s">
        <v>1386</v>
      </c>
      <c r="F274" s="3">
        <v>0</v>
      </c>
      <c r="G274" s="3" t="s">
        <v>141</v>
      </c>
      <c r="H274" s="3" t="s">
        <v>66</v>
      </c>
      <c r="I274" s="3">
        <v>5</v>
      </c>
      <c r="J274" s="3" t="s">
        <v>30</v>
      </c>
      <c r="K274" s="18">
        <v>142.76</v>
      </c>
      <c r="L274" s="16">
        <v>353</v>
      </c>
      <c r="M274" s="6" t="str" cm="1">
        <f t="array" ref="M274">_xlfn.IFS(L274&lt;100,"Economy",L274&lt;200,"Standard",L274&lt;350,"Powerful",L274&lt;500,"High Performance",L274&lt;800,"Sports Performance",L274&gt;=800,"Super Performance")</f>
        <v>High Performance</v>
      </c>
    </row>
    <row r="275" spans="1:13" x14ac:dyDescent="0.25">
      <c r="A275" s="5" t="s">
        <v>138</v>
      </c>
      <c r="B275" s="3" t="s">
        <v>139</v>
      </c>
      <c r="C275" s="3" t="s">
        <v>142</v>
      </c>
      <c r="D275" s="4">
        <v>2358000</v>
      </c>
      <c r="E275" s="3" t="s">
        <v>1386</v>
      </c>
      <c r="F275" s="3">
        <v>0</v>
      </c>
      <c r="G275" s="3" t="s">
        <v>141</v>
      </c>
      <c r="H275" s="3" t="s">
        <v>66</v>
      </c>
      <c r="I275" s="3">
        <v>5</v>
      </c>
      <c r="J275" s="3" t="s">
        <v>30</v>
      </c>
      <c r="K275" s="18">
        <v>142.76</v>
      </c>
      <c r="L275" s="16">
        <v>353</v>
      </c>
      <c r="M275" s="6" t="str" cm="1">
        <f t="array" ref="M275">_xlfn.IFS(L275&lt;100,"Economy",L275&lt;200,"Standard",L275&lt;350,"Powerful",L275&lt;500,"High Performance",L275&lt;800,"Sports Performance",L275&gt;=800,"Super Performance")</f>
        <v>High Performance</v>
      </c>
    </row>
    <row r="276" spans="1:13" x14ac:dyDescent="0.25">
      <c r="A276" s="5" t="s">
        <v>63</v>
      </c>
      <c r="B276" s="3" t="s">
        <v>64</v>
      </c>
      <c r="C276" s="3" t="s">
        <v>65</v>
      </c>
      <c r="D276" s="4">
        <v>2680000</v>
      </c>
      <c r="E276" s="3">
        <v>1956</v>
      </c>
      <c r="F276" s="3">
        <v>4</v>
      </c>
      <c r="G276" s="3" t="s">
        <v>36</v>
      </c>
      <c r="H276" s="3" t="s">
        <v>66</v>
      </c>
      <c r="I276" s="3">
        <v>5</v>
      </c>
      <c r="J276" s="3" t="s">
        <v>30</v>
      </c>
      <c r="K276" s="18">
        <v>173</v>
      </c>
      <c r="L276" s="16">
        <v>350</v>
      </c>
      <c r="M276" s="6" t="str" cm="1">
        <f t="array" ref="M276">_xlfn.IFS(L276&lt;100,"Economy",L276&lt;200,"Standard",L276&lt;350,"Powerful",L276&lt;500,"High Performance",L276&lt;800,"Sports Performance",L276&gt;=800,"Super Performance")</f>
        <v>High Performance</v>
      </c>
    </row>
    <row r="277" spans="1:13" x14ac:dyDescent="0.25">
      <c r="A277" s="5" t="s">
        <v>63</v>
      </c>
      <c r="B277" s="3" t="s">
        <v>64</v>
      </c>
      <c r="C277" s="3" t="s">
        <v>67</v>
      </c>
      <c r="D277" s="4">
        <v>2760000</v>
      </c>
      <c r="E277" s="3">
        <v>1956</v>
      </c>
      <c r="F277" s="3">
        <v>4</v>
      </c>
      <c r="G277" s="3" t="s">
        <v>36</v>
      </c>
      <c r="H277" s="3" t="s">
        <v>66</v>
      </c>
      <c r="I277" s="3">
        <v>5</v>
      </c>
      <c r="J277" s="3" t="s">
        <v>30</v>
      </c>
      <c r="K277" s="18">
        <v>173</v>
      </c>
      <c r="L277" s="16">
        <v>350</v>
      </c>
      <c r="M277" s="6" t="str" cm="1">
        <f t="array" ref="M277">_xlfn.IFS(L277&lt;100,"Economy",L277&lt;200,"Standard",L277&lt;350,"Powerful",L277&lt;500,"High Performance",L277&lt;800,"Sports Performance",L277&gt;=800,"Super Performance")</f>
        <v>High Performance</v>
      </c>
    </row>
    <row r="278" spans="1:13" x14ac:dyDescent="0.25">
      <c r="A278" s="5" t="s">
        <v>63</v>
      </c>
      <c r="B278" s="3" t="s">
        <v>109</v>
      </c>
      <c r="C278" s="3" t="s">
        <v>113</v>
      </c>
      <c r="D278" s="4">
        <v>1661000</v>
      </c>
      <c r="E278" s="3">
        <v>1956</v>
      </c>
      <c r="F278" s="3">
        <v>6</v>
      </c>
      <c r="G278" s="3" t="s">
        <v>36</v>
      </c>
      <c r="H278" s="3" t="s">
        <v>66</v>
      </c>
      <c r="I278" s="3">
        <v>5</v>
      </c>
      <c r="J278" s="3" t="s">
        <v>12</v>
      </c>
      <c r="K278" s="18">
        <v>173</v>
      </c>
      <c r="L278" s="16">
        <v>350</v>
      </c>
      <c r="M278" s="6" t="str" cm="1">
        <f t="array" ref="M278">_xlfn.IFS(L278&lt;100,"Economy",L278&lt;200,"Standard",L278&lt;350,"Powerful",L278&lt;500,"High Performance",L278&lt;800,"Sports Performance",L278&gt;=800,"Super Performance")</f>
        <v>High Performance</v>
      </c>
    </row>
    <row r="279" spans="1:13" x14ac:dyDescent="0.25">
      <c r="A279" s="5" t="s">
        <v>63</v>
      </c>
      <c r="B279" s="3" t="s">
        <v>109</v>
      </c>
      <c r="C279" s="3" t="s">
        <v>114</v>
      </c>
      <c r="D279" s="4">
        <v>1803000</v>
      </c>
      <c r="E279" s="3">
        <v>1956</v>
      </c>
      <c r="F279" s="3">
        <v>6</v>
      </c>
      <c r="G279" s="3" t="s">
        <v>36</v>
      </c>
      <c r="H279" s="3" t="s">
        <v>66</v>
      </c>
      <c r="I279" s="3">
        <v>5</v>
      </c>
      <c r="J279" s="3" t="s">
        <v>12</v>
      </c>
      <c r="K279" s="18">
        <v>173</v>
      </c>
      <c r="L279" s="16">
        <v>350</v>
      </c>
      <c r="M279" s="6" t="str" cm="1">
        <f t="array" ref="M279">_xlfn.IFS(L279&lt;100,"Economy",L279&lt;200,"Standard",L279&lt;350,"Powerful",L279&lt;500,"High Performance",L279&lt;800,"Sports Performance",L279&gt;=800,"Super Performance")</f>
        <v>High Performance</v>
      </c>
    </row>
    <row r="280" spans="1:13" x14ac:dyDescent="0.25">
      <c r="A280" s="5" t="s">
        <v>63</v>
      </c>
      <c r="B280" s="3" t="s">
        <v>109</v>
      </c>
      <c r="C280" s="3" t="s">
        <v>115</v>
      </c>
      <c r="D280" s="4">
        <v>1888000</v>
      </c>
      <c r="E280" s="3">
        <v>1956</v>
      </c>
      <c r="F280" s="3">
        <v>6</v>
      </c>
      <c r="G280" s="3" t="s">
        <v>36</v>
      </c>
      <c r="H280" s="3" t="s">
        <v>66</v>
      </c>
      <c r="I280" s="3">
        <v>5</v>
      </c>
      <c r="J280" s="3" t="s">
        <v>12</v>
      </c>
      <c r="K280" s="18">
        <v>173</v>
      </c>
      <c r="L280" s="16">
        <v>350</v>
      </c>
      <c r="M280" s="6" t="str" cm="1">
        <f t="array" ref="M280">_xlfn.IFS(L280&lt;100,"Economy",L280&lt;200,"Standard",L280&lt;350,"Powerful",L280&lt;500,"High Performance",L280&lt;800,"Sports Performance",L280&gt;=800,"Super Performance")</f>
        <v>High Performance</v>
      </c>
    </row>
    <row r="281" spans="1:13" x14ac:dyDescent="0.25">
      <c r="A281" s="5" t="s">
        <v>63</v>
      </c>
      <c r="B281" s="3" t="s">
        <v>109</v>
      </c>
      <c r="C281" s="3" t="s">
        <v>116</v>
      </c>
      <c r="D281" s="4">
        <v>1973000</v>
      </c>
      <c r="E281" s="3">
        <v>1956</v>
      </c>
      <c r="F281" s="3">
        <v>6</v>
      </c>
      <c r="G281" s="3" t="s">
        <v>36</v>
      </c>
      <c r="H281" s="3" t="s">
        <v>66</v>
      </c>
      <c r="I281" s="3">
        <v>5</v>
      </c>
      <c r="J281" s="3" t="s">
        <v>12</v>
      </c>
      <c r="K281" s="18">
        <v>173</v>
      </c>
      <c r="L281" s="16">
        <v>350</v>
      </c>
      <c r="M281" s="6" t="str" cm="1">
        <f t="array" ref="M281">_xlfn.IFS(L281&lt;100,"Economy",L281&lt;200,"Standard",L281&lt;350,"Powerful",L281&lt;500,"High Performance",L281&lt;800,"Sports Performance",L281&gt;=800,"Super Performance")</f>
        <v>High Performance</v>
      </c>
    </row>
    <row r="282" spans="1:13" x14ac:dyDescent="0.25">
      <c r="A282" s="5" t="s">
        <v>63</v>
      </c>
      <c r="B282" s="3" t="s">
        <v>109</v>
      </c>
      <c r="C282" s="3" t="s">
        <v>117</v>
      </c>
      <c r="D282" s="4">
        <v>2022000</v>
      </c>
      <c r="E282" s="3">
        <v>1956</v>
      </c>
      <c r="F282" s="3">
        <v>6</v>
      </c>
      <c r="G282" s="3" t="s">
        <v>36</v>
      </c>
      <c r="H282" s="3" t="s">
        <v>66</v>
      </c>
      <c r="I282" s="3">
        <v>5</v>
      </c>
      <c r="J282" s="3" t="s">
        <v>12</v>
      </c>
      <c r="K282" s="18">
        <v>173</v>
      </c>
      <c r="L282" s="16">
        <v>350</v>
      </c>
      <c r="M282" s="6" t="str" cm="1">
        <f t="array" ref="M282">_xlfn.IFS(L282&lt;100,"Economy",L282&lt;200,"Standard",L282&lt;350,"Powerful",L282&lt;500,"High Performance",L282&lt;800,"Sports Performance",L282&gt;=800,"Super Performance")</f>
        <v>High Performance</v>
      </c>
    </row>
    <row r="283" spans="1:13" x14ac:dyDescent="0.25">
      <c r="A283" s="5" t="s">
        <v>63</v>
      </c>
      <c r="B283" s="3" t="s">
        <v>109</v>
      </c>
      <c r="C283" s="3" t="s">
        <v>118</v>
      </c>
      <c r="D283" s="4">
        <v>2151000</v>
      </c>
      <c r="E283" s="3">
        <v>1956</v>
      </c>
      <c r="F283" s="3">
        <v>6</v>
      </c>
      <c r="G283" s="3" t="s">
        <v>36</v>
      </c>
      <c r="H283" s="3" t="s">
        <v>66</v>
      </c>
      <c r="I283" s="3">
        <v>5</v>
      </c>
      <c r="J283" s="3" t="s">
        <v>12</v>
      </c>
      <c r="K283" s="18">
        <v>173</v>
      </c>
      <c r="L283" s="16">
        <v>350</v>
      </c>
      <c r="M283" s="6" t="str" cm="1">
        <f t="array" ref="M283">_xlfn.IFS(L283&lt;100,"Economy",L283&lt;200,"Standard",L283&lt;350,"Powerful",L283&lt;500,"High Performance",L283&lt;800,"Sports Performance",L283&gt;=800,"Super Performance")</f>
        <v>High Performance</v>
      </c>
    </row>
    <row r="284" spans="1:13" x14ac:dyDescent="0.25">
      <c r="A284" s="5" t="s">
        <v>63</v>
      </c>
      <c r="B284" s="3" t="s">
        <v>109</v>
      </c>
      <c r="C284" s="3" t="s">
        <v>119</v>
      </c>
      <c r="D284" s="4">
        <v>2199000</v>
      </c>
      <c r="E284" s="3">
        <v>1956</v>
      </c>
      <c r="F284" s="3">
        <v>6</v>
      </c>
      <c r="G284" s="3" t="s">
        <v>36</v>
      </c>
      <c r="H284" s="3" t="s">
        <v>66</v>
      </c>
      <c r="I284" s="3">
        <v>5</v>
      </c>
      <c r="J284" s="3" t="s">
        <v>12</v>
      </c>
      <c r="K284" s="18">
        <v>173</v>
      </c>
      <c r="L284" s="16">
        <v>350</v>
      </c>
      <c r="M284" s="6" t="str" cm="1">
        <f t="array" ref="M284">_xlfn.IFS(L284&lt;100,"Economy",L284&lt;200,"Standard",L284&lt;350,"Powerful",L284&lt;500,"High Performance",L284&lt;800,"Sports Performance",L284&gt;=800,"Super Performance")</f>
        <v>High Performance</v>
      </c>
    </row>
    <row r="285" spans="1:13" x14ac:dyDescent="0.25">
      <c r="A285" s="5" t="s">
        <v>63</v>
      </c>
      <c r="B285" s="3" t="s">
        <v>109</v>
      </c>
      <c r="C285" s="3" t="s">
        <v>121</v>
      </c>
      <c r="D285" s="4">
        <v>2133000</v>
      </c>
      <c r="E285" s="3">
        <v>1956</v>
      </c>
      <c r="F285" s="3">
        <v>6</v>
      </c>
      <c r="G285" s="3" t="s">
        <v>36</v>
      </c>
      <c r="H285" s="3" t="s">
        <v>66</v>
      </c>
      <c r="I285" s="3">
        <v>5</v>
      </c>
      <c r="J285" s="3" t="s">
        <v>12</v>
      </c>
      <c r="K285" s="18">
        <v>173</v>
      </c>
      <c r="L285" s="16">
        <v>350</v>
      </c>
      <c r="M285" s="6" t="str" cm="1">
        <f t="array" ref="M285">_xlfn.IFS(L285&lt;100,"Economy",L285&lt;200,"Standard",L285&lt;350,"Powerful",L285&lt;500,"High Performance",L285&lt;800,"Sports Performance",L285&gt;=800,"Super Performance")</f>
        <v>High Performance</v>
      </c>
    </row>
    <row r="286" spans="1:13" x14ac:dyDescent="0.25">
      <c r="A286" s="5" t="s">
        <v>63</v>
      </c>
      <c r="B286" s="3" t="s">
        <v>109</v>
      </c>
      <c r="C286" s="3" t="s">
        <v>122</v>
      </c>
      <c r="D286" s="4">
        <v>2311000</v>
      </c>
      <c r="E286" s="3">
        <v>1956</v>
      </c>
      <c r="F286" s="3">
        <v>6</v>
      </c>
      <c r="G286" s="3" t="s">
        <v>36</v>
      </c>
      <c r="H286" s="3" t="s">
        <v>66</v>
      </c>
      <c r="I286" s="3">
        <v>5</v>
      </c>
      <c r="J286" s="3" t="s">
        <v>12</v>
      </c>
      <c r="K286" s="18">
        <v>173</v>
      </c>
      <c r="L286" s="16">
        <v>350</v>
      </c>
      <c r="M286" s="6" t="str" cm="1">
        <f t="array" ref="M286">_xlfn.IFS(L286&lt;100,"Economy",L286&lt;200,"Standard",L286&lt;350,"Powerful",L286&lt;500,"High Performance",L286&lt;800,"Sports Performance",L286&gt;=800,"Super Performance")</f>
        <v>High Performance</v>
      </c>
    </row>
    <row r="287" spans="1:13" x14ac:dyDescent="0.25">
      <c r="A287" s="5" t="s">
        <v>63</v>
      </c>
      <c r="B287" s="3" t="s">
        <v>109</v>
      </c>
      <c r="C287" s="3" t="s">
        <v>123</v>
      </c>
      <c r="D287" s="4">
        <v>1699000</v>
      </c>
      <c r="E287" s="3">
        <v>1956</v>
      </c>
      <c r="F287" s="3">
        <v>6</v>
      </c>
      <c r="G287" s="3" t="s">
        <v>36</v>
      </c>
      <c r="H287" s="3" t="s">
        <v>66</v>
      </c>
      <c r="I287" s="3">
        <v>5</v>
      </c>
      <c r="J287" s="3" t="s">
        <v>12</v>
      </c>
      <c r="K287" s="18">
        <v>173</v>
      </c>
      <c r="L287" s="16">
        <v>350</v>
      </c>
      <c r="M287" s="6" t="str" cm="1">
        <f t="array" ref="M287">_xlfn.IFS(L287&lt;100,"Economy",L287&lt;200,"Standard",L287&lt;350,"Powerful",L287&lt;500,"High Performance",L287&lt;800,"Sports Performance",L287&gt;=800,"Super Performance")</f>
        <v>High Performance</v>
      </c>
    </row>
    <row r="288" spans="1:13" x14ac:dyDescent="0.25">
      <c r="A288" s="5" t="s">
        <v>63</v>
      </c>
      <c r="B288" s="3" t="s">
        <v>109</v>
      </c>
      <c r="C288" s="3" t="s">
        <v>127</v>
      </c>
      <c r="D288" s="4">
        <v>2036300</v>
      </c>
      <c r="E288" s="3">
        <v>1956</v>
      </c>
      <c r="F288" s="3">
        <v>6</v>
      </c>
      <c r="G288" s="3" t="s">
        <v>36</v>
      </c>
      <c r="H288" s="3" t="s">
        <v>66</v>
      </c>
      <c r="I288" s="3">
        <v>5</v>
      </c>
      <c r="J288" s="3" t="s">
        <v>12</v>
      </c>
      <c r="K288" s="18">
        <v>173</v>
      </c>
      <c r="L288" s="16">
        <v>350</v>
      </c>
      <c r="M288" s="6" t="str" cm="1">
        <f t="array" ref="M288">_xlfn.IFS(L288&lt;100,"Economy",L288&lt;200,"Standard",L288&lt;350,"Powerful",L288&lt;500,"High Performance",L288&lt;800,"Sports Performance",L288&gt;=800,"Super Performance")</f>
        <v>High Performance</v>
      </c>
    </row>
    <row r="289" spans="1:13" x14ac:dyDescent="0.25">
      <c r="A289" s="5" t="s">
        <v>63</v>
      </c>
      <c r="B289" s="3" t="s">
        <v>109</v>
      </c>
      <c r="C289" s="3" t="s">
        <v>128</v>
      </c>
      <c r="D289" s="4">
        <v>2214000</v>
      </c>
      <c r="E289" s="3">
        <v>1956</v>
      </c>
      <c r="F289" s="3">
        <v>6</v>
      </c>
      <c r="G289" s="3" t="s">
        <v>36</v>
      </c>
      <c r="H289" s="3" t="s">
        <v>66</v>
      </c>
      <c r="I289" s="3">
        <v>5</v>
      </c>
      <c r="J289" s="3" t="s">
        <v>12</v>
      </c>
      <c r="K289" s="18">
        <v>173</v>
      </c>
      <c r="L289" s="16">
        <v>350</v>
      </c>
      <c r="M289" s="6" t="str" cm="1">
        <f t="array" ref="M289">_xlfn.IFS(L289&lt;100,"Economy",L289&lt;200,"Standard",L289&lt;350,"Powerful",L289&lt;500,"High Performance",L289&lt;800,"Sports Performance",L289&gt;=800,"Super Performance")</f>
        <v>High Performance</v>
      </c>
    </row>
    <row r="290" spans="1:13" x14ac:dyDescent="0.25">
      <c r="A290" s="5" t="s">
        <v>63</v>
      </c>
      <c r="B290" s="3" t="s">
        <v>109</v>
      </c>
      <c r="C290" s="3" t="s">
        <v>129</v>
      </c>
      <c r="D290" s="4">
        <v>2499000</v>
      </c>
      <c r="E290" s="3">
        <v>1956</v>
      </c>
      <c r="F290" s="3">
        <v>6</v>
      </c>
      <c r="G290" s="3" t="s">
        <v>36</v>
      </c>
      <c r="H290" s="3" t="s">
        <v>66</v>
      </c>
      <c r="I290" s="3">
        <v>5</v>
      </c>
      <c r="J290" s="3" t="s">
        <v>30</v>
      </c>
      <c r="K290" s="18">
        <v>173</v>
      </c>
      <c r="L290" s="16">
        <v>350</v>
      </c>
      <c r="M290" s="6" t="str" cm="1">
        <f t="array" ref="M290">_xlfn.IFS(L290&lt;100,"Economy",L290&lt;200,"Standard",L290&lt;350,"Powerful",L290&lt;500,"High Performance",L290&lt;800,"Sports Performance",L290&gt;=800,"Super Performance")</f>
        <v>High Performance</v>
      </c>
    </row>
    <row r="291" spans="1:13" x14ac:dyDescent="0.25">
      <c r="A291" s="5" t="s">
        <v>63</v>
      </c>
      <c r="B291" s="3" t="s">
        <v>109</v>
      </c>
      <c r="C291" s="3" t="s">
        <v>130</v>
      </c>
      <c r="D291" s="4">
        <v>2196000</v>
      </c>
      <c r="E291" s="3">
        <v>1956</v>
      </c>
      <c r="F291" s="3">
        <v>6</v>
      </c>
      <c r="G291" s="3" t="s">
        <v>36</v>
      </c>
      <c r="H291" s="3" t="s">
        <v>66</v>
      </c>
      <c r="I291" s="3">
        <v>5</v>
      </c>
      <c r="J291" s="3" t="s">
        <v>30</v>
      </c>
      <c r="K291" s="18">
        <v>173</v>
      </c>
      <c r="L291" s="16">
        <v>350</v>
      </c>
      <c r="M291" s="6" t="str" cm="1">
        <f t="array" ref="M291">_xlfn.IFS(L291&lt;100,"Economy",L291&lt;200,"Standard",L291&lt;350,"Powerful",L291&lt;500,"High Performance",L291&lt;800,"Sports Performance",L291&gt;=800,"Super Performance")</f>
        <v>High Performance</v>
      </c>
    </row>
    <row r="292" spans="1:13" x14ac:dyDescent="0.25">
      <c r="A292" s="5" t="s">
        <v>160</v>
      </c>
      <c r="B292" s="3" t="s">
        <v>161</v>
      </c>
      <c r="C292" s="3" t="s">
        <v>162</v>
      </c>
      <c r="D292" s="4">
        <v>3021500</v>
      </c>
      <c r="E292" s="3">
        <v>1968</v>
      </c>
      <c r="F292" s="3">
        <v>4</v>
      </c>
      <c r="G292" s="3" t="s">
        <v>36</v>
      </c>
      <c r="H292" s="3" t="s">
        <v>27</v>
      </c>
      <c r="I292" s="3">
        <v>5</v>
      </c>
      <c r="J292" s="3" t="s">
        <v>30</v>
      </c>
      <c r="K292" s="18">
        <v>180</v>
      </c>
      <c r="L292" s="16">
        <v>350</v>
      </c>
      <c r="M292" s="6" t="str" cm="1">
        <f t="array" ref="M292">_xlfn.IFS(L292&lt;100,"Economy",L292&lt;200,"Standard",L292&lt;350,"Powerful",L292&lt;500,"High Performance",L292&lt;800,"Sports Performance",L292&gt;=800,"Super Performance")</f>
        <v>High Performance</v>
      </c>
    </row>
    <row r="293" spans="1:13" x14ac:dyDescent="0.25">
      <c r="A293" s="5" t="s">
        <v>160</v>
      </c>
      <c r="B293" s="3" t="s">
        <v>161</v>
      </c>
      <c r="C293" s="3" t="s">
        <v>163</v>
      </c>
      <c r="D293" s="4">
        <v>3321500</v>
      </c>
      <c r="E293" s="3">
        <v>1968</v>
      </c>
      <c r="F293" s="3">
        <v>4</v>
      </c>
      <c r="G293" s="3" t="s">
        <v>36</v>
      </c>
      <c r="H293" s="3" t="s">
        <v>27</v>
      </c>
      <c r="I293" s="3">
        <v>5</v>
      </c>
      <c r="J293" s="3" t="s">
        <v>30</v>
      </c>
      <c r="K293" s="18">
        <v>180</v>
      </c>
      <c r="L293" s="16">
        <v>350</v>
      </c>
      <c r="M293" s="6" t="str" cm="1">
        <f t="array" ref="M293">_xlfn.IFS(L293&lt;100,"Economy",L293&lt;200,"Standard",L293&lt;350,"Powerful",L293&lt;500,"High Performance",L293&lt;800,"Sports Performance",L293&gt;=800,"Super Performance")</f>
        <v>High Performance</v>
      </c>
    </row>
    <row r="294" spans="1:13" x14ac:dyDescent="0.25">
      <c r="A294" s="5" t="s">
        <v>160</v>
      </c>
      <c r="B294" s="3" t="s">
        <v>161</v>
      </c>
      <c r="C294" s="3" t="s">
        <v>164</v>
      </c>
      <c r="D294" s="4">
        <v>2599000</v>
      </c>
      <c r="E294" s="3">
        <v>1968</v>
      </c>
      <c r="F294" s="3">
        <v>4</v>
      </c>
      <c r="G294" s="3" t="s">
        <v>36</v>
      </c>
      <c r="H294" s="3" t="s">
        <v>27</v>
      </c>
      <c r="I294" s="3">
        <v>5</v>
      </c>
      <c r="J294" s="3" t="s">
        <v>30</v>
      </c>
      <c r="K294" s="18">
        <v>180</v>
      </c>
      <c r="L294" s="16">
        <v>350</v>
      </c>
      <c r="M294" s="6" t="str" cm="1">
        <f t="array" ref="M294">_xlfn.IFS(L294&lt;100,"Economy",L294&lt;200,"Standard",L294&lt;350,"Powerful",L294&lt;500,"High Performance",L294&lt;800,"Sports Performance",L294&gt;=800,"Super Performance")</f>
        <v>High Performance</v>
      </c>
    </row>
    <row r="295" spans="1:13" x14ac:dyDescent="0.25">
      <c r="A295" s="5" t="s">
        <v>160</v>
      </c>
      <c r="B295" s="3" t="s">
        <v>161</v>
      </c>
      <c r="C295" s="3" t="s">
        <v>165</v>
      </c>
      <c r="D295" s="4">
        <v>2899000</v>
      </c>
      <c r="E295" s="3">
        <v>1968</v>
      </c>
      <c r="F295" s="3">
        <v>4</v>
      </c>
      <c r="G295" s="3" t="s">
        <v>36</v>
      </c>
      <c r="H295" s="3" t="s">
        <v>27</v>
      </c>
      <c r="I295" s="3">
        <v>5</v>
      </c>
      <c r="J295" s="3" t="s">
        <v>30</v>
      </c>
      <c r="K295" s="18">
        <v>180</v>
      </c>
      <c r="L295" s="16">
        <v>350</v>
      </c>
      <c r="M295" s="6" t="str" cm="1">
        <f t="array" ref="M295">_xlfn.IFS(L295&lt;100,"Economy",L295&lt;200,"Standard",L295&lt;350,"Powerful",L295&lt;500,"High Performance",L295&lt;800,"Sports Performance",L295&gt;=800,"Super Performance")</f>
        <v>High Performance</v>
      </c>
    </row>
    <row r="296" spans="1:13" x14ac:dyDescent="0.25">
      <c r="A296" s="5" t="s">
        <v>170</v>
      </c>
      <c r="B296" s="3" t="s">
        <v>196</v>
      </c>
      <c r="C296" s="3" t="s">
        <v>173</v>
      </c>
      <c r="D296" s="4">
        <v>18221000</v>
      </c>
      <c r="E296" s="3">
        <v>3456</v>
      </c>
      <c r="F296" s="3">
        <v>6</v>
      </c>
      <c r="G296" s="3" t="s">
        <v>194</v>
      </c>
      <c r="H296" s="3" t="s">
        <v>66</v>
      </c>
      <c r="I296" s="3">
        <v>5</v>
      </c>
      <c r="J296" s="3" t="s">
        <v>30</v>
      </c>
      <c r="K296" s="18">
        <v>299</v>
      </c>
      <c r="L296" s="16">
        <v>350</v>
      </c>
      <c r="M296" s="6" t="str" cm="1">
        <f t="array" ref="M296">_xlfn.IFS(L296&lt;100,"Economy",L296&lt;200,"Standard",L296&lt;350,"Powerful",L296&lt;500,"High Performance",L296&lt;800,"Sports Performance",L296&gt;=800,"Super Performance")</f>
        <v>High Performance</v>
      </c>
    </row>
    <row r="297" spans="1:13" x14ac:dyDescent="0.25">
      <c r="A297" s="5" t="s">
        <v>170</v>
      </c>
      <c r="B297" s="3" t="s">
        <v>196</v>
      </c>
      <c r="C297" s="3" t="s">
        <v>197</v>
      </c>
      <c r="D297" s="4">
        <v>18736000</v>
      </c>
      <c r="E297" s="3">
        <v>3456</v>
      </c>
      <c r="F297" s="3">
        <v>6</v>
      </c>
      <c r="G297" s="3" t="s">
        <v>194</v>
      </c>
      <c r="H297" s="3" t="s">
        <v>66</v>
      </c>
      <c r="I297" s="3">
        <v>5</v>
      </c>
      <c r="J297" s="3" t="s">
        <v>30</v>
      </c>
      <c r="K297" s="18">
        <v>299</v>
      </c>
      <c r="L297" s="16">
        <v>350</v>
      </c>
      <c r="M297" s="6" t="str" cm="1">
        <f t="array" ref="M297">_xlfn.IFS(L297&lt;100,"Economy",L297&lt;200,"Standard",L297&lt;350,"Powerful",L297&lt;500,"High Performance",L297&lt;800,"Sports Performance",L297&gt;=800,"Super Performance")</f>
        <v>High Performance</v>
      </c>
    </row>
    <row r="298" spans="1:13" x14ac:dyDescent="0.25">
      <c r="A298" s="5" t="s">
        <v>170</v>
      </c>
      <c r="B298" s="3" t="s">
        <v>196</v>
      </c>
      <c r="C298" s="3" t="s">
        <v>198</v>
      </c>
      <c r="D298" s="4">
        <v>19371000</v>
      </c>
      <c r="E298" s="3">
        <v>3456</v>
      </c>
      <c r="F298" s="3">
        <v>6</v>
      </c>
      <c r="G298" s="3" t="s">
        <v>194</v>
      </c>
      <c r="H298" s="3" t="s">
        <v>66</v>
      </c>
      <c r="I298" s="3">
        <v>5</v>
      </c>
      <c r="J298" s="3" t="s">
        <v>30</v>
      </c>
      <c r="K298" s="18">
        <v>299</v>
      </c>
      <c r="L298" s="16">
        <v>350</v>
      </c>
      <c r="M298" s="6" t="str" cm="1">
        <f t="array" ref="M298">_xlfn.IFS(L298&lt;100,"Economy",L298&lt;200,"Standard",L298&lt;350,"Powerful",L298&lt;500,"High Performance",L298&lt;800,"Sports Performance",L298&gt;=800,"Super Performance")</f>
        <v>High Performance</v>
      </c>
    </row>
    <row r="299" spans="1:13" x14ac:dyDescent="0.25">
      <c r="A299" s="5" t="s">
        <v>170</v>
      </c>
      <c r="B299" s="3" t="s">
        <v>211</v>
      </c>
      <c r="C299" s="3" t="s">
        <v>212</v>
      </c>
      <c r="D299" s="4">
        <v>19600000</v>
      </c>
      <c r="E299" s="3">
        <v>3456</v>
      </c>
      <c r="F299" s="3">
        <v>6</v>
      </c>
      <c r="G299" s="3" t="s">
        <v>194</v>
      </c>
      <c r="H299" s="3" t="s">
        <v>212</v>
      </c>
      <c r="I299" s="3">
        <v>4</v>
      </c>
      <c r="J299" s="3" t="s">
        <v>30</v>
      </c>
      <c r="K299" s="18">
        <v>299</v>
      </c>
      <c r="L299" s="16">
        <v>350</v>
      </c>
      <c r="M299" s="6" t="str" cm="1">
        <f t="array" ref="M299">_xlfn.IFS(L299&lt;100,"Economy",L299&lt;200,"Standard",L299&lt;350,"Powerful",L299&lt;500,"High Performance",L299&lt;800,"Sports Performance",L299&gt;=800,"Super Performance")</f>
        <v>High Performance</v>
      </c>
    </row>
    <row r="300" spans="1:13" x14ac:dyDescent="0.25">
      <c r="A300" s="5" t="s">
        <v>382</v>
      </c>
      <c r="B300" s="3" t="s">
        <v>383</v>
      </c>
      <c r="C300" s="3" t="s">
        <v>384</v>
      </c>
      <c r="D300" s="4">
        <v>2769000</v>
      </c>
      <c r="E300" s="3">
        <v>1984</v>
      </c>
      <c r="F300" s="3">
        <v>5</v>
      </c>
      <c r="G300" s="3" t="s">
        <v>36</v>
      </c>
      <c r="H300" s="3" t="s">
        <v>11</v>
      </c>
      <c r="I300" s="3">
        <v>5</v>
      </c>
      <c r="J300" s="3" t="s">
        <v>30</v>
      </c>
      <c r="K300" s="18">
        <v>150</v>
      </c>
      <c r="L300" s="16">
        <v>350</v>
      </c>
      <c r="M300" s="6" t="str" cm="1">
        <f t="array" ref="M300">_xlfn.IFS(L300&lt;100,"Economy",L300&lt;200,"Standard",L300&lt;350,"Powerful",L300&lt;500,"High Performance",L300&lt;800,"Sports Performance",L300&gt;=800,"Super Performance")</f>
        <v>High Performance</v>
      </c>
    </row>
    <row r="301" spans="1:13" x14ac:dyDescent="0.25">
      <c r="A301" s="5" t="s">
        <v>382</v>
      </c>
      <c r="B301" s="3" t="s">
        <v>383</v>
      </c>
      <c r="C301" s="3" t="s">
        <v>385</v>
      </c>
      <c r="D301" s="4">
        <v>3191000</v>
      </c>
      <c r="E301" s="3">
        <v>1984</v>
      </c>
      <c r="F301" s="3">
        <v>5</v>
      </c>
      <c r="G301" s="3" t="s">
        <v>36</v>
      </c>
      <c r="H301" s="3" t="s">
        <v>11</v>
      </c>
      <c r="I301" s="3">
        <v>5</v>
      </c>
      <c r="J301" s="3" t="s">
        <v>30</v>
      </c>
      <c r="K301" s="18">
        <v>150</v>
      </c>
      <c r="L301" s="16">
        <v>350</v>
      </c>
      <c r="M301" s="6" t="str" cm="1">
        <f t="array" ref="M301">_xlfn.IFS(L301&lt;100,"Economy",L301&lt;200,"Standard",L301&lt;350,"Powerful",L301&lt;500,"High Performance",L301&lt;800,"Sports Performance",L301&gt;=800,"Super Performance")</f>
        <v>High Performance</v>
      </c>
    </row>
    <row r="302" spans="1:13" x14ac:dyDescent="0.25">
      <c r="A302" s="5" t="s">
        <v>78</v>
      </c>
      <c r="B302" s="3" t="s">
        <v>401</v>
      </c>
      <c r="C302" s="3" t="s">
        <v>402</v>
      </c>
      <c r="D302" s="4">
        <v>5980000</v>
      </c>
      <c r="E302" s="3">
        <v>1998</v>
      </c>
      <c r="F302" s="3">
        <v>6</v>
      </c>
      <c r="G302" s="3" t="s">
        <v>10</v>
      </c>
      <c r="H302" s="3" t="s">
        <v>27</v>
      </c>
      <c r="I302" s="3">
        <v>5</v>
      </c>
      <c r="J302" s="3" t="s">
        <v>30</v>
      </c>
      <c r="K302" s="18">
        <v>252</v>
      </c>
      <c r="L302" s="16">
        <v>350</v>
      </c>
      <c r="M302" s="6" t="str" cm="1">
        <f t="array" ref="M302">_xlfn.IFS(L302&lt;100,"Economy",L302&lt;200,"Standard",L302&lt;350,"Powerful",L302&lt;500,"High Performance",L302&lt;800,"Sports Performance",L302&gt;=800,"Super Performance")</f>
        <v>High Performance</v>
      </c>
    </row>
    <row r="303" spans="1:13" x14ac:dyDescent="0.25">
      <c r="A303" s="5" t="s">
        <v>78</v>
      </c>
      <c r="B303" s="3" t="s">
        <v>659</v>
      </c>
      <c r="C303" s="3" t="s">
        <v>661</v>
      </c>
      <c r="D303" s="4">
        <v>6350000</v>
      </c>
      <c r="E303" s="3">
        <v>1998</v>
      </c>
      <c r="F303" s="3">
        <v>6</v>
      </c>
      <c r="G303" s="3" t="s">
        <v>10</v>
      </c>
      <c r="H303" s="3" t="s">
        <v>66</v>
      </c>
      <c r="I303" s="3">
        <v>5</v>
      </c>
      <c r="J303" s="3" t="s">
        <v>30</v>
      </c>
      <c r="K303" s="18">
        <v>248</v>
      </c>
      <c r="L303" s="16">
        <v>350</v>
      </c>
      <c r="M303" s="6" t="str" cm="1">
        <f t="array" ref="M303">_xlfn.IFS(L303&lt;100,"Economy",L303&lt;200,"Standard",L303&lt;350,"Powerful",L303&lt;500,"High Performance",L303&lt;800,"Sports Performance",L303&gt;=800,"Super Performance")</f>
        <v>High Performance</v>
      </c>
    </row>
    <row r="304" spans="1:13" x14ac:dyDescent="0.25">
      <c r="A304" s="5" t="s">
        <v>22</v>
      </c>
      <c r="B304" s="3" t="s">
        <v>687</v>
      </c>
      <c r="C304" s="3" t="s">
        <v>688</v>
      </c>
      <c r="D304" s="4">
        <v>1345363</v>
      </c>
      <c r="E304" s="3">
        <v>1956</v>
      </c>
      <c r="F304" s="3">
        <v>3</v>
      </c>
      <c r="G304" s="3" t="s">
        <v>36</v>
      </c>
      <c r="H304" s="3" t="s">
        <v>66</v>
      </c>
      <c r="I304" s="3">
        <v>5</v>
      </c>
      <c r="J304" s="3" t="s">
        <v>12</v>
      </c>
      <c r="K304" s="18">
        <v>140</v>
      </c>
      <c r="L304" s="16">
        <v>350</v>
      </c>
      <c r="M304" s="6" t="str" cm="1">
        <f t="array" ref="M304">_xlfn.IFS(L304&lt;100,"Economy",L304&lt;200,"Standard",L304&lt;350,"Powerful",L304&lt;500,"High Performance",L304&lt;800,"Sports Performance",L304&gt;=800,"Super Performance")</f>
        <v>High Performance</v>
      </c>
    </row>
    <row r="305" spans="1:13" x14ac:dyDescent="0.25">
      <c r="A305" s="5" t="s">
        <v>22</v>
      </c>
      <c r="B305" s="3" t="s">
        <v>687</v>
      </c>
      <c r="C305" s="3" t="s">
        <v>689</v>
      </c>
      <c r="D305" s="4">
        <v>1471368</v>
      </c>
      <c r="E305" s="3">
        <v>1956</v>
      </c>
      <c r="F305" s="3">
        <v>3</v>
      </c>
      <c r="G305" s="3" t="s">
        <v>36</v>
      </c>
      <c r="H305" s="3" t="s">
        <v>66</v>
      </c>
      <c r="I305" s="3">
        <v>5</v>
      </c>
      <c r="J305" s="3" t="s">
        <v>12</v>
      </c>
      <c r="K305" s="18">
        <v>140</v>
      </c>
      <c r="L305" s="16">
        <v>350</v>
      </c>
      <c r="M305" s="6" t="str" cm="1">
        <f t="array" ref="M305">_xlfn.IFS(L305&lt;100,"Economy",L305&lt;200,"Standard",L305&lt;350,"Powerful",L305&lt;500,"High Performance",L305&lt;800,"Sports Performance",L305&gt;=800,"Super Performance")</f>
        <v>High Performance</v>
      </c>
    </row>
    <row r="306" spans="1:13" x14ac:dyDescent="0.25">
      <c r="A306" s="5" t="s">
        <v>22</v>
      </c>
      <c r="B306" s="3" t="s">
        <v>687</v>
      </c>
      <c r="C306" s="3" t="s">
        <v>690</v>
      </c>
      <c r="D306" s="4">
        <v>1591368</v>
      </c>
      <c r="E306" s="3">
        <v>1956</v>
      </c>
      <c r="F306" s="3">
        <v>3</v>
      </c>
      <c r="G306" s="3" t="s">
        <v>36</v>
      </c>
      <c r="H306" s="3" t="s">
        <v>11</v>
      </c>
      <c r="I306" s="3">
        <v>5</v>
      </c>
      <c r="J306" s="3" t="s">
        <v>12</v>
      </c>
      <c r="K306" s="18">
        <v>140</v>
      </c>
      <c r="L306" s="16">
        <v>350</v>
      </c>
      <c r="M306" s="6" t="str" cm="1">
        <f t="array" ref="M306">_xlfn.IFS(L306&lt;100,"Economy",L306&lt;200,"Standard",L306&lt;350,"Powerful",L306&lt;500,"High Performance",L306&lt;800,"Sports Performance",L306&gt;=800,"Super Performance")</f>
        <v>High Performance</v>
      </c>
    </row>
    <row r="307" spans="1:13" x14ac:dyDescent="0.25">
      <c r="A307" s="5" t="s">
        <v>22</v>
      </c>
      <c r="B307" s="3" t="s">
        <v>687</v>
      </c>
      <c r="C307" s="3" t="s">
        <v>691</v>
      </c>
      <c r="D307" s="4">
        <v>1721368</v>
      </c>
      <c r="E307" s="3">
        <v>1956</v>
      </c>
      <c r="F307" s="3">
        <v>3</v>
      </c>
      <c r="G307" s="3" t="s">
        <v>36</v>
      </c>
      <c r="H307" s="3" t="s">
        <v>11</v>
      </c>
      <c r="I307" s="3">
        <v>5</v>
      </c>
      <c r="J307" s="3" t="s">
        <v>12</v>
      </c>
      <c r="K307" s="18">
        <v>140</v>
      </c>
      <c r="L307" s="16">
        <v>350</v>
      </c>
      <c r="M307" s="6" t="str" cm="1">
        <f t="array" ref="M307">_xlfn.IFS(L307&lt;100,"Economy",L307&lt;200,"Standard",L307&lt;350,"Powerful",L307&lt;500,"High Performance",L307&lt;800,"Sports Performance",L307&gt;=800,"Super Performance")</f>
        <v>High Performance</v>
      </c>
    </row>
    <row r="308" spans="1:13" x14ac:dyDescent="0.25">
      <c r="A308" s="5" t="s">
        <v>22</v>
      </c>
      <c r="B308" s="3" t="s">
        <v>687</v>
      </c>
      <c r="C308" s="3" t="s">
        <v>692</v>
      </c>
      <c r="D308" s="4">
        <v>1732231</v>
      </c>
      <c r="E308" s="3">
        <v>1956</v>
      </c>
      <c r="F308" s="3">
        <v>3</v>
      </c>
      <c r="G308" s="3" t="s">
        <v>36</v>
      </c>
      <c r="H308" s="3" t="s">
        <v>11</v>
      </c>
      <c r="I308" s="3">
        <v>5</v>
      </c>
      <c r="J308" s="3" t="s">
        <v>12</v>
      </c>
      <c r="K308" s="18">
        <v>140</v>
      </c>
      <c r="L308" s="16">
        <v>350</v>
      </c>
      <c r="M308" s="6" t="str" cm="1">
        <f t="array" ref="M308">_xlfn.IFS(L308&lt;100,"Economy",L308&lt;200,"Standard",L308&lt;350,"Powerful",L308&lt;500,"High Performance",L308&lt;800,"Sports Performance",L308&gt;=800,"Super Performance")</f>
        <v>High Performance</v>
      </c>
    </row>
    <row r="309" spans="1:13" x14ac:dyDescent="0.25">
      <c r="A309" s="5" t="s">
        <v>22</v>
      </c>
      <c r="B309" s="3" t="s">
        <v>687</v>
      </c>
      <c r="C309" s="3" t="s">
        <v>693</v>
      </c>
      <c r="D309" s="4">
        <v>1730755</v>
      </c>
      <c r="E309" s="3">
        <v>1956</v>
      </c>
      <c r="F309" s="3">
        <v>3</v>
      </c>
      <c r="G309" s="3" t="s">
        <v>36</v>
      </c>
      <c r="H309" s="3" t="s">
        <v>11</v>
      </c>
      <c r="I309" s="3">
        <v>5</v>
      </c>
      <c r="J309" s="3" t="s">
        <v>12</v>
      </c>
      <c r="K309" s="18">
        <v>140</v>
      </c>
      <c r="L309" s="16">
        <v>350</v>
      </c>
      <c r="M309" s="6" t="str" cm="1">
        <f t="array" ref="M309">_xlfn.IFS(L309&lt;100,"Economy",L309&lt;200,"Standard",L309&lt;350,"Powerful",L309&lt;500,"High Performance",L309&lt;800,"Sports Performance",L309&gt;=800,"Super Performance")</f>
        <v>High Performance</v>
      </c>
    </row>
    <row r="310" spans="1:13" x14ac:dyDescent="0.25">
      <c r="A310" s="5" t="s">
        <v>138</v>
      </c>
      <c r="B310" s="3" t="s">
        <v>775</v>
      </c>
      <c r="C310" s="3" t="s">
        <v>777</v>
      </c>
      <c r="D310" s="4">
        <v>1348000</v>
      </c>
      <c r="E310" s="3">
        <v>2000</v>
      </c>
      <c r="F310" s="3">
        <v>4</v>
      </c>
      <c r="G310" s="3" t="s">
        <v>36</v>
      </c>
      <c r="H310" s="3" t="s">
        <v>66</v>
      </c>
      <c r="I310" s="3">
        <v>5</v>
      </c>
      <c r="J310" s="3" t="s">
        <v>12</v>
      </c>
      <c r="K310" s="18">
        <v>168</v>
      </c>
      <c r="L310" s="16">
        <v>350</v>
      </c>
      <c r="M310" s="6" t="str" cm="1">
        <f t="array" ref="M310">_xlfn.IFS(L310&lt;100,"Economy",L310&lt;200,"Standard",L310&lt;350,"Powerful",L310&lt;500,"High Performance",L310&lt;800,"Sports Performance",L310&gt;=800,"Super Performance")</f>
        <v>High Performance</v>
      </c>
    </row>
    <row r="311" spans="1:13" x14ac:dyDescent="0.25">
      <c r="A311" s="5" t="s">
        <v>138</v>
      </c>
      <c r="B311" s="3" t="s">
        <v>775</v>
      </c>
      <c r="C311" s="3" t="s">
        <v>778</v>
      </c>
      <c r="D311" s="4">
        <v>1448000</v>
      </c>
      <c r="E311" s="3">
        <v>2000</v>
      </c>
      <c r="F311" s="3">
        <v>4</v>
      </c>
      <c r="G311" s="3" t="s">
        <v>36</v>
      </c>
      <c r="H311" s="3" t="s">
        <v>66</v>
      </c>
      <c r="I311" s="3">
        <v>5</v>
      </c>
      <c r="J311" s="3" t="s">
        <v>12</v>
      </c>
      <c r="K311" s="18">
        <v>168</v>
      </c>
      <c r="L311" s="16">
        <v>350</v>
      </c>
      <c r="M311" s="6" t="str" cm="1">
        <f t="array" ref="M311">_xlfn.IFS(L311&lt;100,"Economy",L311&lt;200,"Standard",L311&lt;350,"Powerful",L311&lt;500,"High Performance",L311&lt;800,"Sports Performance",L311&gt;=800,"Super Performance")</f>
        <v>High Performance</v>
      </c>
    </row>
    <row r="312" spans="1:13" x14ac:dyDescent="0.25">
      <c r="A312" s="5" t="s">
        <v>138</v>
      </c>
      <c r="B312" s="3" t="s">
        <v>775</v>
      </c>
      <c r="C312" s="3" t="s">
        <v>779</v>
      </c>
      <c r="D312" s="4">
        <v>1588000</v>
      </c>
      <c r="E312" s="3">
        <v>2000</v>
      </c>
      <c r="F312" s="3">
        <v>4</v>
      </c>
      <c r="G312" s="3" t="s">
        <v>36</v>
      </c>
      <c r="H312" s="3" t="s">
        <v>66</v>
      </c>
      <c r="I312" s="3">
        <v>5</v>
      </c>
      <c r="J312" s="3" t="s">
        <v>12</v>
      </c>
      <c r="K312" s="18">
        <v>168</v>
      </c>
      <c r="L312" s="16">
        <v>350</v>
      </c>
      <c r="M312" s="6" t="str" cm="1">
        <f t="array" ref="M312">_xlfn.IFS(L312&lt;100,"Economy",L312&lt;200,"Standard",L312&lt;350,"Powerful",L312&lt;500,"High Performance",L312&lt;800,"Sports Performance",L312&gt;=800,"Super Performance")</f>
        <v>High Performance</v>
      </c>
    </row>
    <row r="313" spans="1:13" x14ac:dyDescent="0.25">
      <c r="A313" s="5" t="s">
        <v>138</v>
      </c>
      <c r="B313" s="3" t="s">
        <v>775</v>
      </c>
      <c r="C313" s="3" t="s">
        <v>780</v>
      </c>
      <c r="D313" s="4">
        <v>1728000</v>
      </c>
      <c r="E313" s="3">
        <v>2000</v>
      </c>
      <c r="F313" s="3">
        <v>4</v>
      </c>
      <c r="G313" s="3" t="s">
        <v>36</v>
      </c>
      <c r="H313" s="3" t="s">
        <v>66</v>
      </c>
      <c r="I313" s="3">
        <v>5</v>
      </c>
      <c r="J313" s="3" t="s">
        <v>12</v>
      </c>
      <c r="K313" s="18">
        <v>168</v>
      </c>
      <c r="L313" s="16">
        <v>350</v>
      </c>
      <c r="M313" s="6" t="str" cm="1">
        <f t="array" ref="M313">_xlfn.IFS(L313&lt;100,"Economy",L313&lt;200,"Standard",L313&lt;350,"Powerful",L313&lt;500,"High Performance",L313&lt;800,"Sports Performance",L313&gt;=800,"Super Performance")</f>
        <v>High Performance</v>
      </c>
    </row>
    <row r="314" spans="1:13" x14ac:dyDescent="0.25">
      <c r="A314" s="5" t="s">
        <v>589</v>
      </c>
      <c r="B314" s="3" t="s">
        <v>1106</v>
      </c>
      <c r="C314" s="3" t="s">
        <v>1108</v>
      </c>
      <c r="D314" s="4">
        <v>2835500</v>
      </c>
      <c r="E314" s="3">
        <v>2477</v>
      </c>
      <c r="F314" s="3">
        <v>4</v>
      </c>
      <c r="G314" s="3" t="s">
        <v>36</v>
      </c>
      <c r="H314" s="3" t="s">
        <v>66</v>
      </c>
      <c r="I314" s="3">
        <v>7</v>
      </c>
      <c r="J314" s="3" t="s">
        <v>30</v>
      </c>
      <c r="K314" s="18">
        <v>178</v>
      </c>
      <c r="L314" s="16">
        <v>350</v>
      </c>
      <c r="M314" s="6" t="str" cm="1">
        <f t="array" ref="M314">_xlfn.IFS(L314&lt;100,"Economy",L314&lt;200,"Standard",L314&lt;350,"Powerful",L314&lt;500,"High Performance",L314&lt;800,"Sports Performance",L314&gt;=800,"Super Performance")</f>
        <v>High Performance</v>
      </c>
    </row>
    <row r="315" spans="1:13" x14ac:dyDescent="0.25">
      <c r="A315" s="5" t="s">
        <v>589</v>
      </c>
      <c r="B315" s="3" t="s">
        <v>1106</v>
      </c>
      <c r="C315" s="3" t="s">
        <v>1111</v>
      </c>
      <c r="D315" s="4">
        <v>2952500</v>
      </c>
      <c r="E315" s="3">
        <v>2477</v>
      </c>
      <c r="F315" s="3">
        <v>4</v>
      </c>
      <c r="G315" s="3" t="s">
        <v>36</v>
      </c>
      <c r="H315" s="3" t="s">
        <v>66</v>
      </c>
      <c r="I315" s="3">
        <v>7</v>
      </c>
      <c r="J315" s="3" t="s">
        <v>30</v>
      </c>
      <c r="K315" s="18">
        <v>178</v>
      </c>
      <c r="L315" s="16">
        <v>350</v>
      </c>
      <c r="M315" s="6" t="str" cm="1">
        <f t="array" ref="M315">_xlfn.IFS(L315&lt;100,"Economy",L315&lt;200,"Standard",L315&lt;350,"Powerful",L315&lt;500,"High Performance",L315&lt;800,"Sports Performance",L315&gt;=800,"Super Performance")</f>
        <v>High Performance</v>
      </c>
    </row>
    <row r="316" spans="1:13" x14ac:dyDescent="0.25">
      <c r="A316" s="5" t="s">
        <v>382</v>
      </c>
      <c r="B316" s="3" t="s">
        <v>1142</v>
      </c>
      <c r="C316" s="3" t="s">
        <v>1143</v>
      </c>
      <c r="D316" s="4">
        <v>3283000</v>
      </c>
      <c r="E316" s="3">
        <v>1984</v>
      </c>
      <c r="F316" s="3">
        <v>5</v>
      </c>
      <c r="G316" s="3" t="s">
        <v>36</v>
      </c>
      <c r="H316" s="3" t="s">
        <v>11</v>
      </c>
      <c r="I316" s="3">
        <v>5</v>
      </c>
      <c r="J316" s="3" t="s">
        <v>30</v>
      </c>
      <c r="K316" s="18">
        <v>150</v>
      </c>
      <c r="L316" s="16">
        <v>350</v>
      </c>
      <c r="M316" s="6" t="str" cm="1">
        <f t="array" ref="M316">_xlfn.IFS(L316&lt;100,"Economy",L316&lt;200,"Standard",L316&lt;350,"Powerful",L316&lt;500,"High Performance",L316&lt;800,"Sports Performance",L316&gt;=800,"Super Performance")</f>
        <v>High Performance</v>
      </c>
    </row>
    <row r="317" spans="1:13" x14ac:dyDescent="0.25">
      <c r="A317" s="5" t="s">
        <v>572</v>
      </c>
      <c r="B317" s="3" t="s">
        <v>1190</v>
      </c>
      <c r="C317" s="3" t="s">
        <v>1191</v>
      </c>
      <c r="D317" s="4">
        <v>3149599</v>
      </c>
      <c r="E317" s="3">
        <v>1968</v>
      </c>
      <c r="F317" s="3">
        <v>4</v>
      </c>
      <c r="G317" s="3" t="s">
        <v>36</v>
      </c>
      <c r="H317" s="3" t="s">
        <v>27</v>
      </c>
      <c r="I317" s="3">
        <v>5</v>
      </c>
      <c r="J317" s="3" t="s">
        <v>30</v>
      </c>
      <c r="K317" s="18">
        <v>177</v>
      </c>
      <c r="L317" s="16">
        <v>350</v>
      </c>
      <c r="M317" s="6" t="str" cm="1">
        <f t="array" ref="M317">_xlfn.IFS(L317&lt;100,"Economy",L317&lt;200,"Standard",L317&lt;350,"Powerful",L317&lt;500,"High Performance",L317&lt;800,"Sports Performance",L317&gt;=800,"Super Performance")</f>
        <v>High Performance</v>
      </c>
    </row>
    <row r="318" spans="1:13" x14ac:dyDescent="0.25">
      <c r="A318" s="5" t="s">
        <v>572</v>
      </c>
      <c r="B318" s="3" t="s">
        <v>1202</v>
      </c>
      <c r="C318" s="3" t="s">
        <v>1203</v>
      </c>
      <c r="D318" s="4">
        <v>3299599</v>
      </c>
      <c r="E318" s="3">
        <v>1968</v>
      </c>
      <c r="F318" s="3">
        <v>4</v>
      </c>
      <c r="G318" s="3" t="s">
        <v>36</v>
      </c>
      <c r="H318" s="3" t="s">
        <v>66</v>
      </c>
      <c r="I318" s="3">
        <v>5</v>
      </c>
      <c r="J318" s="3" t="s">
        <v>30</v>
      </c>
      <c r="K318" s="18">
        <v>177</v>
      </c>
      <c r="L318" s="16">
        <v>350</v>
      </c>
      <c r="M318" s="6" t="str" cm="1">
        <f t="array" ref="M318">_xlfn.IFS(L318&lt;100,"Economy",L318&lt;200,"Standard",L318&lt;350,"Powerful",L318&lt;500,"High Performance",L318&lt;800,"Sports Performance",L318&gt;=800,"Super Performance")</f>
        <v>High Performance</v>
      </c>
    </row>
    <row r="319" spans="1:13" x14ac:dyDescent="0.25">
      <c r="A319" s="5" t="s">
        <v>572</v>
      </c>
      <c r="B319" s="3" t="s">
        <v>1202</v>
      </c>
      <c r="C319" s="3" t="s">
        <v>1210</v>
      </c>
      <c r="D319" s="4">
        <v>3299599</v>
      </c>
      <c r="E319" s="3">
        <v>1968</v>
      </c>
      <c r="F319" s="3">
        <v>4</v>
      </c>
      <c r="G319" s="3" t="s">
        <v>36</v>
      </c>
      <c r="H319" s="3" t="s">
        <v>66</v>
      </c>
      <c r="I319" s="3">
        <v>5</v>
      </c>
      <c r="J319" s="3" t="s">
        <v>30</v>
      </c>
      <c r="K319" s="18">
        <v>177</v>
      </c>
      <c r="L319" s="16">
        <v>350</v>
      </c>
      <c r="M319" s="6" t="str" cm="1">
        <f t="array" ref="M319">_xlfn.IFS(L319&lt;100,"Economy",L319&lt;200,"Standard",L319&lt;350,"Powerful",L319&lt;500,"High Performance",L319&lt;800,"Sports Performance",L319&gt;=800,"Super Performance")</f>
        <v>High Performance</v>
      </c>
    </row>
    <row r="320" spans="1:13" x14ac:dyDescent="0.25">
      <c r="A320" s="5" t="s">
        <v>78</v>
      </c>
      <c r="B320" s="3" t="s">
        <v>1214</v>
      </c>
      <c r="C320" s="3" t="s">
        <v>1215</v>
      </c>
      <c r="D320" s="4">
        <v>5880000</v>
      </c>
      <c r="E320" s="3">
        <v>1998</v>
      </c>
      <c r="F320" s="3">
        <v>4</v>
      </c>
      <c r="G320" s="3" t="s">
        <v>10</v>
      </c>
      <c r="H320" s="3" t="s">
        <v>66</v>
      </c>
      <c r="I320" s="3">
        <v>5</v>
      </c>
      <c r="J320" s="3" t="s">
        <v>30</v>
      </c>
      <c r="K320" s="18">
        <v>248</v>
      </c>
      <c r="L320" s="16">
        <v>350</v>
      </c>
      <c r="M320" s="6" t="str" cm="1">
        <f t="array" ref="M320">_xlfn.IFS(L320&lt;100,"Economy",L320&lt;200,"Standard",L320&lt;350,"Powerful",L320&lt;500,"High Performance",L320&lt;800,"Sports Performance",L320&gt;=800,"Super Performance")</f>
        <v>High Performance</v>
      </c>
    </row>
    <row r="321" spans="1:13" x14ac:dyDescent="0.25">
      <c r="A321" s="5" t="s">
        <v>572</v>
      </c>
      <c r="B321" s="3" t="s">
        <v>1253</v>
      </c>
      <c r="C321" s="3" t="s">
        <v>1257</v>
      </c>
      <c r="D321" s="4">
        <v>3029599</v>
      </c>
      <c r="E321" s="3">
        <v>1968</v>
      </c>
      <c r="F321" s="3">
        <v>4</v>
      </c>
      <c r="G321" s="3" t="s">
        <v>36</v>
      </c>
      <c r="H321" s="3" t="s">
        <v>27</v>
      </c>
      <c r="I321" s="3">
        <v>5</v>
      </c>
      <c r="J321" s="3" t="s">
        <v>30</v>
      </c>
      <c r="K321" s="18">
        <v>177</v>
      </c>
      <c r="L321" s="16">
        <v>350</v>
      </c>
      <c r="M321" s="6" t="str" cm="1">
        <f t="array" ref="M321">_xlfn.IFS(L321&lt;100,"Economy",L321&lt;200,"Standard",L321&lt;350,"Powerful",L321&lt;500,"High Performance",L321&lt;800,"Sports Performance",L321&gt;=800,"Super Performance")</f>
        <v>High Performance</v>
      </c>
    </row>
    <row r="322" spans="1:13" x14ac:dyDescent="0.25">
      <c r="A322" s="5" t="s">
        <v>572</v>
      </c>
      <c r="B322" s="3" t="s">
        <v>1253</v>
      </c>
      <c r="C322" s="3" t="s">
        <v>1258</v>
      </c>
      <c r="D322" s="4">
        <v>3349599</v>
      </c>
      <c r="E322" s="3">
        <v>1968</v>
      </c>
      <c r="F322" s="3">
        <v>4</v>
      </c>
      <c r="G322" s="3" t="s">
        <v>36</v>
      </c>
      <c r="H322" s="3" t="s">
        <v>27</v>
      </c>
      <c r="I322" s="3">
        <v>5</v>
      </c>
      <c r="J322" s="3" t="s">
        <v>30</v>
      </c>
      <c r="K322" s="18">
        <v>177</v>
      </c>
      <c r="L322" s="16">
        <v>350</v>
      </c>
      <c r="M322" s="6" t="str" cm="1">
        <f t="array" ref="M322">_xlfn.IFS(L322&lt;100,"Economy",L322&lt;200,"Standard",L322&lt;350,"Powerful",L322&lt;500,"High Performance",L322&lt;800,"Sports Performance",L322&gt;=800,"Super Performance")</f>
        <v>High Performance</v>
      </c>
    </row>
    <row r="323" spans="1:13" x14ac:dyDescent="0.25">
      <c r="A323" s="5" t="s">
        <v>572</v>
      </c>
      <c r="B323" s="3" t="s">
        <v>1253</v>
      </c>
      <c r="C323" s="3" t="s">
        <v>1263</v>
      </c>
      <c r="D323" s="4">
        <v>2849599</v>
      </c>
      <c r="E323" s="3">
        <v>1968</v>
      </c>
      <c r="F323" s="3">
        <v>4</v>
      </c>
      <c r="G323" s="3" t="s">
        <v>36</v>
      </c>
      <c r="H323" s="3" t="s">
        <v>27</v>
      </c>
      <c r="I323" s="3">
        <v>5</v>
      </c>
      <c r="J323" s="3" t="s">
        <v>30</v>
      </c>
      <c r="K323" s="18">
        <v>177</v>
      </c>
      <c r="L323" s="16">
        <v>350</v>
      </c>
      <c r="M323" s="6" t="str" cm="1">
        <f t="array" ref="M323">_xlfn.IFS(L323&lt;100,"Economy",L323&lt;200,"Standard",L323&lt;350,"Powerful",L323&lt;500,"High Performance",L323&lt;800,"Sports Performance",L323&gt;=800,"Super Performance")</f>
        <v>High Performance</v>
      </c>
    </row>
    <row r="324" spans="1:13" x14ac:dyDescent="0.25">
      <c r="A324" s="5" t="s">
        <v>1041</v>
      </c>
      <c r="B324" s="3" t="s">
        <v>1312</v>
      </c>
      <c r="C324" s="3" t="s">
        <v>1315</v>
      </c>
      <c r="D324" s="4">
        <v>1999000</v>
      </c>
      <c r="E324" s="3">
        <v>1898</v>
      </c>
      <c r="F324" s="3">
        <v>4</v>
      </c>
      <c r="G324" s="3" t="s">
        <v>36</v>
      </c>
      <c r="H324" s="3" t="s">
        <v>1313</v>
      </c>
      <c r="I324" s="3">
        <v>5</v>
      </c>
      <c r="J324" s="3" t="s">
        <v>30</v>
      </c>
      <c r="K324" s="18">
        <v>150</v>
      </c>
      <c r="L324" s="16">
        <v>350</v>
      </c>
      <c r="M324" s="6" t="str" cm="1">
        <f t="array" ref="M324">_xlfn.IFS(L324&lt;100,"Economy",L324&lt;200,"Standard",L324&lt;350,"Powerful",L324&lt;500,"High Performance",L324&lt;800,"Sports Performance",L324&gt;=800,"Super Performance")</f>
        <v>High Performance</v>
      </c>
    </row>
    <row r="325" spans="1:13" x14ac:dyDescent="0.25">
      <c r="A325" s="5" t="s">
        <v>90</v>
      </c>
      <c r="B325" s="3" t="s">
        <v>1316</v>
      </c>
      <c r="C325" s="3" t="s">
        <v>1322</v>
      </c>
      <c r="D325" s="4">
        <v>3864000</v>
      </c>
      <c r="E325" s="3">
        <v>2143</v>
      </c>
      <c r="F325" s="3">
        <v>4</v>
      </c>
      <c r="G325" s="3" t="s">
        <v>36</v>
      </c>
      <c r="H325" s="3" t="s">
        <v>66</v>
      </c>
      <c r="I325" s="3">
        <v>5</v>
      </c>
      <c r="J325" s="3" t="s">
        <v>30</v>
      </c>
      <c r="K325" s="18">
        <v>170</v>
      </c>
      <c r="L325" s="16">
        <v>350</v>
      </c>
      <c r="M325" s="6" t="str" cm="1">
        <f t="array" ref="M325">_xlfn.IFS(L325&lt;100,"Economy",L325&lt;200,"Standard",L325&lt;350,"Powerful",L325&lt;500,"High Performance",L325&lt;800,"Sports Performance",L325&gt;=800,"Super Performance")</f>
        <v>High Performance</v>
      </c>
    </row>
    <row r="326" spans="1:13" x14ac:dyDescent="0.25">
      <c r="A326" s="5" t="s">
        <v>63</v>
      </c>
      <c r="B326" s="3" t="s">
        <v>83</v>
      </c>
      <c r="C326" s="3" t="s">
        <v>84</v>
      </c>
      <c r="D326" s="4">
        <v>7515000</v>
      </c>
      <c r="E326" s="3">
        <v>3604</v>
      </c>
      <c r="F326" s="3">
        <v>6</v>
      </c>
      <c r="G326" s="3" t="s">
        <v>10</v>
      </c>
      <c r="H326" s="3" t="s">
        <v>66</v>
      </c>
      <c r="I326" s="3">
        <v>5</v>
      </c>
      <c r="J326" s="3" t="s">
        <v>30</v>
      </c>
      <c r="K326" s="18">
        <v>286</v>
      </c>
      <c r="L326" s="16">
        <v>347</v>
      </c>
      <c r="M326" s="6" t="str" cm="1">
        <f t="array" ref="M326">_xlfn.IFS(L326&lt;100,"Economy",L326&lt;200,"Standard",L326&lt;350,"Powerful",L326&lt;500,"High Performance",L326&lt;800,"Sports Performance",L326&gt;=800,"Super Performance")</f>
        <v>Powerful</v>
      </c>
    </row>
    <row r="327" spans="1:13" x14ac:dyDescent="0.25">
      <c r="A327" s="5" t="s">
        <v>55</v>
      </c>
      <c r="B327" s="3" t="s">
        <v>424</v>
      </c>
      <c r="C327" s="3" t="s">
        <v>425</v>
      </c>
      <c r="D327" s="4">
        <v>1605000</v>
      </c>
      <c r="E327" s="3">
        <v>2393</v>
      </c>
      <c r="F327" s="3">
        <v>4</v>
      </c>
      <c r="G327" s="3" t="s">
        <v>36</v>
      </c>
      <c r="H327" s="3" t="s">
        <v>242</v>
      </c>
      <c r="I327" s="3">
        <v>7</v>
      </c>
      <c r="J327" s="3" t="s">
        <v>12</v>
      </c>
      <c r="K327" s="18">
        <v>150</v>
      </c>
      <c r="L327" s="16">
        <v>343</v>
      </c>
      <c r="M327" s="6" t="str" cm="1">
        <f t="array" ref="M327">_xlfn.IFS(L327&lt;100,"Economy",L327&lt;200,"Standard",L327&lt;350,"Powerful",L327&lt;500,"High Performance",L327&lt;800,"Sports Performance",L327&gt;=800,"Super Performance")</f>
        <v>Powerful</v>
      </c>
    </row>
    <row r="328" spans="1:13" x14ac:dyDescent="0.25">
      <c r="A328" s="5" t="s">
        <v>55</v>
      </c>
      <c r="B328" s="3" t="s">
        <v>424</v>
      </c>
      <c r="C328" s="3" t="s">
        <v>426</v>
      </c>
      <c r="D328" s="4">
        <v>1927000</v>
      </c>
      <c r="E328" s="3">
        <v>2393</v>
      </c>
      <c r="F328" s="3">
        <v>4</v>
      </c>
      <c r="G328" s="3" t="s">
        <v>36</v>
      </c>
      <c r="H328" s="3" t="s">
        <v>242</v>
      </c>
      <c r="I328" s="3">
        <v>7</v>
      </c>
      <c r="J328" s="3" t="s">
        <v>12</v>
      </c>
      <c r="K328" s="18">
        <v>150</v>
      </c>
      <c r="L328" s="16">
        <v>343</v>
      </c>
      <c r="M328" s="6" t="str" cm="1">
        <f t="array" ref="M328">_xlfn.IFS(L328&lt;100,"Economy",L328&lt;200,"Standard",L328&lt;350,"Powerful",L328&lt;500,"High Performance",L328&lt;800,"Sports Performance",L328&gt;=800,"Super Performance")</f>
        <v>Powerful</v>
      </c>
    </row>
    <row r="329" spans="1:13" x14ac:dyDescent="0.25">
      <c r="A329" s="5" t="s">
        <v>55</v>
      </c>
      <c r="B329" s="3" t="s">
        <v>424</v>
      </c>
      <c r="C329" s="3" t="s">
        <v>427</v>
      </c>
      <c r="D329" s="4">
        <v>1610000</v>
      </c>
      <c r="E329" s="3">
        <v>2393</v>
      </c>
      <c r="F329" s="3">
        <v>4</v>
      </c>
      <c r="G329" s="3" t="s">
        <v>36</v>
      </c>
      <c r="H329" s="3" t="s">
        <v>242</v>
      </c>
      <c r="I329" s="3">
        <v>8</v>
      </c>
      <c r="J329" s="3" t="s">
        <v>12</v>
      </c>
      <c r="K329" s="18">
        <v>150</v>
      </c>
      <c r="L329" s="16">
        <v>343</v>
      </c>
      <c r="M329" s="6" t="str" cm="1">
        <f t="array" ref="M329">_xlfn.IFS(L329&lt;100,"Economy",L329&lt;200,"Standard",L329&lt;350,"Powerful",L329&lt;500,"High Performance",L329&lt;800,"Sports Performance",L329&gt;=800,"Super Performance")</f>
        <v>Powerful</v>
      </c>
    </row>
    <row r="330" spans="1:13" x14ac:dyDescent="0.25">
      <c r="A330" s="5" t="s">
        <v>55</v>
      </c>
      <c r="B330" s="3" t="s">
        <v>424</v>
      </c>
      <c r="C330" s="3" t="s">
        <v>428</v>
      </c>
      <c r="D330" s="4">
        <v>1932000</v>
      </c>
      <c r="E330" s="3">
        <v>2393</v>
      </c>
      <c r="F330" s="3">
        <v>4</v>
      </c>
      <c r="G330" s="3" t="s">
        <v>36</v>
      </c>
      <c r="H330" s="3" t="s">
        <v>242</v>
      </c>
      <c r="I330" s="3">
        <v>8</v>
      </c>
      <c r="J330" s="3" t="s">
        <v>12</v>
      </c>
      <c r="K330" s="18">
        <v>150</v>
      </c>
      <c r="L330" s="16">
        <v>343</v>
      </c>
      <c r="M330" s="6" t="str" cm="1">
        <f t="array" ref="M330">_xlfn.IFS(L330&lt;100,"Economy",L330&lt;200,"Standard",L330&lt;350,"Powerful",L330&lt;500,"High Performance",L330&lt;800,"Sports Performance",L330&gt;=800,"Super Performance")</f>
        <v>Powerful</v>
      </c>
    </row>
    <row r="331" spans="1:13" x14ac:dyDescent="0.25">
      <c r="A331" s="5" t="s">
        <v>55</v>
      </c>
      <c r="B331" s="3" t="s">
        <v>424</v>
      </c>
      <c r="C331" s="3" t="s">
        <v>429</v>
      </c>
      <c r="D331" s="4">
        <v>2113000</v>
      </c>
      <c r="E331" s="3">
        <v>2393</v>
      </c>
      <c r="F331" s="3">
        <v>4</v>
      </c>
      <c r="G331" s="3" t="s">
        <v>36</v>
      </c>
      <c r="H331" s="3" t="s">
        <v>242</v>
      </c>
      <c r="I331" s="3">
        <v>7</v>
      </c>
      <c r="J331" s="3" t="s">
        <v>12</v>
      </c>
      <c r="K331" s="18">
        <v>150</v>
      </c>
      <c r="L331" s="16">
        <v>343</v>
      </c>
      <c r="M331" s="6" t="str" cm="1">
        <f t="array" ref="M331">_xlfn.IFS(L331&lt;100,"Economy",L331&lt;200,"Standard",L331&lt;350,"Powerful",L331&lt;500,"High Performance",L331&lt;800,"Sports Performance",L331&gt;=800,"Super Performance")</f>
        <v>Powerful</v>
      </c>
    </row>
    <row r="332" spans="1:13" x14ac:dyDescent="0.25">
      <c r="A332" s="5" t="s">
        <v>55</v>
      </c>
      <c r="B332" s="3" t="s">
        <v>424</v>
      </c>
      <c r="C332" s="3" t="s">
        <v>433</v>
      </c>
      <c r="D332" s="4">
        <v>1807000</v>
      </c>
      <c r="E332" s="3">
        <v>2393</v>
      </c>
      <c r="F332" s="3">
        <v>4</v>
      </c>
      <c r="G332" s="3" t="s">
        <v>10</v>
      </c>
      <c r="H332" s="3" t="s">
        <v>242</v>
      </c>
      <c r="I332" s="3">
        <v>7</v>
      </c>
      <c r="J332" s="3" t="s">
        <v>12</v>
      </c>
      <c r="K332" s="18">
        <v>150</v>
      </c>
      <c r="L332" s="16">
        <v>343</v>
      </c>
      <c r="M332" s="6" t="str" cm="1">
        <f t="array" ref="M332">_xlfn.IFS(L332&lt;100,"Economy",L332&lt;200,"Standard",L332&lt;350,"Powerful",L332&lt;500,"High Performance",L332&lt;800,"Sports Performance",L332&gt;=800,"Super Performance")</f>
        <v>Powerful</v>
      </c>
    </row>
    <row r="333" spans="1:13" x14ac:dyDescent="0.25">
      <c r="A333" s="5" t="s">
        <v>55</v>
      </c>
      <c r="B333" s="3" t="s">
        <v>424</v>
      </c>
      <c r="C333" s="3" t="s">
        <v>436</v>
      </c>
      <c r="D333" s="4">
        <v>2097000</v>
      </c>
      <c r="E333" s="3">
        <v>2393</v>
      </c>
      <c r="F333" s="3">
        <v>4</v>
      </c>
      <c r="G333" s="3" t="s">
        <v>36</v>
      </c>
      <c r="H333" s="3" t="s">
        <v>242</v>
      </c>
      <c r="I333" s="3">
        <v>7</v>
      </c>
      <c r="J333" s="3" t="s">
        <v>12</v>
      </c>
      <c r="K333" s="18">
        <v>150</v>
      </c>
      <c r="L333" s="16">
        <v>343</v>
      </c>
      <c r="M333" s="6" t="str" cm="1">
        <f t="array" ref="M333">_xlfn.IFS(L333&lt;100,"Economy",L333&lt;200,"Standard",L333&lt;350,"Powerful",L333&lt;500,"High Performance",L333&lt;800,"Sports Performance",L333&gt;=800,"Super Performance")</f>
        <v>Powerful</v>
      </c>
    </row>
    <row r="334" spans="1:13" x14ac:dyDescent="0.25">
      <c r="A334" s="5" t="s">
        <v>55</v>
      </c>
      <c r="B334" s="3" t="s">
        <v>424</v>
      </c>
      <c r="C334" s="3" t="s">
        <v>439</v>
      </c>
      <c r="D334" s="4">
        <v>1592000</v>
      </c>
      <c r="E334" s="3">
        <v>2393</v>
      </c>
      <c r="F334" s="3">
        <v>4</v>
      </c>
      <c r="G334" s="3" t="s">
        <v>36</v>
      </c>
      <c r="H334" s="3" t="s">
        <v>242</v>
      </c>
      <c r="I334" s="3">
        <v>7</v>
      </c>
      <c r="J334" s="3" t="s">
        <v>12</v>
      </c>
      <c r="K334" s="18">
        <v>150</v>
      </c>
      <c r="L334" s="16">
        <v>343</v>
      </c>
      <c r="M334" s="6" t="str" cm="1">
        <f t="array" ref="M334">_xlfn.IFS(L334&lt;100,"Economy",L334&lt;200,"Standard",L334&lt;350,"Powerful",L334&lt;500,"High Performance",L334&lt;800,"Sports Performance",L334&gt;=800,"Super Performance")</f>
        <v>Powerful</v>
      </c>
    </row>
    <row r="335" spans="1:13" x14ac:dyDescent="0.25">
      <c r="A335" s="5" t="s">
        <v>55</v>
      </c>
      <c r="B335" s="3" t="s">
        <v>424</v>
      </c>
      <c r="C335" s="3" t="s">
        <v>440</v>
      </c>
      <c r="D335" s="4">
        <v>1587000</v>
      </c>
      <c r="E335" s="3">
        <v>2393</v>
      </c>
      <c r="F335" s="3">
        <v>4</v>
      </c>
      <c r="G335" s="3" t="s">
        <v>36</v>
      </c>
      <c r="H335" s="3" t="s">
        <v>242</v>
      </c>
      <c r="I335" s="3">
        <v>8</v>
      </c>
      <c r="J335" s="3" t="s">
        <v>12</v>
      </c>
      <c r="K335" s="18">
        <v>150</v>
      </c>
      <c r="L335" s="16">
        <v>343</v>
      </c>
      <c r="M335" s="6" t="str" cm="1">
        <f t="array" ref="M335">_xlfn.IFS(L335&lt;100,"Economy",L335&lt;200,"Standard",L335&lt;350,"Powerful",L335&lt;500,"High Performance",L335&lt;800,"Sports Performance",L335&gt;=800,"Super Performance")</f>
        <v>Powerful</v>
      </c>
    </row>
    <row r="336" spans="1:13" x14ac:dyDescent="0.25">
      <c r="A336" s="5" t="s">
        <v>146</v>
      </c>
      <c r="B336" s="3" t="s">
        <v>318</v>
      </c>
      <c r="C336" s="3" t="s">
        <v>319</v>
      </c>
      <c r="D336" s="4">
        <v>6952964</v>
      </c>
      <c r="E336" s="3">
        <v>1998</v>
      </c>
      <c r="F336" s="3">
        <v>4</v>
      </c>
      <c r="G336" s="3" t="s">
        <v>10</v>
      </c>
      <c r="H336" s="3" t="s">
        <v>206</v>
      </c>
      <c r="I336" s="3">
        <v>4</v>
      </c>
      <c r="J336" s="3" t="s">
        <v>30</v>
      </c>
      <c r="K336" s="18">
        <v>240</v>
      </c>
      <c r="L336" s="16">
        <v>340</v>
      </c>
      <c r="M336" s="6" t="str" cm="1">
        <f t="array" ref="M336">_xlfn.IFS(L336&lt;100,"Economy",L336&lt;200,"Standard",L336&lt;350,"Powerful",L336&lt;500,"High Performance",L336&lt;800,"Sports Performance",L336&gt;=800,"Super Performance")</f>
        <v>Powerful</v>
      </c>
    </row>
    <row r="337" spans="1:13" x14ac:dyDescent="0.25">
      <c r="A337" s="5" t="s">
        <v>68</v>
      </c>
      <c r="B337" s="3" t="s">
        <v>477</v>
      </c>
      <c r="C337" s="3" t="s">
        <v>478</v>
      </c>
      <c r="D337" s="4">
        <v>3677200</v>
      </c>
      <c r="E337" s="3">
        <v>1968</v>
      </c>
      <c r="F337" s="3">
        <v>4</v>
      </c>
      <c r="G337" s="3" t="s">
        <v>36</v>
      </c>
      <c r="H337" s="3" t="s">
        <v>66</v>
      </c>
      <c r="I337" s="3">
        <v>5</v>
      </c>
      <c r="J337" s="3" t="s">
        <v>12</v>
      </c>
      <c r="K337" s="18">
        <v>148</v>
      </c>
      <c r="L337" s="16">
        <v>340</v>
      </c>
      <c r="M337" s="6" t="str" cm="1">
        <f t="array" ref="M337">_xlfn.IFS(L337&lt;100,"Economy",L337&lt;200,"Standard",L337&lt;350,"Powerful",L337&lt;500,"High Performance",L337&lt;800,"Sports Performance",L337&gt;=800,"Super Performance")</f>
        <v>Powerful</v>
      </c>
    </row>
    <row r="338" spans="1:13" x14ac:dyDescent="0.25">
      <c r="A338" s="5" t="s">
        <v>160</v>
      </c>
      <c r="B338" s="3" t="s">
        <v>549</v>
      </c>
      <c r="C338" s="3" t="s">
        <v>550</v>
      </c>
      <c r="D338" s="4">
        <v>3153500</v>
      </c>
      <c r="E338" s="3">
        <v>1968</v>
      </c>
      <c r="F338" s="3">
        <v>4</v>
      </c>
      <c r="G338" s="3" t="s">
        <v>36</v>
      </c>
      <c r="H338" s="3" t="s">
        <v>66</v>
      </c>
      <c r="I338" s="3">
        <v>5</v>
      </c>
      <c r="J338" s="3" t="s">
        <v>30</v>
      </c>
      <c r="K338" s="18">
        <v>141</v>
      </c>
      <c r="L338" s="16">
        <v>340</v>
      </c>
      <c r="M338" s="6" t="str" cm="1">
        <f t="array" ref="M338">_xlfn.IFS(L338&lt;100,"Economy",L338&lt;200,"Standard",L338&lt;350,"Powerful",L338&lt;500,"High Performance",L338&lt;800,"Sports Performance",L338&gt;=800,"Super Performance")</f>
        <v>Powerful</v>
      </c>
    </row>
    <row r="339" spans="1:13" x14ac:dyDescent="0.25">
      <c r="A339" s="5" t="s">
        <v>572</v>
      </c>
      <c r="B339" s="3" t="s">
        <v>573</v>
      </c>
      <c r="C339" s="3" t="s">
        <v>574</v>
      </c>
      <c r="D339" s="4">
        <v>3399000</v>
      </c>
      <c r="E339" s="3">
        <v>1968</v>
      </c>
      <c r="F339" s="3">
        <v>4</v>
      </c>
      <c r="G339" s="3" t="s">
        <v>36</v>
      </c>
      <c r="H339" s="3" t="s">
        <v>66</v>
      </c>
      <c r="I339" s="3">
        <v>7</v>
      </c>
      <c r="J339" s="3" t="s">
        <v>30</v>
      </c>
      <c r="K339" s="18">
        <v>148</v>
      </c>
      <c r="L339" s="16">
        <v>340</v>
      </c>
      <c r="M339" s="6" t="str" cm="1">
        <f t="array" ref="M339">_xlfn.IFS(L339&lt;100,"Economy",L339&lt;200,"Standard",L339&lt;350,"Powerful",L339&lt;500,"High Performance",L339&lt;800,"Sports Performance",L339&gt;=800,"Super Performance")</f>
        <v>Powerful</v>
      </c>
    </row>
    <row r="340" spans="1:13" x14ac:dyDescent="0.25">
      <c r="A340" s="5" t="s">
        <v>160</v>
      </c>
      <c r="B340" s="3" t="s">
        <v>549</v>
      </c>
      <c r="C340" s="3" t="s">
        <v>706</v>
      </c>
      <c r="D340" s="4">
        <v>2814500</v>
      </c>
      <c r="E340" s="3">
        <v>1968</v>
      </c>
      <c r="F340" s="3">
        <v>4</v>
      </c>
      <c r="G340" s="3" t="s">
        <v>36</v>
      </c>
      <c r="H340" s="3" t="s">
        <v>66</v>
      </c>
      <c r="I340" s="3">
        <v>5</v>
      </c>
      <c r="J340" s="3" t="s">
        <v>30</v>
      </c>
      <c r="K340" s="18">
        <v>141</v>
      </c>
      <c r="L340" s="16">
        <v>340</v>
      </c>
      <c r="M340" s="6" t="str" cm="1">
        <f t="array" ref="M340">_xlfn.IFS(L340&lt;100,"Economy",L340&lt;200,"Standard",L340&lt;350,"Powerful",L340&lt;500,"High Performance",L340&lt;800,"Sports Performance",L340&gt;=800,"Super Performance")</f>
        <v>Powerful</v>
      </c>
    </row>
    <row r="341" spans="1:13" x14ac:dyDescent="0.25">
      <c r="A341" s="5" t="s">
        <v>935</v>
      </c>
      <c r="B341" s="3" t="s">
        <v>936</v>
      </c>
      <c r="C341" s="3" t="s">
        <v>937</v>
      </c>
      <c r="D341" s="4">
        <v>3407407</v>
      </c>
      <c r="E341" s="3">
        <v>2000</v>
      </c>
      <c r="F341" s="3">
        <v>4</v>
      </c>
      <c r="G341" s="3" t="s">
        <v>10</v>
      </c>
      <c r="H341" s="3" t="s">
        <v>212</v>
      </c>
      <c r="I341" s="3">
        <v>2</v>
      </c>
      <c r="J341" s="3" t="s">
        <v>12</v>
      </c>
      <c r="K341" s="18">
        <v>250</v>
      </c>
      <c r="L341" s="16">
        <v>340</v>
      </c>
      <c r="M341" s="6" t="str" cm="1">
        <f t="array" ref="M341">_xlfn.IFS(L341&lt;100,"Economy",L341&lt;200,"Standard",L341&lt;350,"Powerful",L341&lt;500,"High Performance",L341&lt;800,"Sports Performance",L341&gt;=800,"Super Performance")</f>
        <v>Powerful</v>
      </c>
    </row>
    <row r="342" spans="1:13" x14ac:dyDescent="0.25">
      <c r="A342" s="5" t="s">
        <v>572</v>
      </c>
      <c r="B342" s="3" t="s">
        <v>1202</v>
      </c>
      <c r="C342" s="3" t="s">
        <v>1205</v>
      </c>
      <c r="D342" s="4">
        <v>3678599</v>
      </c>
      <c r="E342" s="3">
        <v>1968</v>
      </c>
      <c r="F342" s="3">
        <v>4</v>
      </c>
      <c r="G342" s="3" t="s">
        <v>36</v>
      </c>
      <c r="H342" s="3" t="s">
        <v>66</v>
      </c>
      <c r="I342" s="3">
        <v>5</v>
      </c>
      <c r="J342" s="3" t="s">
        <v>30</v>
      </c>
      <c r="K342" s="18">
        <v>148</v>
      </c>
      <c r="L342" s="16">
        <v>340</v>
      </c>
      <c r="M342" s="6" t="str" cm="1">
        <f t="array" ref="M342">_xlfn.IFS(L342&lt;100,"Economy",L342&lt;200,"Standard",L342&lt;350,"Powerful",L342&lt;500,"High Performance",L342&lt;800,"Sports Performance",L342&gt;=800,"Super Performance")</f>
        <v>Powerful</v>
      </c>
    </row>
    <row r="343" spans="1:13" x14ac:dyDescent="0.25">
      <c r="A343" s="5" t="s">
        <v>280</v>
      </c>
      <c r="B343" s="3" t="s">
        <v>1208</v>
      </c>
      <c r="C343" s="3" t="s">
        <v>1209</v>
      </c>
      <c r="D343" s="4">
        <v>5436329</v>
      </c>
      <c r="E343" s="3">
        <v>1999</v>
      </c>
      <c r="F343" s="3">
        <v>4</v>
      </c>
      <c r="G343" s="3" t="s">
        <v>10</v>
      </c>
      <c r="H343" s="3" t="s">
        <v>27</v>
      </c>
      <c r="I343" s="3">
        <v>5</v>
      </c>
      <c r="J343" s="3" t="s">
        <v>30</v>
      </c>
      <c r="K343" s="18">
        <v>247</v>
      </c>
      <c r="L343" s="16">
        <v>340</v>
      </c>
      <c r="M343" s="6" t="str" cm="1">
        <f t="array" ref="M343">_xlfn.IFS(L343&lt;100,"Economy",L343&lt;200,"Standard",L343&lt;350,"Powerful",L343&lt;500,"High Performance",L343&lt;800,"Sports Performance",L343&gt;=800,"Super Performance")</f>
        <v>Powerful</v>
      </c>
    </row>
    <row r="344" spans="1:13" x14ac:dyDescent="0.25">
      <c r="A344" s="5" t="s">
        <v>280</v>
      </c>
      <c r="B344" s="3" t="s">
        <v>1208</v>
      </c>
      <c r="C344" s="3" t="s">
        <v>1213</v>
      </c>
      <c r="D344" s="4">
        <v>6073446</v>
      </c>
      <c r="E344" s="3">
        <v>1999</v>
      </c>
      <c r="F344" s="3">
        <v>4</v>
      </c>
      <c r="G344" s="3" t="s">
        <v>10</v>
      </c>
      <c r="H344" s="3" t="s">
        <v>27</v>
      </c>
      <c r="I344" s="3">
        <v>5</v>
      </c>
      <c r="J344" s="3" t="s">
        <v>30</v>
      </c>
      <c r="K344" s="18">
        <v>247</v>
      </c>
      <c r="L344" s="16">
        <v>340</v>
      </c>
      <c r="M344" s="6" t="str" cm="1">
        <f t="array" ref="M344">_xlfn.IFS(L344&lt;100,"Economy",L344&lt;200,"Standard",L344&lt;350,"Powerful",L344&lt;500,"High Performance",L344&lt;800,"Sports Performance",L344&gt;=800,"Super Performance")</f>
        <v>Powerful</v>
      </c>
    </row>
    <row r="345" spans="1:13" x14ac:dyDescent="0.25">
      <c r="A345" s="5" t="s">
        <v>170</v>
      </c>
      <c r="B345" s="3" t="s">
        <v>307</v>
      </c>
      <c r="C345" s="3" t="s">
        <v>308</v>
      </c>
      <c r="D345" s="4">
        <v>9900000</v>
      </c>
      <c r="E345" s="3">
        <v>3456</v>
      </c>
      <c r="F345" s="3">
        <v>6</v>
      </c>
      <c r="G345" s="3" t="s">
        <v>10</v>
      </c>
      <c r="H345" s="3" t="s">
        <v>66</v>
      </c>
      <c r="I345" s="3">
        <v>5</v>
      </c>
      <c r="J345" s="3" t="s">
        <v>30</v>
      </c>
      <c r="K345" s="18">
        <v>262</v>
      </c>
      <c r="L345" s="16">
        <v>335</v>
      </c>
      <c r="M345" s="6" t="str" cm="1">
        <f t="array" ref="M345">_xlfn.IFS(L345&lt;100,"Economy",L345&lt;200,"Standard",L345&lt;350,"Powerful",L345&lt;500,"High Performance",L345&lt;800,"Sports Performance",L345&gt;=800,"Super Performance")</f>
        <v>Powerful</v>
      </c>
    </row>
    <row r="346" spans="1:13" x14ac:dyDescent="0.25">
      <c r="A346" s="5" t="s">
        <v>202</v>
      </c>
      <c r="B346" s="3" t="s">
        <v>413</v>
      </c>
      <c r="C346" s="3" t="s">
        <v>414</v>
      </c>
      <c r="D346" s="4">
        <v>1539488</v>
      </c>
      <c r="E346" s="3">
        <v>2179</v>
      </c>
      <c r="F346" s="3">
        <v>4</v>
      </c>
      <c r="G346" s="3" t="s">
        <v>36</v>
      </c>
      <c r="H346" s="3" t="s">
        <v>66</v>
      </c>
      <c r="I346" s="3">
        <v>7</v>
      </c>
      <c r="J346" s="3" t="s">
        <v>30</v>
      </c>
      <c r="K346" s="18">
        <v>155</v>
      </c>
      <c r="L346" s="16">
        <v>330</v>
      </c>
      <c r="M346" s="6" t="str" cm="1">
        <f t="array" ref="M346">_xlfn.IFS(L346&lt;100,"Economy",L346&lt;200,"Standard",L346&lt;350,"Powerful",L346&lt;500,"High Performance",L346&lt;800,"Sports Performance",L346&gt;=800,"Super Performance")</f>
        <v>Powerful</v>
      </c>
    </row>
    <row r="347" spans="1:13" x14ac:dyDescent="0.25">
      <c r="A347" s="5" t="s">
        <v>202</v>
      </c>
      <c r="B347" s="3" t="s">
        <v>413</v>
      </c>
      <c r="C347" s="3" t="s">
        <v>415</v>
      </c>
      <c r="D347" s="4">
        <v>1588943</v>
      </c>
      <c r="E347" s="3">
        <v>2179</v>
      </c>
      <c r="F347" s="3">
        <v>4</v>
      </c>
      <c r="G347" s="3" t="s">
        <v>36</v>
      </c>
      <c r="H347" s="3" t="s">
        <v>66</v>
      </c>
      <c r="I347" s="3">
        <v>7</v>
      </c>
      <c r="J347" s="3" t="s">
        <v>12</v>
      </c>
      <c r="K347" s="18">
        <v>155</v>
      </c>
      <c r="L347" s="16">
        <v>330</v>
      </c>
      <c r="M347" s="6" t="str" cm="1">
        <f t="array" ref="M347">_xlfn.IFS(L347&lt;100,"Economy",L347&lt;200,"Standard",L347&lt;350,"Powerful",L347&lt;500,"High Performance",L347&lt;800,"Sports Performance",L347&gt;=800,"Super Performance")</f>
        <v>Powerful</v>
      </c>
    </row>
    <row r="348" spans="1:13" x14ac:dyDescent="0.25">
      <c r="A348" s="5" t="s">
        <v>202</v>
      </c>
      <c r="B348" s="3" t="s">
        <v>413</v>
      </c>
      <c r="C348" s="3" t="s">
        <v>416</v>
      </c>
      <c r="D348" s="4">
        <v>1710118</v>
      </c>
      <c r="E348" s="3">
        <v>2179</v>
      </c>
      <c r="F348" s="3">
        <v>4</v>
      </c>
      <c r="G348" s="3" t="s">
        <v>36</v>
      </c>
      <c r="H348" s="3" t="s">
        <v>66</v>
      </c>
      <c r="I348" s="3">
        <v>7</v>
      </c>
      <c r="J348" s="3" t="s">
        <v>30</v>
      </c>
      <c r="K348" s="18">
        <v>155</v>
      </c>
      <c r="L348" s="16">
        <v>330</v>
      </c>
      <c r="M348" s="6" t="str" cm="1">
        <f t="array" ref="M348">_xlfn.IFS(L348&lt;100,"Economy",L348&lt;200,"Standard",L348&lt;350,"Powerful",L348&lt;500,"High Performance",L348&lt;800,"Sports Performance",L348&gt;=800,"Super Performance")</f>
        <v>Powerful</v>
      </c>
    </row>
    <row r="349" spans="1:13" x14ac:dyDescent="0.25">
      <c r="A349" s="5" t="s">
        <v>202</v>
      </c>
      <c r="B349" s="3" t="s">
        <v>413</v>
      </c>
      <c r="C349" s="3" t="s">
        <v>417</v>
      </c>
      <c r="D349" s="4">
        <v>1716319</v>
      </c>
      <c r="E349" s="3">
        <v>2179</v>
      </c>
      <c r="F349" s="3">
        <v>4</v>
      </c>
      <c r="G349" s="3" t="s">
        <v>36</v>
      </c>
      <c r="H349" s="3" t="s">
        <v>66</v>
      </c>
      <c r="I349" s="3">
        <v>7</v>
      </c>
      <c r="J349" s="3" t="s">
        <v>12</v>
      </c>
      <c r="K349" s="18">
        <v>155</v>
      </c>
      <c r="L349" s="16">
        <v>330</v>
      </c>
      <c r="M349" s="6" t="str" cm="1">
        <f t="array" ref="M349">_xlfn.IFS(L349&lt;100,"Economy",L349&lt;200,"Standard",L349&lt;350,"Powerful",L349&lt;500,"High Performance",L349&lt;800,"Sports Performance",L349&gt;=800,"Super Performance")</f>
        <v>Powerful</v>
      </c>
    </row>
    <row r="350" spans="1:13" x14ac:dyDescent="0.25">
      <c r="A350" s="5" t="s">
        <v>202</v>
      </c>
      <c r="B350" s="3" t="s">
        <v>413</v>
      </c>
      <c r="C350" s="3" t="s">
        <v>418</v>
      </c>
      <c r="D350" s="4">
        <v>1837586</v>
      </c>
      <c r="E350" s="3">
        <v>2179</v>
      </c>
      <c r="F350" s="3">
        <v>4</v>
      </c>
      <c r="G350" s="3" t="s">
        <v>36</v>
      </c>
      <c r="H350" s="3" t="s">
        <v>66</v>
      </c>
      <c r="I350" s="3">
        <v>7</v>
      </c>
      <c r="J350" s="3" t="s">
        <v>30</v>
      </c>
      <c r="K350" s="18">
        <v>155</v>
      </c>
      <c r="L350" s="16">
        <v>330</v>
      </c>
      <c r="M350" s="6" t="str" cm="1">
        <f t="array" ref="M350">_xlfn.IFS(L350&lt;100,"Economy",L350&lt;200,"Standard",L350&lt;350,"Powerful",L350&lt;500,"High Performance",L350&lt;800,"Sports Performance",L350&gt;=800,"Super Performance")</f>
        <v>Powerful</v>
      </c>
    </row>
    <row r="351" spans="1:13" x14ac:dyDescent="0.25">
      <c r="A351" s="5" t="s">
        <v>202</v>
      </c>
      <c r="B351" s="3" t="s">
        <v>413</v>
      </c>
      <c r="C351" s="3" t="s">
        <v>419</v>
      </c>
      <c r="D351" s="4">
        <v>1741319</v>
      </c>
      <c r="E351" s="3">
        <v>2179</v>
      </c>
      <c r="F351" s="3">
        <v>4</v>
      </c>
      <c r="G351" s="3" t="s">
        <v>36</v>
      </c>
      <c r="H351" s="3" t="s">
        <v>66</v>
      </c>
      <c r="I351" s="3">
        <v>7</v>
      </c>
      <c r="J351" s="3" t="s">
        <v>12</v>
      </c>
      <c r="K351" s="18">
        <v>155</v>
      </c>
      <c r="L351" s="16">
        <v>330</v>
      </c>
      <c r="M351" s="6" t="str" cm="1">
        <f t="array" ref="M351">_xlfn.IFS(L351&lt;100,"Economy",L351&lt;200,"Standard",L351&lt;350,"Powerful",L351&lt;500,"High Performance",L351&lt;800,"Sports Performance",L351&gt;=800,"Super Performance")</f>
        <v>Powerful</v>
      </c>
    </row>
    <row r="352" spans="1:13" x14ac:dyDescent="0.25">
      <c r="A352" s="5" t="s">
        <v>202</v>
      </c>
      <c r="B352" s="3" t="s">
        <v>413</v>
      </c>
      <c r="C352" s="3" t="s">
        <v>420</v>
      </c>
      <c r="D352" s="4">
        <v>1862586</v>
      </c>
      <c r="E352" s="3">
        <v>2179</v>
      </c>
      <c r="F352" s="3">
        <v>4</v>
      </c>
      <c r="G352" s="3" t="s">
        <v>36</v>
      </c>
      <c r="H352" s="3" t="s">
        <v>66</v>
      </c>
      <c r="I352" s="3">
        <v>7</v>
      </c>
      <c r="J352" s="3" t="s">
        <v>30</v>
      </c>
      <c r="K352" s="18">
        <v>155</v>
      </c>
      <c r="L352" s="16">
        <v>330</v>
      </c>
      <c r="M352" s="6" t="str" cm="1">
        <f t="array" ref="M352">_xlfn.IFS(L352&lt;100,"Economy",L352&lt;200,"Standard",L352&lt;350,"Powerful",L352&lt;500,"High Performance",L352&lt;800,"Sports Performance",L352&gt;=800,"Super Performance")</f>
        <v>Powerful</v>
      </c>
    </row>
    <row r="353" spans="1:13" x14ac:dyDescent="0.25">
      <c r="A353" s="5" t="s">
        <v>202</v>
      </c>
      <c r="B353" s="3" t="s">
        <v>413</v>
      </c>
      <c r="C353" s="3" t="s">
        <v>421</v>
      </c>
      <c r="D353" s="4">
        <v>1852488</v>
      </c>
      <c r="E353" s="3">
        <v>2179</v>
      </c>
      <c r="F353" s="3">
        <v>4</v>
      </c>
      <c r="G353" s="3" t="s">
        <v>36</v>
      </c>
      <c r="H353" s="3" t="s">
        <v>66</v>
      </c>
      <c r="I353" s="3">
        <v>7</v>
      </c>
      <c r="J353" s="3" t="s">
        <v>12</v>
      </c>
      <c r="K353" s="18">
        <v>155</v>
      </c>
      <c r="L353" s="16">
        <v>330</v>
      </c>
      <c r="M353" s="6" t="str" cm="1">
        <f t="array" ref="M353">_xlfn.IFS(L353&lt;100,"Economy",L353&lt;200,"Standard",L353&lt;350,"Powerful",L353&lt;500,"High Performance",L353&lt;800,"Sports Performance",L353&gt;=800,"Super Performance")</f>
        <v>Powerful</v>
      </c>
    </row>
    <row r="354" spans="1:13" x14ac:dyDescent="0.25">
      <c r="A354" s="5" t="s">
        <v>202</v>
      </c>
      <c r="B354" s="3" t="s">
        <v>413</v>
      </c>
      <c r="C354" s="3" t="s">
        <v>422</v>
      </c>
      <c r="D354" s="4">
        <v>1973664</v>
      </c>
      <c r="E354" s="3">
        <v>2179</v>
      </c>
      <c r="F354" s="3">
        <v>4</v>
      </c>
      <c r="G354" s="3" t="s">
        <v>36</v>
      </c>
      <c r="H354" s="3" t="s">
        <v>66</v>
      </c>
      <c r="I354" s="3">
        <v>7</v>
      </c>
      <c r="J354" s="3" t="s">
        <v>30</v>
      </c>
      <c r="K354" s="18">
        <v>155</v>
      </c>
      <c r="L354" s="16">
        <v>330</v>
      </c>
      <c r="M354" s="6" t="str" cm="1">
        <f t="array" ref="M354">_xlfn.IFS(L354&lt;100,"Economy",L354&lt;200,"Standard",L354&lt;350,"Powerful",L354&lt;500,"High Performance",L354&lt;800,"Sports Performance",L354&gt;=800,"Super Performance")</f>
        <v>Powerful</v>
      </c>
    </row>
    <row r="355" spans="1:13" x14ac:dyDescent="0.25">
      <c r="A355" s="5" t="s">
        <v>202</v>
      </c>
      <c r="B355" s="3" t="s">
        <v>413</v>
      </c>
      <c r="C355" s="3" t="s">
        <v>1077</v>
      </c>
      <c r="D355" s="4">
        <v>1418313</v>
      </c>
      <c r="E355" s="3">
        <v>2179</v>
      </c>
      <c r="F355" s="3">
        <v>4</v>
      </c>
      <c r="G355" s="3" t="s">
        <v>36</v>
      </c>
      <c r="H355" s="3" t="s">
        <v>66</v>
      </c>
      <c r="I355" s="3">
        <v>7</v>
      </c>
      <c r="J355" s="3" t="s">
        <v>12</v>
      </c>
      <c r="K355" s="18">
        <v>155</v>
      </c>
      <c r="L355" s="16">
        <v>330</v>
      </c>
      <c r="M355" s="6" t="str" cm="1">
        <f t="array" ref="M355">_xlfn.IFS(L355&lt;100,"Economy",L355&lt;200,"Standard",L355&lt;350,"Powerful",L355&lt;500,"High Performance",L355&lt;800,"Sports Performance",L355&gt;=800,"Super Performance")</f>
        <v>Powerful</v>
      </c>
    </row>
    <row r="356" spans="1:13" x14ac:dyDescent="0.25">
      <c r="A356" s="5" t="s">
        <v>105</v>
      </c>
      <c r="B356" s="3" t="s">
        <v>106</v>
      </c>
      <c r="C356" s="3" t="s">
        <v>107</v>
      </c>
      <c r="D356" s="4">
        <v>1299000</v>
      </c>
      <c r="E356" s="3">
        <v>2149</v>
      </c>
      <c r="F356" s="3">
        <v>4</v>
      </c>
      <c r="G356" s="3" t="s">
        <v>36</v>
      </c>
      <c r="H356" s="3" t="s">
        <v>66</v>
      </c>
      <c r="I356" s="3">
        <v>5</v>
      </c>
      <c r="J356" s="3" t="s">
        <v>12</v>
      </c>
      <c r="K356" s="18">
        <v>140</v>
      </c>
      <c r="L356" s="16">
        <v>321</v>
      </c>
      <c r="M356" s="6" t="str" cm="1">
        <f t="array" ref="M356">_xlfn.IFS(L356&lt;100,"Economy",L356&lt;200,"Standard",L356&lt;350,"Powerful",L356&lt;500,"High Performance",L356&lt;800,"Sports Performance",L356&gt;=800,"Super Performance")</f>
        <v>Powerful</v>
      </c>
    </row>
    <row r="357" spans="1:13" x14ac:dyDescent="0.25">
      <c r="A357" s="5" t="s">
        <v>105</v>
      </c>
      <c r="B357" s="3" t="s">
        <v>106</v>
      </c>
      <c r="C357" s="3" t="s">
        <v>108</v>
      </c>
      <c r="D357" s="4">
        <v>1330000</v>
      </c>
      <c r="E357" s="3">
        <v>2149</v>
      </c>
      <c r="F357" s="3">
        <v>4</v>
      </c>
      <c r="G357" s="3" t="s">
        <v>36</v>
      </c>
      <c r="H357" s="3" t="s">
        <v>66</v>
      </c>
      <c r="I357" s="3">
        <v>5</v>
      </c>
      <c r="J357" s="3" t="s">
        <v>12</v>
      </c>
      <c r="K357" s="18">
        <v>140</v>
      </c>
      <c r="L357" s="16">
        <v>321</v>
      </c>
      <c r="M357" s="6" t="str" cm="1">
        <f t="array" ref="M357">_xlfn.IFS(L357&lt;100,"Economy",L357&lt;200,"Standard",L357&lt;350,"Powerful",L357&lt;500,"High Performance",L357&lt;800,"Sports Performance",L357&gt;=800,"Super Performance")</f>
        <v>Powerful</v>
      </c>
    </row>
    <row r="358" spans="1:13" x14ac:dyDescent="0.25">
      <c r="A358" s="5" t="s">
        <v>90</v>
      </c>
      <c r="B358" s="3" t="s">
        <v>199</v>
      </c>
      <c r="C358" s="3" t="s">
        <v>200</v>
      </c>
      <c r="D358" s="4">
        <v>5275000</v>
      </c>
      <c r="E358" s="3">
        <v>1991</v>
      </c>
      <c r="F358" s="3">
        <v>4</v>
      </c>
      <c r="G358" s="3" t="s">
        <v>10</v>
      </c>
      <c r="H358" s="3" t="s">
        <v>66</v>
      </c>
      <c r="I358" s="3">
        <v>5</v>
      </c>
      <c r="J358" s="3" t="s">
        <v>30</v>
      </c>
      <c r="K358" s="18">
        <v>197</v>
      </c>
      <c r="L358" s="16">
        <v>320</v>
      </c>
      <c r="M358" s="6" t="str" cm="1">
        <f t="array" ref="M358">_xlfn.IFS(L358&lt;100,"Economy",L358&lt;200,"Standard",L358&lt;350,"Powerful",L358&lt;500,"High Performance",L358&lt;800,"Sports Performance",L358&gt;=800,"Super Performance")</f>
        <v>Powerful</v>
      </c>
    </row>
    <row r="359" spans="1:13" x14ac:dyDescent="0.25">
      <c r="A359" s="5" t="s">
        <v>143</v>
      </c>
      <c r="B359" s="3" t="s">
        <v>207</v>
      </c>
      <c r="C359" s="3" t="s">
        <v>208</v>
      </c>
      <c r="D359" s="4">
        <v>4350000</v>
      </c>
      <c r="E359" s="3">
        <v>1998</v>
      </c>
      <c r="F359" s="3">
        <v>4</v>
      </c>
      <c r="G359" s="3" t="s">
        <v>10</v>
      </c>
      <c r="H359" s="3" t="s">
        <v>1388</v>
      </c>
      <c r="I359" s="3">
        <v>2</v>
      </c>
      <c r="J359" s="3" t="s">
        <v>30</v>
      </c>
      <c r="K359" s="18">
        <v>231</v>
      </c>
      <c r="L359" s="16">
        <v>320</v>
      </c>
      <c r="M359" s="6" t="str" cm="1">
        <f t="array" ref="M359">_xlfn.IFS(L359&lt;100,"Economy",L359&lt;200,"Standard",L359&lt;350,"Powerful",L359&lt;500,"High Performance",L359&lt;800,"Sports Performance",L359&gt;=800,"Super Performance")</f>
        <v>Powerful</v>
      </c>
    </row>
    <row r="360" spans="1:13" x14ac:dyDescent="0.25">
      <c r="A360" s="5" t="s">
        <v>78</v>
      </c>
      <c r="B360" s="3" t="s">
        <v>250</v>
      </c>
      <c r="C360" s="3" t="s">
        <v>251</v>
      </c>
      <c r="D360" s="4">
        <v>6490000</v>
      </c>
      <c r="E360" s="3">
        <v>1998</v>
      </c>
      <c r="F360" s="3">
        <v>4</v>
      </c>
      <c r="G360" s="3" t="s">
        <v>10</v>
      </c>
      <c r="H360" s="3" t="s">
        <v>1389</v>
      </c>
      <c r="I360" s="3">
        <v>2</v>
      </c>
      <c r="J360" s="3" t="s">
        <v>30</v>
      </c>
      <c r="K360" s="18">
        <v>197</v>
      </c>
      <c r="L360" s="16">
        <v>320</v>
      </c>
      <c r="M360" s="6" t="str" cm="1">
        <f t="array" ref="M360">_xlfn.IFS(L360&lt;100,"Economy",L360&lt;200,"Standard",L360&lt;350,"Powerful",L360&lt;500,"High Performance",L360&lt;800,"Sports Performance",L360&gt;=800,"Super Performance")</f>
        <v>Powerful</v>
      </c>
    </row>
    <row r="361" spans="1:13" x14ac:dyDescent="0.25">
      <c r="A361" s="5" t="s">
        <v>202</v>
      </c>
      <c r="B361" s="3" t="s">
        <v>413</v>
      </c>
      <c r="C361" s="3" t="s">
        <v>571</v>
      </c>
      <c r="D361" s="4">
        <v>1610180</v>
      </c>
      <c r="E361" s="3">
        <v>2179</v>
      </c>
      <c r="F361" s="3">
        <v>4</v>
      </c>
      <c r="G361" s="3" t="s">
        <v>10</v>
      </c>
      <c r="H361" s="3" t="s">
        <v>66</v>
      </c>
      <c r="I361" s="3">
        <v>7</v>
      </c>
      <c r="J361" s="3" t="s">
        <v>30</v>
      </c>
      <c r="K361" s="18">
        <v>140</v>
      </c>
      <c r="L361" s="16">
        <v>320</v>
      </c>
      <c r="M361" s="6" t="str" cm="1">
        <f t="array" ref="M361">_xlfn.IFS(L361&lt;100,"Economy",L361&lt;200,"Standard",L361&lt;350,"Powerful",L361&lt;500,"High Performance",L361&lt;800,"Sports Performance",L361&gt;=800,"Super Performance")</f>
        <v>Powerful</v>
      </c>
    </row>
    <row r="362" spans="1:13" x14ac:dyDescent="0.25">
      <c r="A362" s="5" t="s">
        <v>572</v>
      </c>
      <c r="B362" s="3" t="s">
        <v>823</v>
      </c>
      <c r="C362" s="3" t="s">
        <v>825</v>
      </c>
      <c r="D362" s="4">
        <v>1799599</v>
      </c>
      <c r="E362" s="3">
        <v>1968</v>
      </c>
      <c r="F362" s="3">
        <v>4</v>
      </c>
      <c r="G362" s="3" t="s">
        <v>36</v>
      </c>
      <c r="H362" s="3" t="s">
        <v>27</v>
      </c>
      <c r="I362" s="3">
        <v>5</v>
      </c>
      <c r="J362" s="3" t="s">
        <v>12</v>
      </c>
      <c r="K362" s="18">
        <v>143</v>
      </c>
      <c r="L362" s="16">
        <v>320</v>
      </c>
      <c r="M362" s="6" t="str" cm="1">
        <f t="array" ref="M362">_xlfn.IFS(L362&lt;100,"Economy",L362&lt;200,"Standard",L362&lt;350,"Powerful",L362&lt;500,"High Performance",L362&lt;800,"Sports Performance",L362&gt;=800,"Super Performance")</f>
        <v>Powerful</v>
      </c>
    </row>
    <row r="363" spans="1:13" x14ac:dyDescent="0.25">
      <c r="A363" s="5" t="s">
        <v>572</v>
      </c>
      <c r="B363" s="3" t="s">
        <v>823</v>
      </c>
      <c r="C363" s="3" t="s">
        <v>826</v>
      </c>
      <c r="D363" s="4">
        <v>2079599</v>
      </c>
      <c r="E363" s="3">
        <v>1968</v>
      </c>
      <c r="F363" s="3">
        <v>4</v>
      </c>
      <c r="G363" s="3" t="s">
        <v>36</v>
      </c>
      <c r="H363" s="3" t="s">
        <v>27</v>
      </c>
      <c r="I363" s="3">
        <v>5</v>
      </c>
      <c r="J363" s="3" t="s">
        <v>12</v>
      </c>
      <c r="K363" s="18">
        <v>143</v>
      </c>
      <c r="L363" s="16">
        <v>320</v>
      </c>
      <c r="M363" s="6" t="str" cm="1">
        <f t="array" ref="M363">_xlfn.IFS(L363&lt;100,"Economy",L363&lt;200,"Standard",L363&lt;350,"Powerful",L363&lt;500,"High Performance",L363&lt;800,"Sports Performance",L363&gt;=800,"Super Performance")</f>
        <v>Powerful</v>
      </c>
    </row>
    <row r="364" spans="1:13" x14ac:dyDescent="0.25">
      <c r="A364" s="5" t="s">
        <v>572</v>
      </c>
      <c r="B364" s="3" t="s">
        <v>823</v>
      </c>
      <c r="C364" s="3" t="s">
        <v>827</v>
      </c>
      <c r="D364" s="4">
        <v>2299599</v>
      </c>
      <c r="E364" s="3">
        <v>1968</v>
      </c>
      <c r="F364" s="3">
        <v>4</v>
      </c>
      <c r="G364" s="3" t="s">
        <v>36</v>
      </c>
      <c r="H364" s="3" t="s">
        <v>27</v>
      </c>
      <c r="I364" s="3">
        <v>5</v>
      </c>
      <c r="J364" s="3" t="s">
        <v>30</v>
      </c>
      <c r="K364" s="18">
        <v>143</v>
      </c>
      <c r="L364" s="16">
        <v>320</v>
      </c>
      <c r="M364" s="6" t="str" cm="1">
        <f t="array" ref="M364">_xlfn.IFS(L364&lt;100,"Economy",L364&lt;200,"Standard",L364&lt;350,"Powerful",L364&lt;500,"High Performance",L364&lt;800,"Sports Performance",L364&gt;=800,"Super Performance")</f>
        <v>Powerful</v>
      </c>
    </row>
    <row r="365" spans="1:13" x14ac:dyDescent="0.25">
      <c r="A365" s="5" t="s">
        <v>572</v>
      </c>
      <c r="B365" s="3" t="s">
        <v>823</v>
      </c>
      <c r="C365" s="3" t="s">
        <v>828</v>
      </c>
      <c r="D365" s="4">
        <v>2359599</v>
      </c>
      <c r="E365" s="3">
        <v>1968</v>
      </c>
      <c r="F365" s="3">
        <v>4</v>
      </c>
      <c r="G365" s="3" t="s">
        <v>36</v>
      </c>
      <c r="H365" s="3" t="s">
        <v>27</v>
      </c>
      <c r="I365" s="3">
        <v>5</v>
      </c>
      <c r="J365" s="3" t="s">
        <v>30</v>
      </c>
      <c r="K365" s="18">
        <v>143</v>
      </c>
      <c r="L365" s="16">
        <v>320</v>
      </c>
      <c r="M365" s="6" t="str" cm="1">
        <f t="array" ref="M365">_xlfn.IFS(L365&lt;100,"Economy",L365&lt;200,"Standard",L365&lt;350,"Powerful",L365&lt;500,"High Performance",L365&lt;800,"Sports Performance",L365&gt;=800,"Super Performance")</f>
        <v>Powerful</v>
      </c>
    </row>
    <row r="366" spans="1:13" x14ac:dyDescent="0.25">
      <c r="A366" s="5" t="s">
        <v>572</v>
      </c>
      <c r="B366" s="3" t="s">
        <v>823</v>
      </c>
      <c r="C366" s="3" t="s">
        <v>829</v>
      </c>
      <c r="D366" s="4">
        <v>1699000</v>
      </c>
      <c r="E366" s="3">
        <v>1968</v>
      </c>
      <c r="F366" s="3">
        <v>4</v>
      </c>
      <c r="G366" s="3" t="s">
        <v>36</v>
      </c>
      <c r="H366" s="3" t="s">
        <v>27</v>
      </c>
      <c r="I366" s="3">
        <v>5</v>
      </c>
      <c r="J366" s="3" t="s">
        <v>12</v>
      </c>
      <c r="K366" s="18">
        <v>141</v>
      </c>
      <c r="L366" s="16">
        <v>320</v>
      </c>
      <c r="M366" s="6" t="str" cm="1">
        <f t="array" ref="M366">_xlfn.IFS(L366&lt;100,"Economy",L366&lt;200,"Standard",L366&lt;350,"Powerful",L366&lt;500,"High Performance",L366&lt;800,"Sports Performance",L366&gt;=800,"Super Performance")</f>
        <v>Powerful</v>
      </c>
    </row>
    <row r="367" spans="1:13" x14ac:dyDescent="0.25">
      <c r="A367" s="5" t="s">
        <v>572</v>
      </c>
      <c r="B367" s="3" t="s">
        <v>823</v>
      </c>
      <c r="C367" s="3" t="s">
        <v>831</v>
      </c>
      <c r="D367" s="4">
        <v>2199599</v>
      </c>
      <c r="E367" s="3">
        <v>1968</v>
      </c>
      <c r="F367" s="3">
        <v>4</v>
      </c>
      <c r="G367" s="3" t="s">
        <v>36</v>
      </c>
      <c r="H367" s="3" t="s">
        <v>27</v>
      </c>
      <c r="I367" s="3">
        <v>5</v>
      </c>
      <c r="J367" s="3" t="s">
        <v>30</v>
      </c>
      <c r="K367" s="18">
        <v>143</v>
      </c>
      <c r="L367" s="16">
        <v>320</v>
      </c>
      <c r="M367" s="6" t="str" cm="1">
        <f t="array" ref="M367">_xlfn.IFS(L367&lt;100,"Economy",L367&lt;200,"Standard",L367&lt;350,"Powerful",L367&lt;500,"High Performance",L367&lt;800,"Sports Performance",L367&gt;=800,"Super Performance")</f>
        <v>Powerful</v>
      </c>
    </row>
    <row r="368" spans="1:13" x14ac:dyDescent="0.25">
      <c r="A368" s="5" t="s">
        <v>22</v>
      </c>
      <c r="B368" s="3" t="s">
        <v>1021</v>
      </c>
      <c r="C368" s="3" t="s">
        <v>1022</v>
      </c>
      <c r="D368" s="4">
        <v>1929417</v>
      </c>
      <c r="E368" s="3">
        <v>2179</v>
      </c>
      <c r="F368" s="3">
        <v>0</v>
      </c>
      <c r="G368" s="3" t="s">
        <v>36</v>
      </c>
      <c r="H368" s="3" t="s">
        <v>66</v>
      </c>
      <c r="I368" s="3">
        <v>6</v>
      </c>
      <c r="J368" s="3" t="s">
        <v>12</v>
      </c>
      <c r="K368" s="18">
        <v>156</v>
      </c>
      <c r="L368" s="16">
        <v>320</v>
      </c>
      <c r="M368" s="6" t="str" cm="1">
        <f t="array" ref="M368">_xlfn.IFS(L368&lt;100,"Economy",L368&lt;200,"Standard",L368&lt;350,"Powerful",L368&lt;500,"High Performance",L368&lt;800,"Sports Performance",L368&gt;=800,"Super Performance")</f>
        <v>Powerful</v>
      </c>
    </row>
    <row r="369" spans="1:13" x14ac:dyDescent="0.25">
      <c r="A369" s="5" t="s">
        <v>202</v>
      </c>
      <c r="B369" s="3" t="s">
        <v>1069</v>
      </c>
      <c r="C369" s="3" t="s">
        <v>1073</v>
      </c>
      <c r="D369" s="4">
        <v>1360668</v>
      </c>
      <c r="E369" s="3">
        <v>2179</v>
      </c>
      <c r="F369" s="3">
        <v>4</v>
      </c>
      <c r="G369" s="3" t="s">
        <v>36</v>
      </c>
      <c r="H369" s="3" t="s">
        <v>66</v>
      </c>
      <c r="I369" s="3">
        <v>9</v>
      </c>
      <c r="J369" s="3" t="s">
        <v>12</v>
      </c>
      <c r="K369" s="18">
        <v>140</v>
      </c>
      <c r="L369" s="16">
        <v>320</v>
      </c>
      <c r="M369" s="6" t="str" cm="1">
        <f t="array" ref="M369">_xlfn.IFS(L369&lt;100,"Economy",L369&lt;200,"Standard",L369&lt;350,"Powerful",L369&lt;500,"High Performance",L369&lt;800,"Sports Performance",L369&gt;=800,"Super Performance")</f>
        <v>Powerful</v>
      </c>
    </row>
    <row r="370" spans="1:13" x14ac:dyDescent="0.25">
      <c r="A370" s="5" t="s">
        <v>202</v>
      </c>
      <c r="B370" s="3" t="s">
        <v>1069</v>
      </c>
      <c r="C370" s="3" t="s">
        <v>1074</v>
      </c>
      <c r="D370" s="4">
        <v>1540081</v>
      </c>
      <c r="E370" s="3">
        <v>2179</v>
      </c>
      <c r="F370" s="3">
        <v>4</v>
      </c>
      <c r="G370" s="3" t="s">
        <v>36</v>
      </c>
      <c r="H370" s="3" t="s">
        <v>66</v>
      </c>
      <c r="I370" s="3">
        <v>9</v>
      </c>
      <c r="J370" s="3" t="s">
        <v>12</v>
      </c>
      <c r="K370" s="18">
        <v>140</v>
      </c>
      <c r="L370" s="16">
        <v>320</v>
      </c>
      <c r="M370" s="6" t="str" cm="1">
        <f t="array" ref="M370">_xlfn.IFS(L370&lt;100,"Economy",L370&lt;200,"Standard",L370&lt;350,"Powerful",L370&lt;500,"High Performance",L370&lt;800,"Sports Performance",L370&gt;=800,"Super Performance")</f>
        <v>Powerful</v>
      </c>
    </row>
    <row r="371" spans="1:13" x14ac:dyDescent="0.25">
      <c r="A371" s="5" t="s">
        <v>202</v>
      </c>
      <c r="B371" s="3" t="s">
        <v>1069</v>
      </c>
      <c r="C371" s="3" t="s">
        <v>1075</v>
      </c>
      <c r="D371" s="4">
        <v>1663054</v>
      </c>
      <c r="E371" s="3">
        <v>2179</v>
      </c>
      <c r="F371" s="3">
        <v>4</v>
      </c>
      <c r="G371" s="3" t="s">
        <v>36</v>
      </c>
      <c r="H371" s="3" t="s">
        <v>66</v>
      </c>
      <c r="I371" s="3">
        <v>9</v>
      </c>
      <c r="J371" s="3" t="s">
        <v>12</v>
      </c>
      <c r="K371" s="18">
        <v>140</v>
      </c>
      <c r="L371" s="16">
        <v>320</v>
      </c>
      <c r="M371" s="6" t="str" cm="1">
        <f t="array" ref="M371">_xlfn.IFS(L371&lt;100,"Economy",L371&lt;200,"Standard",L371&lt;350,"Powerful",L371&lt;500,"High Performance",L371&lt;800,"Sports Performance",L371&gt;=800,"Super Performance")</f>
        <v>Powerful</v>
      </c>
    </row>
    <row r="372" spans="1:13" x14ac:dyDescent="0.25">
      <c r="A372" s="5" t="s">
        <v>202</v>
      </c>
      <c r="B372" s="3" t="s">
        <v>1069</v>
      </c>
      <c r="C372" s="3" t="s">
        <v>1076</v>
      </c>
      <c r="D372" s="4">
        <v>1423710</v>
      </c>
      <c r="E372" s="3">
        <v>2179</v>
      </c>
      <c r="F372" s="3">
        <v>4</v>
      </c>
      <c r="G372" s="3" t="s">
        <v>36</v>
      </c>
      <c r="H372" s="3" t="s">
        <v>66</v>
      </c>
      <c r="I372" s="3">
        <v>9</v>
      </c>
      <c r="J372" s="3" t="s">
        <v>12</v>
      </c>
      <c r="K372" s="18">
        <v>140</v>
      </c>
      <c r="L372" s="16">
        <v>320</v>
      </c>
      <c r="M372" s="6" t="str" cm="1">
        <f t="array" ref="M372">_xlfn.IFS(L372&lt;100,"Economy",L372&lt;200,"Standard",L372&lt;350,"Powerful",L372&lt;500,"High Performance",L372&lt;800,"Sports Performance",L372&gt;=800,"Super Performance")</f>
        <v>Powerful</v>
      </c>
    </row>
    <row r="373" spans="1:13" x14ac:dyDescent="0.25">
      <c r="A373" s="5" t="s">
        <v>22</v>
      </c>
      <c r="B373" s="3" t="s">
        <v>1021</v>
      </c>
      <c r="C373" s="3" t="s">
        <v>1081</v>
      </c>
      <c r="D373" s="4">
        <v>1371864</v>
      </c>
      <c r="E373" s="3">
        <v>2179</v>
      </c>
      <c r="F373" s="3">
        <v>4</v>
      </c>
      <c r="G373" s="3" t="s">
        <v>36</v>
      </c>
      <c r="H373" s="3" t="s">
        <v>66</v>
      </c>
      <c r="I373" s="3">
        <v>7</v>
      </c>
      <c r="J373" s="3" t="s">
        <v>12</v>
      </c>
      <c r="K373" s="18">
        <v>150</v>
      </c>
      <c r="L373" s="16">
        <v>320</v>
      </c>
      <c r="M373" s="6" t="str" cm="1">
        <f t="array" ref="M373">_xlfn.IFS(L373&lt;100,"Economy",L373&lt;200,"Standard",L373&lt;350,"Powerful",L373&lt;500,"High Performance",L373&lt;800,"Sports Performance",L373&gt;=800,"Super Performance")</f>
        <v>Powerful</v>
      </c>
    </row>
    <row r="374" spans="1:13" x14ac:dyDescent="0.25">
      <c r="A374" s="5" t="s">
        <v>22</v>
      </c>
      <c r="B374" s="3" t="s">
        <v>446</v>
      </c>
      <c r="C374" s="3" t="s">
        <v>1100</v>
      </c>
      <c r="D374" s="4">
        <v>1109005</v>
      </c>
      <c r="E374" s="3">
        <v>2179</v>
      </c>
      <c r="F374" s="3">
        <v>4</v>
      </c>
      <c r="G374" s="3" t="s">
        <v>36</v>
      </c>
      <c r="H374" s="3" t="s">
        <v>66</v>
      </c>
      <c r="I374" s="3">
        <v>7</v>
      </c>
      <c r="J374" s="3" t="s">
        <v>12</v>
      </c>
      <c r="K374" s="18">
        <v>150</v>
      </c>
      <c r="L374" s="16">
        <v>320</v>
      </c>
      <c r="M374" s="6" t="str" cm="1">
        <f t="array" ref="M374">_xlfn.IFS(L374&lt;100,"Economy",L374&lt;200,"Standard",L374&lt;350,"Powerful",L374&lt;500,"High Performance",L374&lt;800,"Sports Performance",L374&gt;=800,"Super Performance")</f>
        <v>Powerful</v>
      </c>
    </row>
    <row r="375" spans="1:13" x14ac:dyDescent="0.25">
      <c r="A375" s="5" t="s">
        <v>22</v>
      </c>
      <c r="B375" s="3" t="s">
        <v>446</v>
      </c>
      <c r="C375" s="3" t="s">
        <v>1101</v>
      </c>
      <c r="D375" s="4">
        <v>1335158</v>
      </c>
      <c r="E375" s="3">
        <v>2179</v>
      </c>
      <c r="F375" s="3">
        <v>4</v>
      </c>
      <c r="G375" s="3" t="s">
        <v>36</v>
      </c>
      <c r="H375" s="3" t="s">
        <v>66</v>
      </c>
      <c r="I375" s="3">
        <v>7</v>
      </c>
      <c r="J375" s="3" t="s">
        <v>12</v>
      </c>
      <c r="K375" s="18">
        <v>150</v>
      </c>
      <c r="L375" s="16">
        <v>320</v>
      </c>
      <c r="M375" s="6" t="str" cm="1">
        <f t="array" ref="M375">_xlfn.IFS(L375&lt;100,"Economy",L375&lt;200,"Standard",L375&lt;350,"Powerful",L375&lt;500,"High Performance",L375&lt;800,"Sports Performance",L375&gt;=800,"Super Performance")</f>
        <v>Powerful</v>
      </c>
    </row>
    <row r="376" spans="1:13" x14ac:dyDescent="0.25">
      <c r="A376" s="5" t="s">
        <v>68</v>
      </c>
      <c r="B376" s="3" t="s">
        <v>474</v>
      </c>
      <c r="C376" s="3" t="s">
        <v>497</v>
      </c>
      <c r="D376" s="4">
        <v>3221200</v>
      </c>
      <c r="E376" s="3">
        <v>1968</v>
      </c>
      <c r="F376" s="3">
        <v>4</v>
      </c>
      <c r="G376" s="3" t="s">
        <v>36</v>
      </c>
      <c r="H376" s="3" t="s">
        <v>27</v>
      </c>
      <c r="I376" s="3">
        <v>5</v>
      </c>
      <c r="J376" s="3" t="s">
        <v>30</v>
      </c>
      <c r="K376" s="18">
        <v>143</v>
      </c>
      <c r="L376" s="16">
        <v>320</v>
      </c>
      <c r="M376" s="6" t="str" cm="1">
        <f t="array" ref="M376">_xlfn.IFS(L376&lt;100,"Economy",L376&lt;200,"Standard",L376&lt;350,"Powerful",L376&lt;500,"High Performance",L376&lt;800,"Sports Performance",L376&gt;=800,"Super Performance")</f>
        <v>Powerful</v>
      </c>
    </row>
    <row r="377" spans="1:13" x14ac:dyDescent="0.25">
      <c r="A377" s="5" t="s">
        <v>68</v>
      </c>
      <c r="B377" s="3" t="s">
        <v>474</v>
      </c>
      <c r="C377" s="3" t="s">
        <v>496</v>
      </c>
      <c r="D377" s="4">
        <v>3021200</v>
      </c>
      <c r="E377" s="3">
        <v>1968</v>
      </c>
      <c r="F377" s="3">
        <v>4</v>
      </c>
      <c r="G377" s="3" t="s">
        <v>36</v>
      </c>
      <c r="H377" s="3" t="s">
        <v>27</v>
      </c>
      <c r="I377" s="3">
        <v>5</v>
      </c>
      <c r="J377" s="3" t="s">
        <v>30</v>
      </c>
      <c r="K377" s="18">
        <v>143</v>
      </c>
      <c r="L377" s="16">
        <v>320</v>
      </c>
      <c r="M377" s="6" t="str" cm="1">
        <f t="array" ref="M377">_xlfn.IFS(L377&lt;100,"Economy",L377&lt;200,"Standard",L377&lt;350,"Powerful",L377&lt;500,"High Performance",L377&lt;800,"Sports Performance",L377&gt;=800,"Super Performance")</f>
        <v>Powerful</v>
      </c>
    </row>
    <row r="378" spans="1:13" x14ac:dyDescent="0.25">
      <c r="A378" s="5" t="s">
        <v>572</v>
      </c>
      <c r="B378" s="3" t="s">
        <v>1253</v>
      </c>
      <c r="C378" s="3" t="s">
        <v>1254</v>
      </c>
      <c r="D378" s="4">
        <v>2599599</v>
      </c>
      <c r="E378" s="3">
        <v>1798</v>
      </c>
      <c r="F378" s="3">
        <v>4</v>
      </c>
      <c r="G378" s="3" t="s">
        <v>10</v>
      </c>
      <c r="H378" s="3" t="s">
        <v>27</v>
      </c>
      <c r="I378" s="3">
        <v>5</v>
      </c>
      <c r="J378" s="3" t="s">
        <v>12</v>
      </c>
      <c r="K378" s="18">
        <v>180</v>
      </c>
      <c r="L378" s="16">
        <v>320</v>
      </c>
      <c r="M378" s="6" t="str" cm="1">
        <f t="array" ref="M378">_xlfn.IFS(L378&lt;100,"Economy",L378&lt;200,"Standard",L378&lt;350,"Powerful",L378&lt;500,"High Performance",L378&lt;800,"Sports Performance",L378&gt;=800,"Super Performance")</f>
        <v>Powerful</v>
      </c>
    </row>
    <row r="379" spans="1:13" x14ac:dyDescent="0.25">
      <c r="A379" s="5" t="s">
        <v>1041</v>
      </c>
      <c r="B379" s="3" t="s">
        <v>1312</v>
      </c>
      <c r="C379" s="3" t="s">
        <v>937</v>
      </c>
      <c r="D379" s="4">
        <v>1654783</v>
      </c>
      <c r="E379" s="3">
        <v>2499</v>
      </c>
      <c r="F379" s="3">
        <v>4</v>
      </c>
      <c r="G379" s="3" t="s">
        <v>36</v>
      </c>
      <c r="H379" s="3" t="s">
        <v>1313</v>
      </c>
      <c r="I379" s="3">
        <v>5</v>
      </c>
      <c r="J379" s="3" t="s">
        <v>12</v>
      </c>
      <c r="K379" s="18">
        <v>134</v>
      </c>
      <c r="L379" s="16">
        <v>320</v>
      </c>
      <c r="M379" s="6" t="str" cm="1">
        <f t="array" ref="M379">_xlfn.IFS(L379&lt;100,"Economy",L379&lt;200,"Standard",L379&lt;350,"Powerful",L379&lt;500,"High Performance",L379&lt;800,"Sports Performance",L379&gt;=800,"Super Performance")</f>
        <v>Powerful</v>
      </c>
    </row>
    <row r="380" spans="1:13" x14ac:dyDescent="0.25">
      <c r="A380" s="5" t="s">
        <v>1041</v>
      </c>
      <c r="B380" s="3" t="s">
        <v>1312</v>
      </c>
      <c r="C380" s="3" t="s">
        <v>1314</v>
      </c>
      <c r="D380" s="4">
        <v>1806813</v>
      </c>
      <c r="E380" s="3">
        <v>2499</v>
      </c>
      <c r="F380" s="3">
        <v>4</v>
      </c>
      <c r="G380" s="3" t="s">
        <v>36</v>
      </c>
      <c r="H380" s="3" t="s">
        <v>1313</v>
      </c>
      <c r="I380" s="3">
        <v>5</v>
      </c>
      <c r="J380" s="3" t="s">
        <v>12</v>
      </c>
      <c r="K380" s="18">
        <v>134</v>
      </c>
      <c r="L380" s="16">
        <v>320</v>
      </c>
      <c r="M380" s="6" t="str" cm="1">
        <f t="array" ref="M380">_xlfn.IFS(L380&lt;100,"Economy",L380&lt;200,"Standard",L380&lt;350,"Powerful",L380&lt;500,"High Performance",L380&lt;800,"Sports Performance",L380&gt;=800,"Super Performance")</f>
        <v>Powerful</v>
      </c>
    </row>
    <row r="381" spans="1:13" x14ac:dyDescent="0.25">
      <c r="A381" s="5" t="s">
        <v>131</v>
      </c>
      <c r="B381" s="3" t="s">
        <v>132</v>
      </c>
      <c r="C381" s="3" t="s">
        <v>136</v>
      </c>
      <c r="D381" s="4">
        <v>2054900</v>
      </c>
      <c r="E381" s="3">
        <v>1597</v>
      </c>
      <c r="F381" s="3">
        <v>4</v>
      </c>
      <c r="G381" s="3" t="s">
        <v>36</v>
      </c>
      <c r="H381" s="3" t="s">
        <v>27</v>
      </c>
      <c r="I381" s="3">
        <v>5</v>
      </c>
      <c r="J381" s="3" t="s">
        <v>12</v>
      </c>
      <c r="K381" s="18">
        <v>120</v>
      </c>
      <c r="L381" s="16">
        <v>300</v>
      </c>
      <c r="M381" s="6" t="str" cm="1">
        <f t="array" ref="M381">_xlfn.IFS(L381&lt;100,"Economy",L381&lt;200,"Standard",L381&lt;350,"Powerful",L381&lt;500,"High Performance",L381&lt;800,"Sports Performance",L381&gt;=800,"Super Performance")</f>
        <v>Powerful</v>
      </c>
    </row>
    <row r="382" spans="1:13" x14ac:dyDescent="0.25">
      <c r="A382" s="5" t="s">
        <v>131</v>
      </c>
      <c r="B382" s="3" t="s">
        <v>132</v>
      </c>
      <c r="C382" s="3" t="s">
        <v>137</v>
      </c>
      <c r="D382" s="4">
        <v>2234900</v>
      </c>
      <c r="E382" s="3">
        <v>1597</v>
      </c>
      <c r="F382" s="3">
        <v>4</v>
      </c>
      <c r="G382" s="3" t="s">
        <v>36</v>
      </c>
      <c r="H382" s="3" t="s">
        <v>27</v>
      </c>
      <c r="I382" s="3">
        <v>5</v>
      </c>
      <c r="J382" s="3" t="s">
        <v>12</v>
      </c>
      <c r="K382" s="18">
        <v>120</v>
      </c>
      <c r="L382" s="16">
        <v>300</v>
      </c>
      <c r="M382" s="6" t="str" cm="1">
        <f t="array" ref="M382">_xlfn.IFS(L382&lt;100,"Economy",L382&lt;200,"Standard",L382&lt;350,"Powerful",L382&lt;500,"High Performance",L382&lt;800,"Sports Performance",L382&gt;=800,"Super Performance")</f>
        <v>Powerful</v>
      </c>
    </row>
    <row r="383" spans="1:13" x14ac:dyDescent="0.25">
      <c r="A383" s="5" t="s">
        <v>202</v>
      </c>
      <c r="B383" s="3" t="s">
        <v>230</v>
      </c>
      <c r="C383" s="3" t="s">
        <v>231</v>
      </c>
      <c r="D383" s="4">
        <v>999900</v>
      </c>
      <c r="E383" s="3">
        <v>1497</v>
      </c>
      <c r="F383" s="3">
        <v>4</v>
      </c>
      <c r="G383" s="3" t="s">
        <v>36</v>
      </c>
      <c r="H383" s="3" t="s">
        <v>226</v>
      </c>
      <c r="I383" s="3">
        <v>7</v>
      </c>
      <c r="J383" s="3" t="s">
        <v>12</v>
      </c>
      <c r="K383" s="18">
        <v>121</v>
      </c>
      <c r="L383" s="16">
        <v>300</v>
      </c>
      <c r="M383" s="6" t="str" cm="1">
        <f t="array" ref="M383">_xlfn.IFS(L383&lt;100,"Economy",L383&lt;200,"Standard",L383&lt;350,"Powerful",L383&lt;500,"High Performance",L383&lt;800,"Sports Performance",L383&gt;=800,"Super Performance")</f>
        <v>Powerful</v>
      </c>
    </row>
    <row r="384" spans="1:13" x14ac:dyDescent="0.25">
      <c r="A384" s="5" t="s">
        <v>202</v>
      </c>
      <c r="B384" s="3" t="s">
        <v>230</v>
      </c>
      <c r="C384" s="3" t="s">
        <v>232</v>
      </c>
      <c r="D384" s="4">
        <v>1156471</v>
      </c>
      <c r="E384" s="3">
        <v>1497</v>
      </c>
      <c r="F384" s="3">
        <v>4</v>
      </c>
      <c r="G384" s="3" t="s">
        <v>36</v>
      </c>
      <c r="H384" s="3" t="s">
        <v>226</v>
      </c>
      <c r="I384" s="3">
        <v>7</v>
      </c>
      <c r="J384" s="3" t="s">
        <v>12</v>
      </c>
      <c r="K384" s="18">
        <v>121</v>
      </c>
      <c r="L384" s="16">
        <v>300</v>
      </c>
      <c r="M384" s="6" t="str" cm="1">
        <f t="array" ref="M384">_xlfn.IFS(L384&lt;100,"Economy",L384&lt;200,"Standard",L384&lt;350,"Powerful",L384&lt;500,"High Performance",L384&lt;800,"Sports Performance",L384&gt;=800,"Super Performance")</f>
        <v>Powerful</v>
      </c>
    </row>
    <row r="385" spans="1:13" x14ac:dyDescent="0.25">
      <c r="A385" s="5" t="s">
        <v>202</v>
      </c>
      <c r="B385" s="3" t="s">
        <v>230</v>
      </c>
      <c r="C385" s="3" t="s">
        <v>233</v>
      </c>
      <c r="D385" s="4">
        <v>1308592</v>
      </c>
      <c r="E385" s="3">
        <v>1497</v>
      </c>
      <c r="F385" s="3">
        <v>4</v>
      </c>
      <c r="G385" s="3" t="s">
        <v>36</v>
      </c>
      <c r="H385" s="3" t="s">
        <v>226</v>
      </c>
      <c r="I385" s="3">
        <v>7</v>
      </c>
      <c r="J385" s="3" t="s">
        <v>12</v>
      </c>
      <c r="K385" s="18">
        <v>121</v>
      </c>
      <c r="L385" s="16">
        <v>300</v>
      </c>
      <c r="M385" s="6" t="str" cm="1">
        <f t="array" ref="M385">_xlfn.IFS(L385&lt;100,"Economy",L385&lt;200,"Standard",L385&lt;350,"Powerful",L385&lt;500,"High Performance",L385&lt;800,"Sports Performance",L385&gt;=800,"Super Performance")</f>
        <v>Powerful</v>
      </c>
    </row>
    <row r="386" spans="1:13" x14ac:dyDescent="0.25">
      <c r="A386" s="5" t="s">
        <v>202</v>
      </c>
      <c r="B386" s="3" t="s">
        <v>230</v>
      </c>
      <c r="C386" s="3" t="s">
        <v>234</v>
      </c>
      <c r="D386" s="4">
        <v>1468440</v>
      </c>
      <c r="E386" s="3">
        <v>1497</v>
      </c>
      <c r="F386" s="3">
        <v>4</v>
      </c>
      <c r="G386" s="3" t="s">
        <v>36</v>
      </c>
      <c r="H386" s="3" t="s">
        <v>226</v>
      </c>
      <c r="I386" s="3">
        <v>7</v>
      </c>
      <c r="J386" s="3" t="s">
        <v>12</v>
      </c>
      <c r="K386" s="18">
        <v>121</v>
      </c>
      <c r="L386" s="16">
        <v>300</v>
      </c>
      <c r="M386" s="6" t="str" cm="1">
        <f t="array" ref="M386">_xlfn.IFS(L386&lt;100,"Economy",L386&lt;200,"Standard",L386&lt;350,"Powerful",L386&lt;500,"High Performance",L386&lt;800,"Sports Performance",L386&gt;=800,"Super Performance")</f>
        <v>Powerful</v>
      </c>
    </row>
    <row r="387" spans="1:13" x14ac:dyDescent="0.25">
      <c r="A387" s="5" t="s">
        <v>202</v>
      </c>
      <c r="B387" s="3" t="s">
        <v>230</v>
      </c>
      <c r="C387" s="3" t="s">
        <v>235</v>
      </c>
      <c r="D387" s="4">
        <v>999900</v>
      </c>
      <c r="E387" s="3">
        <v>1497</v>
      </c>
      <c r="F387" s="3">
        <v>4</v>
      </c>
      <c r="G387" s="3" t="s">
        <v>36</v>
      </c>
      <c r="H387" s="3" t="s">
        <v>226</v>
      </c>
      <c r="I387" s="3">
        <v>8</v>
      </c>
      <c r="J387" s="3" t="s">
        <v>12</v>
      </c>
      <c r="K387" s="18">
        <v>121</v>
      </c>
      <c r="L387" s="16">
        <v>300</v>
      </c>
      <c r="M387" s="6" t="str" cm="1">
        <f t="array" ref="M387">_xlfn.IFS(L387&lt;100,"Economy",L387&lt;200,"Standard",L387&lt;350,"Powerful",L387&lt;500,"High Performance",L387&lt;800,"Sports Performance",L387&gt;=800,"Super Performance")</f>
        <v>Powerful</v>
      </c>
    </row>
    <row r="388" spans="1:13" x14ac:dyDescent="0.25">
      <c r="A388" s="5" t="s">
        <v>202</v>
      </c>
      <c r="B388" s="3" t="s">
        <v>230</v>
      </c>
      <c r="C388" s="3" t="s">
        <v>236</v>
      </c>
      <c r="D388" s="4">
        <v>1164569</v>
      </c>
      <c r="E388" s="3">
        <v>1497</v>
      </c>
      <c r="F388" s="3">
        <v>4</v>
      </c>
      <c r="G388" s="3" t="s">
        <v>36</v>
      </c>
      <c r="H388" s="3" t="s">
        <v>226</v>
      </c>
      <c r="I388" s="3">
        <v>8</v>
      </c>
      <c r="J388" s="3" t="s">
        <v>12</v>
      </c>
      <c r="K388" s="18">
        <v>121</v>
      </c>
      <c r="L388" s="16">
        <v>300</v>
      </c>
      <c r="M388" s="6" t="str" cm="1">
        <f t="array" ref="M388">_xlfn.IFS(L388&lt;100,"Economy",L388&lt;200,"Standard",L388&lt;350,"Powerful",L388&lt;500,"High Performance",L388&lt;800,"Sports Performance",L388&gt;=800,"Super Performance")</f>
        <v>Powerful</v>
      </c>
    </row>
    <row r="389" spans="1:13" x14ac:dyDescent="0.25">
      <c r="A389" s="5" t="s">
        <v>202</v>
      </c>
      <c r="B389" s="3" t="s">
        <v>230</v>
      </c>
      <c r="C389" s="3" t="s">
        <v>237</v>
      </c>
      <c r="D389" s="4">
        <v>1316690</v>
      </c>
      <c r="E389" s="3">
        <v>1497</v>
      </c>
      <c r="F389" s="3">
        <v>4</v>
      </c>
      <c r="G389" s="3" t="s">
        <v>36</v>
      </c>
      <c r="H389" s="3" t="s">
        <v>226</v>
      </c>
      <c r="I389" s="3">
        <v>8</v>
      </c>
      <c r="J389" s="3" t="s">
        <v>12</v>
      </c>
      <c r="K389" s="18">
        <v>121</v>
      </c>
      <c r="L389" s="16">
        <v>300</v>
      </c>
      <c r="M389" s="6" t="str" cm="1">
        <f t="array" ref="M389">_xlfn.IFS(L389&lt;100,"Economy",L389&lt;200,"Standard",L389&lt;350,"Powerful",L389&lt;500,"High Performance",L389&lt;800,"Sports Performance",L389&gt;=800,"Super Performance")</f>
        <v>Powerful</v>
      </c>
    </row>
    <row r="390" spans="1:13" x14ac:dyDescent="0.25">
      <c r="A390" s="5" t="s">
        <v>202</v>
      </c>
      <c r="B390" s="3" t="s">
        <v>230</v>
      </c>
      <c r="C390" s="3" t="s">
        <v>238</v>
      </c>
      <c r="D390" s="4">
        <v>1476538</v>
      </c>
      <c r="E390" s="3">
        <v>1497</v>
      </c>
      <c r="F390" s="3">
        <v>4</v>
      </c>
      <c r="G390" s="3" t="s">
        <v>36</v>
      </c>
      <c r="H390" s="3" t="s">
        <v>226</v>
      </c>
      <c r="I390" s="3">
        <v>8</v>
      </c>
      <c r="J390" s="3" t="s">
        <v>12</v>
      </c>
      <c r="K390" s="18">
        <v>121</v>
      </c>
      <c r="L390" s="16">
        <v>300</v>
      </c>
      <c r="M390" s="6" t="str" cm="1">
        <f t="array" ref="M390">_xlfn.IFS(L390&lt;100,"Economy",L390&lt;200,"Standard",L390&lt;350,"Powerful",L390&lt;500,"High Performance",L390&lt;800,"Sports Performance",L390&gt;=800,"Super Performance")</f>
        <v>Powerful</v>
      </c>
    </row>
    <row r="391" spans="1:13" x14ac:dyDescent="0.25">
      <c r="A391" s="5" t="s">
        <v>131</v>
      </c>
      <c r="B391" s="3" t="s">
        <v>551</v>
      </c>
      <c r="C391" s="3" t="s">
        <v>552</v>
      </c>
      <c r="D391" s="4">
        <v>3067001</v>
      </c>
      <c r="E391" s="3">
        <v>1597</v>
      </c>
      <c r="F391" s="3">
        <v>0</v>
      </c>
      <c r="G391" s="3" t="s">
        <v>36</v>
      </c>
      <c r="H391" s="3" t="s">
        <v>66</v>
      </c>
      <c r="I391" s="3">
        <v>7</v>
      </c>
      <c r="J391" s="3" t="s">
        <v>30</v>
      </c>
      <c r="K391" s="18">
        <v>120</v>
      </c>
      <c r="L391" s="16">
        <v>300</v>
      </c>
      <c r="M391" s="6" t="str" cm="1">
        <f t="array" ref="M391">_xlfn.IFS(L391&lt;100,"Economy",L391&lt;200,"Standard",L391&lt;350,"Powerful",L391&lt;500,"High Performance",L391&lt;800,"Sports Performance",L391&gt;=800,"Super Performance")</f>
        <v>Powerful</v>
      </c>
    </row>
    <row r="392" spans="1:13" x14ac:dyDescent="0.25">
      <c r="A392" s="5" t="s">
        <v>131</v>
      </c>
      <c r="B392" s="3" t="s">
        <v>551</v>
      </c>
      <c r="C392" s="3" t="s">
        <v>553</v>
      </c>
      <c r="D392" s="4">
        <v>3277001</v>
      </c>
      <c r="E392" s="3">
        <v>1597</v>
      </c>
      <c r="F392" s="3">
        <v>0</v>
      </c>
      <c r="G392" s="3" t="s">
        <v>36</v>
      </c>
      <c r="H392" s="3" t="s">
        <v>66</v>
      </c>
      <c r="I392" s="3">
        <v>7</v>
      </c>
      <c r="J392" s="3" t="s">
        <v>30</v>
      </c>
      <c r="K392" s="18">
        <v>120</v>
      </c>
      <c r="L392" s="16">
        <v>300</v>
      </c>
      <c r="M392" s="6" t="str" cm="1">
        <f t="array" ref="M392">_xlfn.IFS(L392&lt;100,"Economy",L392&lt;200,"Standard",L392&lt;350,"Powerful",L392&lt;500,"High Performance",L392&lt;800,"Sports Performance",L392&gt;=800,"Super Performance")</f>
        <v>Powerful</v>
      </c>
    </row>
    <row r="393" spans="1:13" x14ac:dyDescent="0.25">
      <c r="A393" s="5" t="s">
        <v>382</v>
      </c>
      <c r="B393" s="3" t="s">
        <v>621</v>
      </c>
      <c r="C393" s="3" t="s">
        <v>623</v>
      </c>
      <c r="D393" s="4">
        <v>3990000</v>
      </c>
      <c r="E393" s="3">
        <v>1969</v>
      </c>
      <c r="F393" s="3">
        <v>5</v>
      </c>
      <c r="G393" s="3" t="s">
        <v>10</v>
      </c>
      <c r="H393" s="3" t="s">
        <v>66</v>
      </c>
      <c r="I393" s="3">
        <v>5</v>
      </c>
      <c r="J393" s="3" t="s">
        <v>30</v>
      </c>
      <c r="K393" s="18">
        <v>190</v>
      </c>
      <c r="L393" s="16">
        <v>300</v>
      </c>
      <c r="M393" s="6" t="str" cm="1">
        <f t="array" ref="M393">_xlfn.IFS(L393&lt;100,"Economy",L393&lt;200,"Standard",L393&lt;350,"Powerful",L393&lt;500,"High Performance",L393&lt;800,"Sports Performance",L393&gt;=800,"Super Performance")</f>
        <v>Powerful</v>
      </c>
    </row>
    <row r="394" spans="1:13" x14ac:dyDescent="0.25">
      <c r="A394" s="5" t="s">
        <v>202</v>
      </c>
      <c r="B394" s="3" t="s">
        <v>885</v>
      </c>
      <c r="C394" s="3" t="s">
        <v>890</v>
      </c>
      <c r="D394" s="4">
        <v>869131</v>
      </c>
      <c r="E394" s="3">
        <v>1497</v>
      </c>
      <c r="F394" s="3">
        <v>0</v>
      </c>
      <c r="G394" s="3" t="s">
        <v>36</v>
      </c>
      <c r="H394" s="3" t="s">
        <v>66</v>
      </c>
      <c r="I394" s="3">
        <v>5</v>
      </c>
      <c r="J394" s="3" t="s">
        <v>12</v>
      </c>
      <c r="K394" s="18">
        <v>115</v>
      </c>
      <c r="L394" s="16">
        <v>300</v>
      </c>
      <c r="M394" s="6" t="str" cm="1">
        <f t="array" ref="M394">_xlfn.IFS(L394&lt;100,"Economy",L394&lt;200,"Standard",L394&lt;350,"Powerful",L394&lt;500,"High Performance",L394&lt;800,"Sports Performance",L394&gt;=800,"Super Performance")</f>
        <v>Powerful</v>
      </c>
    </row>
    <row r="395" spans="1:13" x14ac:dyDescent="0.25">
      <c r="A395" s="5" t="s">
        <v>202</v>
      </c>
      <c r="B395" s="3" t="s">
        <v>885</v>
      </c>
      <c r="C395" s="3" t="s">
        <v>891</v>
      </c>
      <c r="D395" s="4">
        <v>950131</v>
      </c>
      <c r="E395" s="3">
        <v>1497</v>
      </c>
      <c r="F395" s="3">
        <v>0</v>
      </c>
      <c r="G395" s="3" t="s">
        <v>36</v>
      </c>
      <c r="H395" s="3" t="s">
        <v>66</v>
      </c>
      <c r="I395" s="3">
        <v>5</v>
      </c>
      <c r="J395" s="3" t="s">
        <v>12</v>
      </c>
      <c r="K395" s="18">
        <v>115</v>
      </c>
      <c r="L395" s="16">
        <v>300</v>
      </c>
      <c r="M395" s="6" t="str" cm="1">
        <f t="array" ref="M395">_xlfn.IFS(L395&lt;100,"Economy",L395&lt;200,"Standard",L395&lt;350,"Powerful",L395&lt;500,"High Performance",L395&lt;800,"Sports Performance",L395&gt;=800,"Super Performance")</f>
        <v>Powerful</v>
      </c>
    </row>
    <row r="396" spans="1:13" x14ac:dyDescent="0.25">
      <c r="A396" s="5" t="s">
        <v>202</v>
      </c>
      <c r="B396" s="3" t="s">
        <v>885</v>
      </c>
      <c r="C396" s="3" t="s">
        <v>892</v>
      </c>
      <c r="D396" s="4">
        <v>1095129</v>
      </c>
      <c r="E396" s="3">
        <v>1497</v>
      </c>
      <c r="F396" s="3">
        <v>0</v>
      </c>
      <c r="G396" s="3" t="s">
        <v>36</v>
      </c>
      <c r="H396" s="3" t="s">
        <v>66</v>
      </c>
      <c r="I396" s="3">
        <v>5</v>
      </c>
      <c r="J396" s="3" t="s">
        <v>12</v>
      </c>
      <c r="K396" s="18">
        <v>115</v>
      </c>
      <c r="L396" s="16">
        <v>300</v>
      </c>
      <c r="M396" s="6" t="str" cm="1">
        <f t="array" ref="M396">_xlfn.IFS(L396&lt;100,"Economy",L396&lt;200,"Standard",L396&lt;350,"Powerful",L396&lt;500,"High Performance",L396&lt;800,"Sports Performance",L396&gt;=800,"Super Performance")</f>
        <v>Powerful</v>
      </c>
    </row>
    <row r="397" spans="1:13" x14ac:dyDescent="0.25">
      <c r="A397" s="5" t="s">
        <v>202</v>
      </c>
      <c r="B397" s="3" t="s">
        <v>885</v>
      </c>
      <c r="C397" s="3" t="s">
        <v>893</v>
      </c>
      <c r="D397" s="4">
        <v>1214130</v>
      </c>
      <c r="E397" s="3">
        <v>1497</v>
      </c>
      <c r="F397" s="3">
        <v>0</v>
      </c>
      <c r="G397" s="3" t="s">
        <v>36</v>
      </c>
      <c r="H397" s="3" t="s">
        <v>66</v>
      </c>
      <c r="I397" s="3">
        <v>5</v>
      </c>
      <c r="J397" s="3" t="s">
        <v>12</v>
      </c>
      <c r="K397" s="18">
        <v>115</v>
      </c>
      <c r="L397" s="16">
        <v>300</v>
      </c>
      <c r="M397" s="6" t="str" cm="1">
        <f t="array" ref="M397">_xlfn.IFS(L397&lt;100,"Economy",L397&lt;200,"Standard",L397&lt;350,"Powerful",L397&lt;500,"High Performance",L397&lt;800,"Sports Performance",L397&gt;=800,"Super Performance")</f>
        <v>Powerful</v>
      </c>
    </row>
    <row r="398" spans="1:13" x14ac:dyDescent="0.25">
      <c r="A398" s="5" t="s">
        <v>202</v>
      </c>
      <c r="B398" s="3" t="s">
        <v>885</v>
      </c>
      <c r="C398" s="3" t="s">
        <v>894</v>
      </c>
      <c r="D398" s="4">
        <v>1149800</v>
      </c>
      <c r="E398" s="3">
        <v>1497</v>
      </c>
      <c r="F398" s="3">
        <v>0</v>
      </c>
      <c r="G398" s="3" t="s">
        <v>36</v>
      </c>
      <c r="H398" s="3" t="s">
        <v>66</v>
      </c>
      <c r="I398" s="3">
        <v>5</v>
      </c>
      <c r="J398" s="3" t="s">
        <v>30</v>
      </c>
      <c r="K398" s="18">
        <v>115</v>
      </c>
      <c r="L398" s="16">
        <v>300</v>
      </c>
      <c r="M398" s="6" t="str" cm="1">
        <f t="array" ref="M398">_xlfn.IFS(L398&lt;100,"Economy",L398&lt;200,"Standard",L398&lt;350,"Powerful",L398&lt;500,"High Performance",L398&lt;800,"Sports Performance",L398&gt;=800,"Super Performance")</f>
        <v>Powerful</v>
      </c>
    </row>
    <row r="399" spans="1:13" x14ac:dyDescent="0.25">
      <c r="A399" s="5" t="s">
        <v>202</v>
      </c>
      <c r="B399" s="3" t="s">
        <v>885</v>
      </c>
      <c r="C399" s="3" t="s">
        <v>895</v>
      </c>
      <c r="D399" s="4">
        <v>1269131</v>
      </c>
      <c r="E399" s="3">
        <v>1497</v>
      </c>
      <c r="F399" s="3">
        <v>0</v>
      </c>
      <c r="G399" s="3" t="s">
        <v>36</v>
      </c>
      <c r="H399" s="3" t="s">
        <v>66</v>
      </c>
      <c r="I399" s="3">
        <v>5</v>
      </c>
      <c r="J399" s="3" t="s">
        <v>30</v>
      </c>
      <c r="K399" s="18">
        <v>115</v>
      </c>
      <c r="L399" s="16">
        <v>300</v>
      </c>
      <c r="M399" s="6" t="str" cm="1">
        <f t="array" ref="M399">_xlfn.IFS(L399&lt;100,"Economy",L399&lt;200,"Standard",L399&lt;350,"Powerful",L399&lt;500,"High Performance",L399&lt;800,"Sports Performance",L399&gt;=800,"Super Performance")</f>
        <v>Powerful</v>
      </c>
    </row>
    <row r="400" spans="1:13" x14ac:dyDescent="0.25">
      <c r="A400" s="5" t="s">
        <v>202</v>
      </c>
      <c r="B400" s="3" t="s">
        <v>885</v>
      </c>
      <c r="C400" s="3" t="s">
        <v>896</v>
      </c>
      <c r="D400" s="4">
        <v>999000</v>
      </c>
      <c r="E400" s="3">
        <v>1497</v>
      </c>
      <c r="F400" s="3">
        <v>4</v>
      </c>
      <c r="G400" s="3" t="s">
        <v>36</v>
      </c>
      <c r="H400" s="3" t="s">
        <v>66</v>
      </c>
      <c r="I400" s="3">
        <v>5</v>
      </c>
      <c r="J400" s="3" t="s">
        <v>17</v>
      </c>
      <c r="K400" s="18">
        <v>115</v>
      </c>
      <c r="L400" s="16">
        <v>300</v>
      </c>
      <c r="M400" s="6" t="str" cm="1">
        <f t="array" ref="M400">_xlfn.IFS(L400&lt;100,"Economy",L400&lt;200,"Standard",L400&lt;350,"Powerful",L400&lt;500,"High Performance",L400&lt;800,"Sports Performance",L400&gt;=800,"Super Performance")</f>
        <v>Powerful</v>
      </c>
    </row>
    <row r="401" spans="1:13" x14ac:dyDescent="0.25">
      <c r="A401" s="5" t="s">
        <v>90</v>
      </c>
      <c r="B401" s="3" t="s">
        <v>1195</v>
      </c>
      <c r="C401" s="3" t="s">
        <v>1198</v>
      </c>
      <c r="D401" s="4">
        <v>3303282</v>
      </c>
      <c r="E401" s="3">
        <v>2143</v>
      </c>
      <c r="F401" s="3">
        <v>4</v>
      </c>
      <c r="G401" s="3" t="s">
        <v>36</v>
      </c>
      <c r="H401" s="3" t="s">
        <v>226</v>
      </c>
      <c r="I401" s="3">
        <v>5</v>
      </c>
      <c r="J401" s="3" t="s">
        <v>30</v>
      </c>
      <c r="K401" s="18">
        <v>136</v>
      </c>
      <c r="L401" s="16">
        <v>300</v>
      </c>
      <c r="M401" s="6" t="str" cm="1">
        <f t="array" ref="M401">_xlfn.IFS(L401&lt;100,"Economy",L401&lt;200,"Standard",L401&lt;350,"Powerful",L401&lt;500,"High Performance",L401&lt;800,"Sports Performance",L401&gt;=800,"Super Performance")</f>
        <v>Powerful</v>
      </c>
    </row>
    <row r="402" spans="1:13" x14ac:dyDescent="0.25">
      <c r="A402" s="5" t="s">
        <v>90</v>
      </c>
      <c r="B402" s="3" t="s">
        <v>1195</v>
      </c>
      <c r="C402" s="3" t="s">
        <v>1199</v>
      </c>
      <c r="D402" s="4">
        <v>3089851</v>
      </c>
      <c r="E402" s="3">
        <v>2143</v>
      </c>
      <c r="F402" s="3">
        <v>4</v>
      </c>
      <c r="G402" s="3" t="s">
        <v>36</v>
      </c>
      <c r="H402" s="3" t="s">
        <v>226</v>
      </c>
      <c r="I402" s="3">
        <v>5</v>
      </c>
      <c r="J402" s="3" t="s">
        <v>30</v>
      </c>
      <c r="K402" s="18">
        <v>136</v>
      </c>
      <c r="L402" s="16">
        <v>300</v>
      </c>
      <c r="M402" s="6" t="str" cm="1">
        <f t="array" ref="M402">_xlfn.IFS(L402&lt;100,"Economy",L402&lt;200,"Standard",L402&lt;350,"Powerful",L402&lt;500,"High Performance",L402&lt;800,"Sports Performance",L402&gt;=800,"Super Performance")</f>
        <v>Powerful</v>
      </c>
    </row>
    <row r="403" spans="1:13" x14ac:dyDescent="0.25">
      <c r="A403" s="5" t="s">
        <v>90</v>
      </c>
      <c r="B403" s="3" t="s">
        <v>1200</v>
      </c>
      <c r="C403" s="3" t="s">
        <v>1201</v>
      </c>
      <c r="D403" s="4">
        <v>3599000</v>
      </c>
      <c r="E403" s="3">
        <v>1991</v>
      </c>
      <c r="F403" s="3">
        <v>4</v>
      </c>
      <c r="G403" s="3" t="s">
        <v>10</v>
      </c>
      <c r="H403" s="3" t="s">
        <v>27</v>
      </c>
      <c r="I403" s="3">
        <v>5</v>
      </c>
      <c r="J403" s="3" t="s">
        <v>30</v>
      </c>
      <c r="K403" s="18">
        <v>183</v>
      </c>
      <c r="L403" s="16">
        <v>300</v>
      </c>
      <c r="M403" s="6" t="str" cm="1">
        <f t="array" ref="M403">_xlfn.IFS(L403&lt;100,"Economy",L403&lt;200,"Standard",L403&lt;350,"Powerful",L403&lt;500,"High Performance",L403&lt;800,"Sports Performance",L403&gt;=800,"Super Performance")</f>
        <v>Powerful</v>
      </c>
    </row>
    <row r="404" spans="1:13" x14ac:dyDescent="0.25">
      <c r="A404" s="5" t="s">
        <v>90</v>
      </c>
      <c r="B404" s="3" t="s">
        <v>1200</v>
      </c>
      <c r="C404" s="3" t="s">
        <v>1204</v>
      </c>
      <c r="D404" s="4">
        <v>3699000</v>
      </c>
      <c r="E404" s="3">
        <v>2143</v>
      </c>
      <c r="F404" s="3">
        <v>4</v>
      </c>
      <c r="G404" s="3" t="s">
        <v>36</v>
      </c>
      <c r="H404" s="3" t="s">
        <v>27</v>
      </c>
      <c r="I404" s="3">
        <v>5</v>
      </c>
      <c r="J404" s="3" t="s">
        <v>30</v>
      </c>
      <c r="K404" s="18">
        <v>136</v>
      </c>
      <c r="L404" s="16">
        <v>300</v>
      </c>
      <c r="M404" s="6" t="str" cm="1">
        <f t="array" ref="M404">_xlfn.IFS(L404&lt;100,"Economy",L404&lt;200,"Standard",L404&lt;350,"Powerful",L404&lt;500,"High Performance",L404&lt;800,"Sports Performance",L404&gt;=800,"Super Performance")</f>
        <v>Powerful</v>
      </c>
    </row>
    <row r="405" spans="1:13" x14ac:dyDescent="0.25">
      <c r="A405" s="5" t="s">
        <v>90</v>
      </c>
      <c r="B405" s="3" t="s">
        <v>1200</v>
      </c>
      <c r="C405" s="3" t="s">
        <v>1206</v>
      </c>
      <c r="D405" s="4">
        <v>3172000</v>
      </c>
      <c r="E405" s="3">
        <v>2143</v>
      </c>
      <c r="F405" s="3">
        <v>4</v>
      </c>
      <c r="G405" s="3" t="s">
        <v>36</v>
      </c>
      <c r="H405" s="3" t="s">
        <v>27</v>
      </c>
      <c r="I405" s="3">
        <v>5</v>
      </c>
      <c r="J405" s="3" t="s">
        <v>30</v>
      </c>
      <c r="K405" s="18">
        <v>136</v>
      </c>
      <c r="L405" s="16">
        <v>300</v>
      </c>
      <c r="M405" s="6" t="str" cm="1">
        <f t="array" ref="M405">_xlfn.IFS(L405&lt;100,"Economy",L405&lt;200,"Standard",L405&lt;350,"Powerful",L405&lt;500,"High Performance",L405&lt;800,"Sports Performance",L405&gt;=800,"Super Performance")</f>
        <v>Powerful</v>
      </c>
    </row>
    <row r="406" spans="1:13" x14ac:dyDescent="0.25">
      <c r="A406" s="5" t="s">
        <v>90</v>
      </c>
      <c r="B406" s="3" t="s">
        <v>386</v>
      </c>
      <c r="C406" s="3" t="s">
        <v>1261</v>
      </c>
      <c r="D406" s="4">
        <v>5861062</v>
      </c>
      <c r="E406" s="3">
        <v>1991</v>
      </c>
      <c r="F406" s="3">
        <v>4</v>
      </c>
      <c r="G406" s="3" t="s">
        <v>10</v>
      </c>
      <c r="H406" s="3" t="s">
        <v>27</v>
      </c>
      <c r="I406" s="3">
        <v>5</v>
      </c>
      <c r="J406" s="3" t="s">
        <v>30</v>
      </c>
      <c r="K406" s="18">
        <v>184</v>
      </c>
      <c r="L406" s="16">
        <v>300</v>
      </c>
      <c r="M406" s="6" t="str" cm="1">
        <f t="array" ref="M406">_xlfn.IFS(L406&lt;100,"Economy",L406&lt;200,"Standard",L406&lt;350,"Powerful",L406&lt;500,"High Performance",L406&lt;800,"Sports Performance",L406&gt;=800,"Super Performance")</f>
        <v>Powerful</v>
      </c>
    </row>
    <row r="407" spans="1:13" x14ac:dyDescent="0.25">
      <c r="A407" s="5" t="s">
        <v>90</v>
      </c>
      <c r="B407" s="3" t="s">
        <v>386</v>
      </c>
      <c r="C407" s="3" t="s">
        <v>1264</v>
      </c>
      <c r="D407" s="4">
        <v>5750000</v>
      </c>
      <c r="E407" s="3">
        <v>1991</v>
      </c>
      <c r="F407" s="3">
        <v>4</v>
      </c>
      <c r="G407" s="3" t="s">
        <v>10</v>
      </c>
      <c r="H407" s="3" t="s">
        <v>27</v>
      </c>
      <c r="I407" s="3">
        <v>5</v>
      </c>
      <c r="J407" s="3" t="s">
        <v>30</v>
      </c>
      <c r="K407" s="18">
        <v>184</v>
      </c>
      <c r="L407" s="16">
        <v>300</v>
      </c>
      <c r="M407" s="6" t="str" cm="1">
        <f t="array" ref="M407">_xlfn.IFS(L407&lt;100,"Economy",L407&lt;200,"Standard",L407&lt;350,"Powerful",L407&lt;500,"High Performance",L407&lt;800,"Sports Performance",L407&gt;=800,"Super Performance")</f>
        <v>Powerful</v>
      </c>
    </row>
    <row r="408" spans="1:13" x14ac:dyDescent="0.25">
      <c r="A408" s="5" t="s">
        <v>90</v>
      </c>
      <c r="B408" s="3" t="s">
        <v>386</v>
      </c>
      <c r="C408" s="3" t="s">
        <v>1265</v>
      </c>
      <c r="D408" s="4">
        <v>6150000</v>
      </c>
      <c r="E408" s="3">
        <v>1991</v>
      </c>
      <c r="F408" s="3">
        <v>4</v>
      </c>
      <c r="G408" s="3" t="s">
        <v>10</v>
      </c>
      <c r="H408" s="3" t="s">
        <v>27</v>
      </c>
      <c r="I408" s="3">
        <v>5</v>
      </c>
      <c r="J408" s="3" t="s">
        <v>30</v>
      </c>
      <c r="K408" s="18">
        <v>184</v>
      </c>
      <c r="L408" s="16">
        <v>300</v>
      </c>
      <c r="M408" s="6" t="str" cm="1">
        <f t="array" ref="M408">_xlfn.IFS(L408&lt;100,"Economy",L408&lt;200,"Standard",L408&lt;350,"Powerful",L408&lt;500,"High Performance",L408&lt;800,"Sports Performance",L408&gt;=800,"Super Performance")</f>
        <v>Powerful</v>
      </c>
    </row>
    <row r="409" spans="1:13" x14ac:dyDescent="0.25">
      <c r="A409" s="5" t="s">
        <v>90</v>
      </c>
      <c r="B409" s="3" t="s">
        <v>1292</v>
      </c>
      <c r="C409" s="3" t="s">
        <v>1293</v>
      </c>
      <c r="D409" s="4">
        <v>2886871</v>
      </c>
      <c r="E409" s="3">
        <v>2143</v>
      </c>
      <c r="F409" s="3">
        <v>4</v>
      </c>
      <c r="G409" s="3" t="s">
        <v>36</v>
      </c>
      <c r="H409" s="3" t="s">
        <v>11</v>
      </c>
      <c r="I409" s="3">
        <v>5</v>
      </c>
      <c r="J409" s="3" t="s">
        <v>30</v>
      </c>
      <c r="K409" s="18">
        <v>136</v>
      </c>
      <c r="L409" s="16">
        <v>300</v>
      </c>
      <c r="M409" s="6" t="str" cm="1">
        <f t="array" ref="M409">_xlfn.IFS(L409&lt;100,"Economy",L409&lt;200,"Standard",L409&lt;350,"Powerful",L409&lt;500,"High Performance",L409&lt;800,"Sports Performance",L409&gt;=800,"Super Performance")</f>
        <v>Powerful</v>
      </c>
    </row>
    <row r="410" spans="1:13" x14ac:dyDescent="0.25">
      <c r="A410" s="5" t="s">
        <v>90</v>
      </c>
      <c r="B410" s="3" t="s">
        <v>1316</v>
      </c>
      <c r="C410" s="3" t="s">
        <v>1204</v>
      </c>
      <c r="D410" s="4">
        <v>3564000</v>
      </c>
      <c r="E410" s="3">
        <v>2143</v>
      </c>
      <c r="F410" s="3">
        <v>4</v>
      </c>
      <c r="G410" s="3" t="s">
        <v>36</v>
      </c>
      <c r="H410" s="3" t="s">
        <v>66</v>
      </c>
      <c r="I410" s="3">
        <v>5</v>
      </c>
      <c r="J410" s="3" t="s">
        <v>30</v>
      </c>
      <c r="K410" s="18">
        <v>136</v>
      </c>
      <c r="L410" s="16">
        <v>300</v>
      </c>
      <c r="M410" s="6" t="str" cm="1">
        <f t="array" ref="M410">_xlfn.IFS(L410&lt;100,"Economy",L410&lt;200,"Standard",L410&lt;350,"Powerful",L410&lt;500,"High Performance",L410&lt;800,"Sports Performance",L410&gt;=800,"Super Performance")</f>
        <v>Powerful</v>
      </c>
    </row>
    <row r="411" spans="1:13" x14ac:dyDescent="0.25">
      <c r="A411" s="5" t="s">
        <v>90</v>
      </c>
      <c r="B411" s="3" t="s">
        <v>1316</v>
      </c>
      <c r="C411" s="3" t="s">
        <v>1201</v>
      </c>
      <c r="D411" s="4">
        <v>3438000</v>
      </c>
      <c r="E411" s="3">
        <v>1991</v>
      </c>
      <c r="F411" s="3">
        <v>4</v>
      </c>
      <c r="G411" s="3" t="s">
        <v>10</v>
      </c>
      <c r="H411" s="3" t="s">
        <v>66</v>
      </c>
      <c r="I411" s="3">
        <v>5</v>
      </c>
      <c r="J411" s="3" t="s">
        <v>30</v>
      </c>
      <c r="K411" s="18">
        <v>183</v>
      </c>
      <c r="L411" s="16">
        <v>300</v>
      </c>
      <c r="M411" s="6" t="str" cm="1">
        <f t="array" ref="M411">_xlfn.IFS(L411&lt;100,"Economy",L411&lt;200,"Standard",L411&lt;350,"Powerful",L411&lt;500,"High Performance",L411&lt;800,"Sports Performance",L411&gt;=800,"Super Performance")</f>
        <v>Powerful</v>
      </c>
    </row>
    <row r="412" spans="1:13" x14ac:dyDescent="0.25">
      <c r="A412" s="5" t="s">
        <v>90</v>
      </c>
      <c r="B412" s="3" t="s">
        <v>1316</v>
      </c>
      <c r="C412" s="3" t="s">
        <v>1318</v>
      </c>
      <c r="D412" s="4">
        <v>3233000</v>
      </c>
      <c r="E412" s="3">
        <v>2143</v>
      </c>
      <c r="F412" s="3">
        <v>4</v>
      </c>
      <c r="G412" s="3" t="s">
        <v>36</v>
      </c>
      <c r="H412" s="3" t="s">
        <v>66</v>
      </c>
      <c r="I412" s="3">
        <v>5</v>
      </c>
      <c r="J412" s="3" t="s">
        <v>30</v>
      </c>
      <c r="K412" s="18">
        <v>136</v>
      </c>
      <c r="L412" s="16">
        <v>300</v>
      </c>
      <c r="M412" s="6" t="str" cm="1">
        <f t="array" ref="M412">_xlfn.IFS(L412&lt;100,"Economy",L412&lt;200,"Standard",L412&lt;350,"Powerful",L412&lt;500,"High Performance",L412&lt;800,"Sports Performance",L412&gt;=800,"Super Performance")</f>
        <v>Powerful</v>
      </c>
    </row>
    <row r="413" spans="1:13" x14ac:dyDescent="0.25">
      <c r="A413" s="5" t="s">
        <v>143</v>
      </c>
      <c r="B413" s="3" t="s">
        <v>144</v>
      </c>
      <c r="C413" s="3" t="s">
        <v>145</v>
      </c>
      <c r="D413" s="4">
        <v>3420000</v>
      </c>
      <c r="E413" s="3">
        <v>1998</v>
      </c>
      <c r="F413" s="3">
        <v>4</v>
      </c>
      <c r="G413" s="3" t="s">
        <v>10</v>
      </c>
      <c r="H413" s="3" t="s">
        <v>11</v>
      </c>
      <c r="I413" s="3">
        <v>5</v>
      </c>
      <c r="J413" s="3" t="s">
        <v>30</v>
      </c>
      <c r="K413" s="18">
        <v>192</v>
      </c>
      <c r="L413" s="16">
        <v>280</v>
      </c>
      <c r="M413" s="6" t="str" cm="1">
        <f t="array" ref="M413">_xlfn.IFS(L413&lt;100,"Economy",L413&lt;200,"Standard",L413&lt;350,"Powerful",L413&lt;500,"High Performance",L413&lt;800,"Sports Performance",L413&gt;=800,"Super Performance")</f>
        <v>Powerful</v>
      </c>
    </row>
    <row r="414" spans="1:13" x14ac:dyDescent="0.25">
      <c r="A414" s="5" t="s">
        <v>143</v>
      </c>
      <c r="B414" s="3" t="s">
        <v>166</v>
      </c>
      <c r="C414" s="3" t="s">
        <v>145</v>
      </c>
      <c r="D414" s="4">
        <v>3490000</v>
      </c>
      <c r="E414" s="3">
        <v>1998</v>
      </c>
      <c r="F414" s="3">
        <v>4</v>
      </c>
      <c r="G414" s="3" t="s">
        <v>10</v>
      </c>
      <c r="H414" s="3" t="s">
        <v>11</v>
      </c>
      <c r="I414" s="3">
        <v>5</v>
      </c>
      <c r="J414" s="3" t="s">
        <v>30</v>
      </c>
      <c r="K414" s="18">
        <v>192</v>
      </c>
      <c r="L414" s="16">
        <v>280</v>
      </c>
      <c r="M414" s="6" t="str" cm="1">
        <f t="array" ref="M414">_xlfn.IFS(L414&lt;100,"Economy",L414&lt;200,"Standard",L414&lt;350,"Powerful",L414&lt;500,"High Performance",L414&lt;800,"Sports Performance",L414&gt;=800,"Super Performance")</f>
        <v>Powerful</v>
      </c>
    </row>
    <row r="415" spans="1:13" x14ac:dyDescent="0.25">
      <c r="A415" s="5" t="s">
        <v>143</v>
      </c>
      <c r="B415" s="3" t="s">
        <v>166</v>
      </c>
      <c r="C415" s="3" t="s">
        <v>168</v>
      </c>
      <c r="D415" s="4">
        <v>4140000</v>
      </c>
      <c r="E415" s="3">
        <v>1998</v>
      </c>
      <c r="F415" s="3">
        <v>4</v>
      </c>
      <c r="G415" s="3" t="s">
        <v>10</v>
      </c>
      <c r="H415" s="3" t="s">
        <v>11</v>
      </c>
      <c r="I415" s="3">
        <v>5</v>
      </c>
      <c r="J415" s="3" t="s">
        <v>30</v>
      </c>
      <c r="K415" s="18">
        <v>192</v>
      </c>
      <c r="L415" s="16">
        <v>280</v>
      </c>
      <c r="M415" s="6" t="str" cm="1">
        <f t="array" ref="M415">_xlfn.IFS(L415&lt;100,"Economy",L415&lt;200,"Standard",L415&lt;350,"Powerful",L415&lt;500,"High Performance",L415&lt;800,"Sports Performance",L415&gt;=800,"Super Performance")</f>
        <v>Powerful</v>
      </c>
    </row>
    <row r="416" spans="1:13" x14ac:dyDescent="0.25">
      <c r="A416" s="5" t="s">
        <v>143</v>
      </c>
      <c r="B416" s="3" t="s">
        <v>166</v>
      </c>
      <c r="C416" s="3" t="s">
        <v>169</v>
      </c>
      <c r="D416" s="4">
        <v>4240000</v>
      </c>
      <c r="E416" s="3">
        <v>1998</v>
      </c>
      <c r="F416" s="3">
        <v>4</v>
      </c>
      <c r="G416" s="3" t="s">
        <v>10</v>
      </c>
      <c r="H416" s="3" t="s">
        <v>11</v>
      </c>
      <c r="I416" s="3">
        <v>5</v>
      </c>
      <c r="J416" s="3" t="s">
        <v>30</v>
      </c>
      <c r="K416" s="18">
        <v>192</v>
      </c>
      <c r="L416" s="16">
        <v>280</v>
      </c>
      <c r="M416" s="6" t="str" cm="1">
        <f t="array" ref="M416">_xlfn.IFS(L416&lt;100,"Economy",L416&lt;200,"Standard",L416&lt;350,"Powerful",L416&lt;500,"High Performance",L416&lt;800,"Sports Performance",L416&gt;=800,"Super Performance")</f>
        <v>Powerful</v>
      </c>
    </row>
    <row r="417" spans="1:13" x14ac:dyDescent="0.25">
      <c r="A417" s="5" t="s">
        <v>143</v>
      </c>
      <c r="B417" s="3" t="s">
        <v>206</v>
      </c>
      <c r="C417" s="3" t="s">
        <v>145</v>
      </c>
      <c r="D417" s="4">
        <v>3830000</v>
      </c>
      <c r="E417" s="3">
        <v>1998</v>
      </c>
      <c r="F417" s="3">
        <v>4</v>
      </c>
      <c r="G417" s="3" t="s">
        <v>10</v>
      </c>
      <c r="H417" s="3" t="s">
        <v>206</v>
      </c>
      <c r="I417" s="3">
        <v>4</v>
      </c>
      <c r="J417" s="3" t="s">
        <v>30</v>
      </c>
      <c r="K417" s="18">
        <v>192</v>
      </c>
      <c r="L417" s="16">
        <v>280</v>
      </c>
      <c r="M417" s="6" t="str" cm="1">
        <f t="array" ref="M417">_xlfn.IFS(L417&lt;100,"Economy",L417&lt;200,"Standard",L417&lt;350,"Powerful",L417&lt;500,"High Performance",L417&lt;800,"Sports Performance",L417&gt;=800,"Super Performance")</f>
        <v>Powerful</v>
      </c>
    </row>
    <row r="418" spans="1:13" x14ac:dyDescent="0.25">
      <c r="A418" s="5" t="s">
        <v>202</v>
      </c>
      <c r="B418" s="3" t="s">
        <v>310</v>
      </c>
      <c r="C418" s="3" t="s">
        <v>311</v>
      </c>
      <c r="D418" s="4">
        <v>992748</v>
      </c>
      <c r="E418" s="3">
        <v>2179</v>
      </c>
      <c r="F418" s="3">
        <v>3</v>
      </c>
      <c r="G418" s="3" t="s">
        <v>36</v>
      </c>
      <c r="H418" s="3" t="s">
        <v>66</v>
      </c>
      <c r="I418" s="3">
        <v>9</v>
      </c>
      <c r="J418" s="3" t="s">
        <v>12</v>
      </c>
      <c r="K418" s="18">
        <v>120</v>
      </c>
      <c r="L418" s="16">
        <v>280</v>
      </c>
      <c r="M418" s="6" t="str" cm="1">
        <f t="array" ref="M418">_xlfn.IFS(L418&lt;100,"Economy",L418&lt;200,"Standard",L418&lt;350,"Powerful",L418&lt;500,"High Performance",L418&lt;800,"Sports Performance",L418&gt;=800,"Super Performance")</f>
        <v>Powerful</v>
      </c>
    </row>
    <row r="419" spans="1:13" x14ac:dyDescent="0.25">
      <c r="A419" s="5" t="s">
        <v>202</v>
      </c>
      <c r="B419" s="3" t="s">
        <v>310</v>
      </c>
      <c r="C419" s="3" t="s">
        <v>312</v>
      </c>
      <c r="D419" s="4">
        <v>1029650</v>
      </c>
      <c r="E419" s="3">
        <v>2179</v>
      </c>
      <c r="F419" s="3">
        <v>3</v>
      </c>
      <c r="G419" s="3" t="s">
        <v>36</v>
      </c>
      <c r="H419" s="3" t="s">
        <v>66</v>
      </c>
      <c r="I419" s="3">
        <v>9</v>
      </c>
      <c r="J419" s="3" t="s">
        <v>12</v>
      </c>
      <c r="K419" s="18">
        <v>120</v>
      </c>
      <c r="L419" s="16">
        <v>280</v>
      </c>
      <c r="M419" s="6" t="str" cm="1">
        <f t="array" ref="M419">_xlfn.IFS(L419&lt;100,"Economy",L419&lt;200,"Standard",L419&lt;350,"Powerful",L419&lt;500,"High Performance",L419&lt;800,"Sports Performance",L419&gt;=800,"Super Performance")</f>
        <v>Powerful</v>
      </c>
    </row>
    <row r="420" spans="1:13" x14ac:dyDescent="0.25">
      <c r="A420" s="5" t="s">
        <v>202</v>
      </c>
      <c r="B420" s="3" t="s">
        <v>310</v>
      </c>
      <c r="C420" s="3" t="s">
        <v>313</v>
      </c>
      <c r="D420" s="4">
        <v>1142157</v>
      </c>
      <c r="E420" s="3">
        <v>2179</v>
      </c>
      <c r="F420" s="3">
        <v>3</v>
      </c>
      <c r="G420" s="3" t="s">
        <v>36</v>
      </c>
      <c r="H420" s="3" t="s">
        <v>66</v>
      </c>
      <c r="I420" s="3">
        <v>9</v>
      </c>
      <c r="J420" s="3" t="s">
        <v>12</v>
      </c>
      <c r="K420" s="18">
        <v>120</v>
      </c>
      <c r="L420" s="16">
        <v>280</v>
      </c>
      <c r="M420" s="6" t="str" cm="1">
        <f t="array" ref="M420">_xlfn.IFS(L420&lt;100,"Economy",L420&lt;200,"Standard",L420&lt;350,"Powerful",L420&lt;500,"High Performance",L420&lt;800,"Sports Performance",L420&gt;=800,"Super Performance")</f>
        <v>Powerful</v>
      </c>
    </row>
    <row r="421" spans="1:13" x14ac:dyDescent="0.25">
      <c r="A421" s="5" t="s">
        <v>78</v>
      </c>
      <c r="B421" s="3" t="s">
        <v>493</v>
      </c>
      <c r="C421" s="3" t="s">
        <v>494</v>
      </c>
      <c r="D421" s="4">
        <v>3830000</v>
      </c>
      <c r="E421" s="3">
        <v>1998</v>
      </c>
      <c r="F421" s="3">
        <v>4</v>
      </c>
      <c r="G421" s="3" t="s">
        <v>10</v>
      </c>
      <c r="H421" s="3" t="s">
        <v>1390</v>
      </c>
      <c r="I421" s="3">
        <v>5</v>
      </c>
      <c r="J421" s="3" t="s">
        <v>30</v>
      </c>
      <c r="K421" s="18">
        <v>192</v>
      </c>
      <c r="L421" s="16">
        <v>280</v>
      </c>
      <c r="M421" s="6" t="str" cm="1">
        <f t="array" ref="M421">_xlfn.IFS(L421&lt;100,"Economy",L421&lt;200,"Standard",L421&lt;350,"Powerful",L421&lt;500,"High Performance",L421&lt;800,"Sports Performance",L421&gt;=800,"Super Performance")</f>
        <v>Powerful</v>
      </c>
    </row>
    <row r="422" spans="1:13" x14ac:dyDescent="0.25">
      <c r="A422" s="5" t="s">
        <v>90</v>
      </c>
      <c r="B422" s="3" t="s">
        <v>683</v>
      </c>
      <c r="C422" s="3" t="s">
        <v>790</v>
      </c>
      <c r="D422" s="4">
        <v>4090000</v>
      </c>
      <c r="E422" s="3">
        <v>1497</v>
      </c>
      <c r="F422" s="3">
        <v>4</v>
      </c>
      <c r="G422" s="3" t="s">
        <v>10</v>
      </c>
      <c r="H422" s="3" t="s">
        <v>27</v>
      </c>
      <c r="I422" s="3">
        <v>5</v>
      </c>
      <c r="J422" s="3" t="s">
        <v>30</v>
      </c>
      <c r="K422" s="18">
        <v>181</v>
      </c>
      <c r="L422" s="16">
        <v>280</v>
      </c>
      <c r="M422" s="6" t="str" cm="1">
        <f t="array" ref="M422">_xlfn.IFS(L422&lt;100,"Economy",L422&lt;200,"Standard",L422&lt;350,"Powerful",L422&lt;500,"High Performance",L422&lt;800,"Sports Performance",L422&gt;=800,"Super Performance")</f>
        <v>Powerful</v>
      </c>
    </row>
    <row r="423" spans="1:13" x14ac:dyDescent="0.25">
      <c r="A423" s="5" t="s">
        <v>90</v>
      </c>
      <c r="B423" s="3" t="s">
        <v>683</v>
      </c>
      <c r="C423" s="3" t="s">
        <v>791</v>
      </c>
      <c r="D423" s="4">
        <v>4654000</v>
      </c>
      <c r="E423" s="3">
        <v>1497</v>
      </c>
      <c r="F423" s="3">
        <v>4</v>
      </c>
      <c r="G423" s="3" t="s">
        <v>10</v>
      </c>
      <c r="H423" s="3" t="s">
        <v>27</v>
      </c>
      <c r="I423" s="3">
        <v>5</v>
      </c>
      <c r="J423" s="3" t="s">
        <v>30</v>
      </c>
      <c r="K423" s="18">
        <v>181</v>
      </c>
      <c r="L423" s="16">
        <v>280</v>
      </c>
      <c r="M423" s="6" t="str" cm="1">
        <f t="array" ref="M423">_xlfn.IFS(L423&lt;100,"Economy",L423&lt;200,"Standard",L423&lt;350,"Powerful",L423&lt;500,"High Performance",L423&lt;800,"Sports Performance",L423&gt;=800,"Super Performance")</f>
        <v>Powerful</v>
      </c>
    </row>
    <row r="424" spans="1:13" x14ac:dyDescent="0.25">
      <c r="A424" s="5" t="s">
        <v>202</v>
      </c>
      <c r="B424" s="3" t="s">
        <v>1069</v>
      </c>
      <c r="C424" s="3" t="s">
        <v>1071</v>
      </c>
      <c r="D424" s="4">
        <v>1220030</v>
      </c>
      <c r="E424" s="3">
        <v>2179</v>
      </c>
      <c r="F424" s="3">
        <v>4</v>
      </c>
      <c r="G424" s="3" t="s">
        <v>36</v>
      </c>
      <c r="H424" s="3" t="s">
        <v>66</v>
      </c>
      <c r="I424" s="3">
        <v>9</v>
      </c>
      <c r="J424" s="3" t="s">
        <v>12</v>
      </c>
      <c r="K424" s="18">
        <v>120</v>
      </c>
      <c r="L424" s="16">
        <v>280</v>
      </c>
      <c r="M424" s="6" t="str" cm="1">
        <f t="array" ref="M424">_xlfn.IFS(L424&lt;100,"Economy",L424&lt;200,"Standard",L424&lt;350,"Powerful",L424&lt;500,"High Performance",L424&lt;800,"Sports Performance",L424&gt;=800,"Super Performance")</f>
        <v>Powerful</v>
      </c>
    </row>
    <row r="425" spans="1:13" x14ac:dyDescent="0.25">
      <c r="A425" s="5" t="s">
        <v>202</v>
      </c>
      <c r="B425" s="3" t="s">
        <v>1069</v>
      </c>
      <c r="C425" s="3" t="s">
        <v>1072</v>
      </c>
      <c r="D425" s="4">
        <v>1330006</v>
      </c>
      <c r="E425" s="3">
        <v>2179</v>
      </c>
      <c r="F425" s="3">
        <v>4</v>
      </c>
      <c r="G425" s="3" t="s">
        <v>36</v>
      </c>
      <c r="H425" s="3" t="s">
        <v>66</v>
      </c>
      <c r="I425" s="3">
        <v>9</v>
      </c>
      <c r="J425" s="3" t="s">
        <v>12</v>
      </c>
      <c r="K425" s="18">
        <v>120</v>
      </c>
      <c r="L425" s="16">
        <v>280</v>
      </c>
      <c r="M425" s="6" t="str" cm="1">
        <f t="array" ref="M425">_xlfn.IFS(L425&lt;100,"Economy",L425&lt;200,"Standard",L425&lt;350,"Powerful",L425&lt;500,"High Performance",L425&lt;800,"Sports Performance",L425&gt;=800,"Super Performance")</f>
        <v>Powerful</v>
      </c>
    </row>
    <row r="426" spans="1:13" x14ac:dyDescent="0.25">
      <c r="A426" s="5" t="s">
        <v>202</v>
      </c>
      <c r="B426" s="3" t="s">
        <v>1094</v>
      </c>
      <c r="C426" s="3" t="s">
        <v>1097</v>
      </c>
      <c r="D426" s="4">
        <v>1031951</v>
      </c>
      <c r="E426" s="3">
        <v>2179</v>
      </c>
      <c r="F426" s="3">
        <v>4</v>
      </c>
      <c r="G426" s="3" t="s">
        <v>36</v>
      </c>
      <c r="H426" s="3" t="s">
        <v>66</v>
      </c>
      <c r="I426" s="3">
        <v>7</v>
      </c>
      <c r="J426" s="3" t="s">
        <v>12</v>
      </c>
      <c r="K426" s="18">
        <v>120</v>
      </c>
      <c r="L426" s="16">
        <v>280</v>
      </c>
      <c r="M426" s="6" t="str" cm="1">
        <f t="array" ref="M426">_xlfn.IFS(L426&lt;100,"Economy",L426&lt;200,"Standard",L426&lt;350,"Powerful",L426&lt;500,"High Performance",L426&lt;800,"Sports Performance",L426&gt;=800,"Super Performance")</f>
        <v>Powerful</v>
      </c>
    </row>
    <row r="427" spans="1:13" x14ac:dyDescent="0.25">
      <c r="A427" s="5" t="s">
        <v>202</v>
      </c>
      <c r="B427" s="3" t="s">
        <v>1094</v>
      </c>
      <c r="C427" s="3" t="s">
        <v>1098</v>
      </c>
      <c r="D427" s="4">
        <v>1066139</v>
      </c>
      <c r="E427" s="3">
        <v>2179</v>
      </c>
      <c r="F427" s="3">
        <v>4</v>
      </c>
      <c r="G427" s="3" t="s">
        <v>36</v>
      </c>
      <c r="H427" s="3" t="s">
        <v>66</v>
      </c>
      <c r="I427" s="3">
        <v>7</v>
      </c>
      <c r="J427" s="3" t="s">
        <v>12</v>
      </c>
      <c r="K427" s="18">
        <v>120</v>
      </c>
      <c r="L427" s="16">
        <v>280</v>
      </c>
      <c r="M427" s="6" t="str" cm="1">
        <f t="array" ref="M427">_xlfn.IFS(L427&lt;100,"Economy",L427&lt;200,"Standard",L427&lt;350,"Powerful",L427&lt;500,"High Performance",L427&lt;800,"Sports Performance",L427&gt;=800,"Super Performance")</f>
        <v>Powerful</v>
      </c>
    </row>
    <row r="428" spans="1:13" x14ac:dyDescent="0.25">
      <c r="A428" s="5" t="s">
        <v>202</v>
      </c>
      <c r="B428" s="3" t="s">
        <v>1094</v>
      </c>
      <c r="C428" s="3" t="s">
        <v>1099</v>
      </c>
      <c r="D428" s="4">
        <v>1228335</v>
      </c>
      <c r="E428" s="3">
        <v>2179</v>
      </c>
      <c r="F428" s="3">
        <v>4</v>
      </c>
      <c r="G428" s="3" t="s">
        <v>36</v>
      </c>
      <c r="H428" s="3" t="s">
        <v>66</v>
      </c>
      <c r="I428" s="3">
        <v>8</v>
      </c>
      <c r="J428" s="3" t="s">
        <v>12</v>
      </c>
      <c r="K428" s="18">
        <v>121</v>
      </c>
      <c r="L428" s="16">
        <v>280</v>
      </c>
      <c r="M428" s="6" t="str" cm="1">
        <f t="array" ref="M428">_xlfn.IFS(L428&lt;100,"Economy",L428&lt;200,"Standard",L428&lt;350,"Powerful",L428&lt;500,"High Performance",L428&lt;800,"Sports Performance",L428&gt;=800,"Super Performance")</f>
        <v>Powerful</v>
      </c>
    </row>
    <row r="429" spans="1:13" x14ac:dyDescent="0.25">
      <c r="A429" s="5" t="s">
        <v>143</v>
      </c>
      <c r="B429" s="3" t="s">
        <v>1207</v>
      </c>
      <c r="C429" s="3" t="s">
        <v>145</v>
      </c>
      <c r="D429" s="4">
        <v>4120000</v>
      </c>
      <c r="E429" s="3">
        <v>1998</v>
      </c>
      <c r="F429" s="3">
        <v>4</v>
      </c>
      <c r="G429" s="3" t="s">
        <v>10</v>
      </c>
      <c r="H429" s="3" t="s">
        <v>11</v>
      </c>
      <c r="I429" s="3">
        <v>5</v>
      </c>
      <c r="J429" s="3" t="s">
        <v>12</v>
      </c>
      <c r="K429" s="18">
        <v>192</v>
      </c>
      <c r="L429" s="16">
        <v>280</v>
      </c>
      <c r="M429" s="6" t="str" cm="1">
        <f t="array" ref="M429">_xlfn.IFS(L429&lt;100,"Economy",L429&lt;200,"Standard",L429&lt;350,"Powerful",L429&lt;500,"High Performance",L429&lt;800,"Sports Performance",L429&gt;=800,"Super Performance")</f>
        <v>Powerful</v>
      </c>
    </row>
    <row r="430" spans="1:13" x14ac:dyDescent="0.25">
      <c r="A430" s="5" t="s">
        <v>202</v>
      </c>
      <c r="B430" s="3" t="s">
        <v>1069</v>
      </c>
      <c r="C430" s="3" t="s">
        <v>1247</v>
      </c>
      <c r="D430" s="4">
        <v>1236258</v>
      </c>
      <c r="E430" s="3">
        <v>2179</v>
      </c>
      <c r="F430" s="3">
        <v>4</v>
      </c>
      <c r="G430" s="3" t="s">
        <v>36</v>
      </c>
      <c r="H430" s="3" t="s">
        <v>66</v>
      </c>
      <c r="I430" s="3">
        <v>5</v>
      </c>
      <c r="J430" s="3" t="s">
        <v>12</v>
      </c>
      <c r="K430" s="18">
        <v>121</v>
      </c>
      <c r="L430" s="16">
        <v>280</v>
      </c>
      <c r="M430" s="6" t="str" cm="1">
        <f t="array" ref="M430">_xlfn.IFS(L430&lt;100,"Economy",L430&lt;200,"Standard",L430&lt;350,"Powerful",L430&lt;500,"High Performance",L430&lt;800,"Sports Performance",L430&gt;=800,"Super Performance")</f>
        <v>Powerful</v>
      </c>
    </row>
    <row r="431" spans="1:13" x14ac:dyDescent="0.25">
      <c r="A431" s="5" t="s">
        <v>202</v>
      </c>
      <c r="B431" s="3" t="s">
        <v>1069</v>
      </c>
      <c r="C431" s="3" t="s">
        <v>1248</v>
      </c>
      <c r="D431" s="4">
        <v>1123158</v>
      </c>
      <c r="E431" s="3">
        <v>2179</v>
      </c>
      <c r="F431" s="3">
        <v>4</v>
      </c>
      <c r="G431" s="3" t="s">
        <v>36</v>
      </c>
      <c r="H431" s="3" t="s">
        <v>66</v>
      </c>
      <c r="I431" s="3">
        <v>5</v>
      </c>
      <c r="J431" s="3" t="s">
        <v>12</v>
      </c>
      <c r="K431" s="18">
        <v>121</v>
      </c>
      <c r="L431" s="16">
        <v>280</v>
      </c>
      <c r="M431" s="6" t="str" cm="1">
        <f t="array" ref="M431">_xlfn.IFS(L431&lt;100,"Economy",L431&lt;200,"Standard",L431&lt;350,"Powerful",L431&lt;500,"High Performance",L431&lt;800,"Sports Performance",L431&gt;=800,"Super Performance")</f>
        <v>Powerful</v>
      </c>
    </row>
    <row r="432" spans="1:13" x14ac:dyDescent="0.25">
      <c r="A432" s="5" t="s">
        <v>202</v>
      </c>
      <c r="B432" s="3" t="s">
        <v>1325</v>
      </c>
      <c r="C432" s="3" t="s">
        <v>1329</v>
      </c>
      <c r="D432" s="4">
        <v>845154</v>
      </c>
      <c r="E432" s="3">
        <v>1461</v>
      </c>
      <c r="F432" s="3">
        <v>4</v>
      </c>
      <c r="G432" s="3" t="s">
        <v>36</v>
      </c>
      <c r="H432" s="3" t="s">
        <v>27</v>
      </c>
      <c r="I432" s="3">
        <v>5</v>
      </c>
      <c r="J432" s="3" t="s">
        <v>12</v>
      </c>
      <c r="K432" s="18">
        <v>120</v>
      </c>
      <c r="L432" s="16">
        <v>280</v>
      </c>
      <c r="M432" s="6" t="str" cm="1">
        <f t="array" ref="M432">_xlfn.IFS(L432&lt;100,"Economy",L432&lt;200,"Standard",L432&lt;350,"Powerful",L432&lt;500,"High Performance",L432&lt;800,"Sports Performance",L432&gt;=800,"Super Performance")</f>
        <v>Powerful</v>
      </c>
    </row>
    <row r="433" spans="1:13" x14ac:dyDescent="0.25">
      <c r="A433" s="5" t="s">
        <v>143</v>
      </c>
      <c r="B433" s="3" t="s">
        <v>144</v>
      </c>
      <c r="C433" s="3" t="s">
        <v>247</v>
      </c>
      <c r="D433" s="4">
        <v>2990000</v>
      </c>
      <c r="E433" s="3">
        <v>1496</v>
      </c>
      <c r="F433" s="3">
        <v>3</v>
      </c>
      <c r="G433" s="3" t="s">
        <v>36</v>
      </c>
      <c r="H433" s="3" t="s">
        <v>11</v>
      </c>
      <c r="I433" s="3">
        <v>4</v>
      </c>
      <c r="J433" s="3" t="s">
        <v>30</v>
      </c>
      <c r="K433" s="18">
        <v>116</v>
      </c>
      <c r="L433" s="16">
        <v>270</v>
      </c>
      <c r="M433" s="6" t="str" cm="1">
        <f t="array" ref="M433">_xlfn.IFS(L433&lt;100,"Economy",L433&lt;200,"Standard",L433&lt;350,"Powerful",L433&lt;500,"High Performance",L433&lt;800,"Sports Performance",L433&gt;=800,"Super Performance")</f>
        <v>Powerful</v>
      </c>
    </row>
    <row r="434" spans="1:13" x14ac:dyDescent="0.25">
      <c r="A434" s="5" t="s">
        <v>143</v>
      </c>
      <c r="B434" s="3" t="s">
        <v>305</v>
      </c>
      <c r="C434" s="3" t="s">
        <v>247</v>
      </c>
      <c r="D434" s="4">
        <v>3600000</v>
      </c>
      <c r="E434" s="3">
        <v>1496</v>
      </c>
      <c r="F434" s="3">
        <v>3</v>
      </c>
      <c r="G434" s="3" t="s">
        <v>10</v>
      </c>
      <c r="H434" s="3" t="s">
        <v>11</v>
      </c>
      <c r="I434" s="3">
        <v>5</v>
      </c>
      <c r="J434" s="3" t="s">
        <v>30</v>
      </c>
      <c r="K434" s="18">
        <v>116</v>
      </c>
      <c r="L434" s="16">
        <v>270</v>
      </c>
      <c r="M434" s="6" t="str" cm="1">
        <f t="array" ref="M434">_xlfn.IFS(L434&lt;100,"Economy",L434&lt;200,"Standard",L434&lt;350,"Powerful",L434&lt;500,"High Performance",L434&lt;800,"Sports Performance",L434&gt;=800,"Super Performance")</f>
        <v>Powerful</v>
      </c>
    </row>
    <row r="435" spans="1:13" x14ac:dyDescent="0.25">
      <c r="A435" s="5" t="s">
        <v>1047</v>
      </c>
      <c r="B435" s="3" t="s">
        <v>1048</v>
      </c>
      <c r="C435" s="3" t="s">
        <v>1050</v>
      </c>
      <c r="D435" s="4">
        <v>589678</v>
      </c>
      <c r="E435" s="3">
        <v>1994</v>
      </c>
      <c r="F435" s="3">
        <v>4</v>
      </c>
      <c r="G435" s="3" t="s">
        <v>36</v>
      </c>
      <c r="H435" s="3" t="s">
        <v>66</v>
      </c>
      <c r="I435" s="3">
        <v>9</v>
      </c>
      <c r="J435" s="3" t="s">
        <v>12</v>
      </c>
      <c r="K435" s="18">
        <v>122</v>
      </c>
      <c r="L435" s="16">
        <v>270</v>
      </c>
      <c r="M435" s="6" t="str" cm="1">
        <f t="array" ref="M435">_xlfn.IFS(L435&lt;100,"Economy",L435&lt;200,"Standard",L435&lt;350,"Powerful",L435&lt;500,"High Performance",L435&lt;800,"Sports Performance",L435&gt;=800,"Super Performance")</f>
        <v>Powerful</v>
      </c>
    </row>
    <row r="436" spans="1:13" x14ac:dyDescent="0.25">
      <c r="A436" s="5" t="s">
        <v>1047</v>
      </c>
      <c r="B436" s="3" t="s">
        <v>1048</v>
      </c>
      <c r="C436" s="3" t="s">
        <v>1051</v>
      </c>
      <c r="D436" s="4">
        <v>689761</v>
      </c>
      <c r="E436" s="3">
        <v>1994</v>
      </c>
      <c r="F436" s="3">
        <v>4</v>
      </c>
      <c r="G436" s="3" t="s">
        <v>36</v>
      </c>
      <c r="H436" s="3" t="s">
        <v>66</v>
      </c>
      <c r="I436" s="3">
        <v>9</v>
      </c>
      <c r="J436" s="3" t="s">
        <v>12</v>
      </c>
      <c r="K436" s="18">
        <v>122</v>
      </c>
      <c r="L436" s="16">
        <v>270</v>
      </c>
      <c r="M436" s="6" t="str" cm="1">
        <f t="array" ref="M436">_xlfn.IFS(L436&lt;100,"Economy",L436&lt;200,"Standard",L436&lt;350,"Powerful",L436&lt;500,"High Performance",L436&lt;800,"Sports Performance",L436&gt;=800,"Super Performance")</f>
        <v>Powerful</v>
      </c>
    </row>
    <row r="437" spans="1:13" x14ac:dyDescent="0.25">
      <c r="A437" s="5" t="s">
        <v>1047</v>
      </c>
      <c r="B437" s="3" t="s">
        <v>1048</v>
      </c>
      <c r="C437" s="3" t="s">
        <v>1052</v>
      </c>
      <c r="D437" s="4">
        <v>788177</v>
      </c>
      <c r="E437" s="3">
        <v>1994</v>
      </c>
      <c r="F437" s="3">
        <v>4</v>
      </c>
      <c r="G437" s="3" t="s">
        <v>36</v>
      </c>
      <c r="H437" s="3" t="s">
        <v>66</v>
      </c>
      <c r="I437" s="3">
        <v>9</v>
      </c>
      <c r="J437" s="3" t="s">
        <v>12</v>
      </c>
      <c r="K437" s="18">
        <v>122</v>
      </c>
      <c r="L437" s="16">
        <v>270</v>
      </c>
      <c r="M437" s="6" t="str" cm="1">
        <f t="array" ref="M437">_xlfn.IFS(L437&lt;100,"Economy",L437&lt;200,"Standard",L437&lt;350,"Powerful",L437&lt;500,"High Performance",L437&lt;800,"Sports Performance",L437&gt;=800,"Super Performance")</f>
        <v>Powerful</v>
      </c>
    </row>
    <row r="438" spans="1:13" x14ac:dyDescent="0.25">
      <c r="A438" s="5" t="s">
        <v>1047</v>
      </c>
      <c r="B438" s="3" t="s">
        <v>1048</v>
      </c>
      <c r="C438" s="3" t="s">
        <v>1054</v>
      </c>
      <c r="D438" s="4">
        <v>628072</v>
      </c>
      <c r="E438" s="3">
        <v>1994</v>
      </c>
      <c r="F438" s="3">
        <v>4</v>
      </c>
      <c r="G438" s="3" t="s">
        <v>36</v>
      </c>
      <c r="H438" s="3" t="s">
        <v>66</v>
      </c>
      <c r="I438" s="3">
        <v>9</v>
      </c>
      <c r="J438" s="3" t="s">
        <v>12</v>
      </c>
      <c r="K438" s="18">
        <v>122</v>
      </c>
      <c r="L438" s="16">
        <v>270</v>
      </c>
      <c r="M438" s="6" t="str" cm="1">
        <f t="array" ref="M438">_xlfn.IFS(L438&lt;100,"Economy",L438&lt;200,"Standard",L438&lt;350,"Powerful",L438&lt;500,"High Performance",L438&lt;800,"Sports Performance",L438&gt;=800,"Super Performance")</f>
        <v>Powerful</v>
      </c>
    </row>
    <row r="439" spans="1:13" x14ac:dyDescent="0.25">
      <c r="A439" s="5" t="s">
        <v>1047</v>
      </c>
      <c r="B439" s="3" t="s">
        <v>1048</v>
      </c>
      <c r="C439" s="3" t="s">
        <v>1055</v>
      </c>
      <c r="D439" s="4">
        <v>900967</v>
      </c>
      <c r="E439" s="3">
        <v>1994</v>
      </c>
      <c r="F439" s="3">
        <v>4</v>
      </c>
      <c r="G439" s="3" t="s">
        <v>36</v>
      </c>
      <c r="H439" s="3" t="s">
        <v>66</v>
      </c>
      <c r="I439" s="3">
        <v>7</v>
      </c>
      <c r="J439" s="3" t="s">
        <v>12</v>
      </c>
      <c r="K439" s="18">
        <v>122</v>
      </c>
      <c r="L439" s="16">
        <v>270</v>
      </c>
      <c r="M439" s="6" t="str" cm="1">
        <f t="array" ref="M439">_xlfn.IFS(L439&lt;100,"Economy",L439&lt;200,"Standard",L439&lt;350,"Powerful",L439&lt;500,"High Performance",L439&lt;800,"Sports Performance",L439&gt;=800,"Super Performance")</f>
        <v>Powerful</v>
      </c>
    </row>
    <row r="440" spans="1:13" x14ac:dyDescent="0.25">
      <c r="A440" s="5" t="s">
        <v>1047</v>
      </c>
      <c r="B440" s="3" t="s">
        <v>1048</v>
      </c>
      <c r="C440" s="3" t="s">
        <v>1057</v>
      </c>
      <c r="D440" s="4">
        <v>552890</v>
      </c>
      <c r="E440" s="3">
        <v>1994</v>
      </c>
      <c r="F440" s="3">
        <v>4</v>
      </c>
      <c r="G440" s="3" t="s">
        <v>36</v>
      </c>
      <c r="H440" s="3" t="s">
        <v>66</v>
      </c>
      <c r="I440" s="3">
        <v>9</v>
      </c>
      <c r="J440" s="3" t="s">
        <v>12</v>
      </c>
      <c r="K440" s="18">
        <v>122</v>
      </c>
      <c r="L440" s="16">
        <v>270</v>
      </c>
      <c r="M440" s="6" t="str" cm="1">
        <f t="array" ref="M440">_xlfn.IFS(L440&lt;100,"Economy",L440&lt;200,"Standard",L440&lt;350,"Powerful",L440&lt;500,"High Performance",L440&lt;800,"Sports Performance",L440&gt;=800,"Super Performance")</f>
        <v>Powerful</v>
      </c>
    </row>
    <row r="441" spans="1:13" x14ac:dyDescent="0.25">
      <c r="A441" s="5" t="s">
        <v>1047</v>
      </c>
      <c r="B441" s="3" t="s">
        <v>1048</v>
      </c>
      <c r="C441" s="3" t="s">
        <v>1058</v>
      </c>
      <c r="D441" s="4">
        <v>927689</v>
      </c>
      <c r="E441" s="3">
        <v>1994</v>
      </c>
      <c r="F441" s="3">
        <v>4</v>
      </c>
      <c r="G441" s="3" t="s">
        <v>36</v>
      </c>
      <c r="H441" s="3" t="s">
        <v>66</v>
      </c>
      <c r="I441" s="3">
        <v>7</v>
      </c>
      <c r="J441" s="3" t="s">
        <v>12</v>
      </c>
      <c r="K441" s="18">
        <v>122</v>
      </c>
      <c r="L441" s="16">
        <v>270</v>
      </c>
      <c r="M441" s="6" t="str" cm="1">
        <f t="array" ref="M441">_xlfn.IFS(L441&lt;100,"Economy",L441&lt;200,"Standard",L441&lt;350,"Powerful",L441&lt;500,"High Performance",L441&lt;800,"Sports Performance",L441&gt;=800,"Super Performance")</f>
        <v>Powerful</v>
      </c>
    </row>
    <row r="442" spans="1:13" x14ac:dyDescent="0.25">
      <c r="A442" s="5" t="s">
        <v>1047</v>
      </c>
      <c r="B442" s="3" t="s">
        <v>1048</v>
      </c>
      <c r="C442" s="3" t="s">
        <v>1059</v>
      </c>
      <c r="D442" s="4">
        <v>835275</v>
      </c>
      <c r="E442" s="3">
        <v>1994</v>
      </c>
      <c r="F442" s="3">
        <v>4</v>
      </c>
      <c r="G442" s="3" t="s">
        <v>36</v>
      </c>
      <c r="H442" s="3" t="s">
        <v>66</v>
      </c>
      <c r="I442" s="3">
        <v>9</v>
      </c>
      <c r="J442" s="3" t="s">
        <v>12</v>
      </c>
      <c r="K442" s="18">
        <v>122</v>
      </c>
      <c r="L442" s="16">
        <v>270</v>
      </c>
      <c r="M442" s="6" t="str" cm="1">
        <f t="array" ref="M442">_xlfn.IFS(L442&lt;100,"Economy",L442&lt;200,"Standard",L442&lt;350,"Powerful",L442&lt;500,"High Performance",L442&lt;800,"Sports Performance",L442&gt;=800,"Super Performance")</f>
        <v>Powerful</v>
      </c>
    </row>
    <row r="443" spans="1:13" x14ac:dyDescent="0.25">
      <c r="A443" s="5" t="s">
        <v>7</v>
      </c>
      <c r="B443" s="3" t="s">
        <v>520</v>
      </c>
      <c r="C443" s="3" t="s">
        <v>528</v>
      </c>
      <c r="D443" s="4">
        <v>1366797</v>
      </c>
      <c r="E443" s="3">
        <v>1582</v>
      </c>
      <c r="F443" s="3">
        <v>4</v>
      </c>
      <c r="G443" s="3" t="s">
        <v>36</v>
      </c>
      <c r="H443" s="3" t="s">
        <v>66</v>
      </c>
      <c r="I443" s="3">
        <v>5</v>
      </c>
      <c r="J443" s="3" t="s">
        <v>12</v>
      </c>
      <c r="K443" s="18">
        <v>128</v>
      </c>
      <c r="L443" s="16">
        <v>260</v>
      </c>
      <c r="M443" s="6" t="str" cm="1">
        <f t="array" ref="M443">_xlfn.IFS(L443&lt;100,"Economy",L443&lt;200,"Standard",L443&lt;350,"Powerful",L443&lt;500,"High Performance",L443&lt;800,"Sports Performance",L443&gt;=800,"Super Performance")</f>
        <v>Powerful</v>
      </c>
    </row>
    <row r="444" spans="1:13" x14ac:dyDescent="0.25">
      <c r="A444" s="5" t="s">
        <v>7</v>
      </c>
      <c r="B444" s="3" t="s">
        <v>520</v>
      </c>
      <c r="C444" s="3" t="s">
        <v>529</v>
      </c>
      <c r="D444" s="4">
        <v>1543564</v>
      </c>
      <c r="E444" s="3">
        <v>1582</v>
      </c>
      <c r="F444" s="3">
        <v>4</v>
      </c>
      <c r="G444" s="3" t="s">
        <v>36</v>
      </c>
      <c r="H444" s="3" t="s">
        <v>66</v>
      </c>
      <c r="I444" s="3">
        <v>5</v>
      </c>
      <c r="J444" s="3" t="s">
        <v>12</v>
      </c>
      <c r="K444" s="18">
        <v>128</v>
      </c>
      <c r="L444" s="16">
        <v>260</v>
      </c>
      <c r="M444" s="6" t="str" cm="1">
        <f t="array" ref="M444">_xlfn.IFS(L444&lt;100,"Economy",L444&lt;200,"Standard",L444&lt;350,"Powerful",L444&lt;500,"High Performance",L444&lt;800,"Sports Performance",L444&gt;=800,"Super Performance")</f>
        <v>Powerful</v>
      </c>
    </row>
    <row r="445" spans="1:13" x14ac:dyDescent="0.25">
      <c r="A445" s="5" t="s">
        <v>7</v>
      </c>
      <c r="B445" s="3" t="s">
        <v>520</v>
      </c>
      <c r="C445" s="3" t="s">
        <v>530</v>
      </c>
      <c r="D445" s="4">
        <v>1527395</v>
      </c>
      <c r="E445" s="3">
        <v>1582</v>
      </c>
      <c r="F445" s="3">
        <v>4</v>
      </c>
      <c r="G445" s="3" t="s">
        <v>36</v>
      </c>
      <c r="H445" s="3" t="s">
        <v>66</v>
      </c>
      <c r="I445" s="3">
        <v>5</v>
      </c>
      <c r="J445" s="3" t="s">
        <v>30</v>
      </c>
      <c r="K445" s="18">
        <v>128</v>
      </c>
      <c r="L445" s="16">
        <v>260</v>
      </c>
      <c r="M445" s="6" t="str" cm="1">
        <f t="array" ref="M445">_xlfn.IFS(L445&lt;100,"Economy",L445&lt;200,"Standard",L445&lt;350,"Powerful",L445&lt;500,"High Performance",L445&lt;800,"Sports Performance",L445&gt;=800,"Super Performance")</f>
        <v>Powerful</v>
      </c>
    </row>
    <row r="446" spans="1:13" x14ac:dyDescent="0.25">
      <c r="A446" s="5" t="s">
        <v>7</v>
      </c>
      <c r="B446" s="3" t="s">
        <v>520</v>
      </c>
      <c r="C446" s="3" t="s">
        <v>531</v>
      </c>
      <c r="D446" s="4">
        <v>1421208</v>
      </c>
      <c r="E446" s="3">
        <v>1582</v>
      </c>
      <c r="F446" s="3">
        <v>4</v>
      </c>
      <c r="G446" s="3" t="s">
        <v>36</v>
      </c>
      <c r="H446" s="3" t="s">
        <v>66</v>
      </c>
      <c r="I446" s="3">
        <v>5</v>
      </c>
      <c r="J446" s="3" t="s">
        <v>12</v>
      </c>
      <c r="K446" s="18">
        <v>128</v>
      </c>
      <c r="L446" s="16">
        <v>260</v>
      </c>
      <c r="M446" s="6" t="str" cm="1">
        <f t="array" ref="M446">_xlfn.IFS(L446&lt;100,"Economy",L446&lt;200,"Standard",L446&lt;350,"Powerful",L446&lt;500,"High Performance",L446&lt;800,"Sports Performance",L446&gt;=800,"Super Performance")</f>
        <v>Powerful</v>
      </c>
    </row>
    <row r="447" spans="1:13" x14ac:dyDescent="0.25">
      <c r="A447" s="5" t="s">
        <v>7</v>
      </c>
      <c r="B447" s="3" t="s">
        <v>520</v>
      </c>
      <c r="C447" s="3" t="s">
        <v>532</v>
      </c>
      <c r="D447" s="4">
        <v>1336033</v>
      </c>
      <c r="E447" s="3">
        <v>1582</v>
      </c>
      <c r="F447" s="3">
        <v>4</v>
      </c>
      <c r="G447" s="3" t="s">
        <v>36</v>
      </c>
      <c r="H447" s="3" t="s">
        <v>66</v>
      </c>
      <c r="I447" s="3">
        <v>5</v>
      </c>
      <c r="J447" s="3" t="s">
        <v>30</v>
      </c>
      <c r="K447" s="18">
        <v>128</v>
      </c>
      <c r="L447" s="16">
        <v>260</v>
      </c>
      <c r="M447" s="6" t="str" cm="1">
        <f t="array" ref="M447">_xlfn.IFS(L447&lt;100,"Economy",L447&lt;200,"Standard",L447&lt;350,"Powerful",L447&lt;500,"High Performance",L447&lt;800,"Sports Performance",L447&gt;=800,"Super Performance")</f>
        <v>Powerful</v>
      </c>
    </row>
    <row r="448" spans="1:13" x14ac:dyDescent="0.25">
      <c r="A448" s="5" t="s">
        <v>7</v>
      </c>
      <c r="B448" s="3" t="s">
        <v>520</v>
      </c>
      <c r="C448" s="3" t="s">
        <v>534</v>
      </c>
      <c r="D448" s="4">
        <v>1572064</v>
      </c>
      <c r="E448" s="3">
        <v>1582</v>
      </c>
      <c r="F448" s="3">
        <v>4</v>
      </c>
      <c r="G448" s="3" t="s">
        <v>36</v>
      </c>
      <c r="H448" s="3" t="s">
        <v>66</v>
      </c>
      <c r="I448" s="3">
        <v>5</v>
      </c>
      <c r="J448" s="3" t="s">
        <v>12</v>
      </c>
      <c r="K448" s="18">
        <v>126</v>
      </c>
      <c r="L448" s="16">
        <v>260</v>
      </c>
      <c r="M448" s="6" t="str" cm="1">
        <f t="array" ref="M448">_xlfn.IFS(L448&lt;100,"Economy",L448&lt;200,"Standard",L448&lt;350,"Powerful",L448&lt;500,"High Performance",L448&lt;800,"Sports Performance",L448&gt;=800,"Super Performance")</f>
        <v>Powerful</v>
      </c>
    </row>
    <row r="449" spans="1:13" x14ac:dyDescent="0.25">
      <c r="A449" s="5" t="s">
        <v>22</v>
      </c>
      <c r="B449" s="3" t="s">
        <v>632</v>
      </c>
      <c r="C449" s="3" t="s">
        <v>336</v>
      </c>
      <c r="D449" s="4">
        <v>845000</v>
      </c>
      <c r="E449" s="3">
        <v>1497</v>
      </c>
      <c r="F449" s="3">
        <v>4</v>
      </c>
      <c r="G449" s="3" t="s">
        <v>36</v>
      </c>
      <c r="H449" s="3" t="s">
        <v>66</v>
      </c>
      <c r="I449" s="3">
        <v>5</v>
      </c>
      <c r="J449" s="3" t="s">
        <v>12</v>
      </c>
      <c r="K449" s="18">
        <v>110</v>
      </c>
      <c r="L449" s="16">
        <v>260</v>
      </c>
      <c r="M449" s="6" t="str" cm="1">
        <f t="array" ref="M449">_xlfn.IFS(L449&lt;100,"Economy",L449&lt;200,"Standard",L449&lt;350,"Powerful",L449&lt;500,"High Performance",L449&lt;800,"Sports Performance",L449&gt;=800,"Super Performance")</f>
        <v>Powerful</v>
      </c>
    </row>
    <row r="450" spans="1:13" x14ac:dyDescent="0.25">
      <c r="A450" s="5" t="s">
        <v>22</v>
      </c>
      <c r="B450" s="3" t="s">
        <v>632</v>
      </c>
      <c r="C450" s="3" t="s">
        <v>456</v>
      </c>
      <c r="D450" s="4">
        <v>920000</v>
      </c>
      <c r="E450" s="3">
        <v>1497</v>
      </c>
      <c r="F450" s="3">
        <v>4</v>
      </c>
      <c r="G450" s="3" t="s">
        <v>36</v>
      </c>
      <c r="H450" s="3" t="s">
        <v>66</v>
      </c>
      <c r="I450" s="3">
        <v>5</v>
      </c>
      <c r="J450" s="3" t="s">
        <v>12</v>
      </c>
      <c r="K450" s="18">
        <v>110</v>
      </c>
      <c r="L450" s="16">
        <v>260</v>
      </c>
      <c r="M450" s="6" t="str" cm="1">
        <f t="array" ref="M450">_xlfn.IFS(L450&lt;100,"Economy",L450&lt;200,"Standard",L450&lt;350,"Powerful",L450&lt;500,"High Performance",L450&lt;800,"Sports Performance",L450&gt;=800,"Super Performance")</f>
        <v>Powerful</v>
      </c>
    </row>
    <row r="451" spans="1:13" x14ac:dyDescent="0.25">
      <c r="A451" s="5" t="s">
        <v>22</v>
      </c>
      <c r="B451" s="3" t="s">
        <v>632</v>
      </c>
      <c r="C451" s="3" t="s">
        <v>723</v>
      </c>
      <c r="D451" s="4">
        <v>1020000</v>
      </c>
      <c r="E451" s="3">
        <v>1497</v>
      </c>
      <c r="F451" s="3">
        <v>4</v>
      </c>
      <c r="G451" s="3" t="s">
        <v>36</v>
      </c>
      <c r="H451" s="3" t="s">
        <v>66</v>
      </c>
      <c r="I451" s="3">
        <v>5</v>
      </c>
      <c r="J451" s="3" t="s">
        <v>12</v>
      </c>
      <c r="K451" s="18">
        <v>110</v>
      </c>
      <c r="L451" s="16">
        <v>260</v>
      </c>
      <c r="M451" s="6" t="str" cm="1">
        <f t="array" ref="M451">_xlfn.IFS(L451&lt;100,"Economy",L451&lt;200,"Standard",L451&lt;350,"Powerful",L451&lt;500,"High Performance",L451&lt;800,"Sports Performance",L451&gt;=800,"Super Performance")</f>
        <v>Powerful</v>
      </c>
    </row>
    <row r="452" spans="1:13" x14ac:dyDescent="0.25">
      <c r="A452" s="5" t="s">
        <v>22</v>
      </c>
      <c r="B452" s="3" t="s">
        <v>632</v>
      </c>
      <c r="C452" s="3" t="s">
        <v>724</v>
      </c>
      <c r="D452" s="4">
        <v>1100000</v>
      </c>
      <c r="E452" s="3">
        <v>1497</v>
      </c>
      <c r="F452" s="3">
        <v>4</v>
      </c>
      <c r="G452" s="3" t="s">
        <v>36</v>
      </c>
      <c r="H452" s="3" t="s">
        <v>66</v>
      </c>
      <c r="I452" s="3">
        <v>5</v>
      </c>
      <c r="J452" s="3" t="s">
        <v>12</v>
      </c>
      <c r="K452" s="18">
        <v>110</v>
      </c>
      <c r="L452" s="16">
        <v>260</v>
      </c>
      <c r="M452" s="6" t="str" cm="1">
        <f t="array" ref="M452">_xlfn.IFS(L452&lt;100,"Economy",L452&lt;200,"Standard",L452&lt;350,"Powerful",L452&lt;500,"High Performance",L452&lt;800,"Sports Performance",L452&gt;=800,"Super Performance")</f>
        <v>Powerful</v>
      </c>
    </row>
    <row r="453" spans="1:13" x14ac:dyDescent="0.25">
      <c r="A453" s="5" t="s">
        <v>22</v>
      </c>
      <c r="B453" s="3" t="s">
        <v>632</v>
      </c>
      <c r="C453" s="3" t="s">
        <v>725</v>
      </c>
      <c r="D453" s="4">
        <v>1120000</v>
      </c>
      <c r="E453" s="3">
        <v>1497</v>
      </c>
      <c r="F453" s="3">
        <v>4</v>
      </c>
      <c r="G453" s="3" t="s">
        <v>36</v>
      </c>
      <c r="H453" s="3" t="s">
        <v>66</v>
      </c>
      <c r="I453" s="3">
        <v>5</v>
      </c>
      <c r="J453" s="3" t="s">
        <v>12</v>
      </c>
      <c r="K453" s="18">
        <v>110</v>
      </c>
      <c r="L453" s="16">
        <v>260</v>
      </c>
      <c r="M453" s="6" t="str" cm="1">
        <f t="array" ref="M453">_xlfn.IFS(L453&lt;100,"Economy",L453&lt;200,"Standard",L453&lt;350,"Powerful",L453&lt;500,"High Performance",L453&lt;800,"Sports Performance",L453&gt;=800,"Super Performance")</f>
        <v>Powerful</v>
      </c>
    </row>
    <row r="454" spans="1:13" x14ac:dyDescent="0.25">
      <c r="A454" s="5" t="s">
        <v>22</v>
      </c>
      <c r="B454" s="3" t="s">
        <v>632</v>
      </c>
      <c r="C454" s="3" t="s">
        <v>726</v>
      </c>
      <c r="D454" s="4">
        <v>1190000</v>
      </c>
      <c r="E454" s="3">
        <v>1497</v>
      </c>
      <c r="F454" s="3">
        <v>4</v>
      </c>
      <c r="G454" s="3" t="s">
        <v>36</v>
      </c>
      <c r="H454" s="3" t="s">
        <v>66</v>
      </c>
      <c r="I454" s="3">
        <v>5</v>
      </c>
      <c r="J454" s="3" t="s">
        <v>12</v>
      </c>
      <c r="K454" s="18">
        <v>110</v>
      </c>
      <c r="L454" s="16">
        <v>260</v>
      </c>
      <c r="M454" s="6" t="str" cm="1">
        <f t="array" ref="M454">_xlfn.IFS(L454&lt;100,"Economy",L454&lt;200,"Standard",L454&lt;350,"Powerful",L454&lt;500,"High Performance",L454&lt;800,"Sports Performance",L454&gt;=800,"Super Performance")</f>
        <v>Powerful</v>
      </c>
    </row>
    <row r="455" spans="1:13" x14ac:dyDescent="0.25">
      <c r="A455" s="5" t="s">
        <v>22</v>
      </c>
      <c r="B455" s="3" t="s">
        <v>632</v>
      </c>
      <c r="C455" s="3" t="s">
        <v>727</v>
      </c>
      <c r="D455" s="4">
        <v>1210000</v>
      </c>
      <c r="E455" s="3">
        <v>1497</v>
      </c>
      <c r="F455" s="3">
        <v>4</v>
      </c>
      <c r="G455" s="3" t="s">
        <v>36</v>
      </c>
      <c r="H455" s="3" t="s">
        <v>66</v>
      </c>
      <c r="I455" s="3">
        <v>5</v>
      </c>
      <c r="J455" s="3" t="s">
        <v>12</v>
      </c>
      <c r="K455" s="18">
        <v>110</v>
      </c>
      <c r="L455" s="16">
        <v>260</v>
      </c>
      <c r="M455" s="6" t="str" cm="1">
        <f t="array" ref="M455">_xlfn.IFS(L455&lt;100,"Economy",L455&lt;200,"Standard",L455&lt;350,"Powerful",L455&lt;500,"High Performance",L455&lt;800,"Sports Performance",L455&gt;=800,"Super Performance")</f>
        <v>Powerful</v>
      </c>
    </row>
    <row r="456" spans="1:13" x14ac:dyDescent="0.25">
      <c r="A456" s="5" t="s">
        <v>22</v>
      </c>
      <c r="B456" s="3" t="s">
        <v>632</v>
      </c>
      <c r="C456" s="3" t="s">
        <v>728</v>
      </c>
      <c r="D456" s="4">
        <v>980000</v>
      </c>
      <c r="E456" s="3">
        <v>1497</v>
      </c>
      <c r="F456" s="3">
        <v>4</v>
      </c>
      <c r="G456" s="3" t="s">
        <v>36</v>
      </c>
      <c r="H456" s="3" t="s">
        <v>66</v>
      </c>
      <c r="I456" s="3">
        <v>5</v>
      </c>
      <c r="J456" s="3" t="s">
        <v>30</v>
      </c>
      <c r="K456" s="18">
        <v>110</v>
      </c>
      <c r="L456" s="16">
        <v>260</v>
      </c>
      <c r="M456" s="6" t="str" cm="1">
        <f t="array" ref="M456">_xlfn.IFS(L456&lt;100,"Economy",L456&lt;200,"Standard",L456&lt;350,"Powerful",L456&lt;500,"High Performance",L456&lt;800,"Sports Performance",L456&gt;=800,"Super Performance")</f>
        <v>Powerful</v>
      </c>
    </row>
    <row r="457" spans="1:13" x14ac:dyDescent="0.25">
      <c r="A457" s="5" t="s">
        <v>22</v>
      </c>
      <c r="B457" s="3" t="s">
        <v>632</v>
      </c>
      <c r="C457" s="3" t="s">
        <v>729</v>
      </c>
      <c r="D457" s="4">
        <v>1160000</v>
      </c>
      <c r="E457" s="3">
        <v>1497</v>
      </c>
      <c r="F457" s="3">
        <v>4</v>
      </c>
      <c r="G457" s="3" t="s">
        <v>36</v>
      </c>
      <c r="H457" s="3" t="s">
        <v>66</v>
      </c>
      <c r="I457" s="3">
        <v>5</v>
      </c>
      <c r="J457" s="3" t="s">
        <v>30</v>
      </c>
      <c r="K457" s="18">
        <v>110</v>
      </c>
      <c r="L457" s="16">
        <v>260</v>
      </c>
      <c r="M457" s="6" t="str" cm="1">
        <f t="array" ref="M457">_xlfn.IFS(L457&lt;100,"Economy",L457&lt;200,"Standard",L457&lt;350,"Powerful",L457&lt;500,"High Performance",L457&lt;800,"Sports Performance",L457&gt;=800,"Super Performance")</f>
        <v>Powerful</v>
      </c>
    </row>
    <row r="458" spans="1:13" x14ac:dyDescent="0.25">
      <c r="A458" s="5" t="s">
        <v>22</v>
      </c>
      <c r="B458" s="3" t="s">
        <v>632</v>
      </c>
      <c r="C458" s="3" t="s">
        <v>730</v>
      </c>
      <c r="D458" s="4">
        <v>1180000</v>
      </c>
      <c r="E458" s="3">
        <v>1497</v>
      </c>
      <c r="F458" s="3">
        <v>4</v>
      </c>
      <c r="G458" s="3" t="s">
        <v>36</v>
      </c>
      <c r="H458" s="3" t="s">
        <v>66</v>
      </c>
      <c r="I458" s="3">
        <v>5</v>
      </c>
      <c r="J458" s="3" t="s">
        <v>30</v>
      </c>
      <c r="K458" s="18">
        <v>110</v>
      </c>
      <c r="L458" s="16">
        <v>260</v>
      </c>
      <c r="M458" s="6" t="str" cm="1">
        <f t="array" ref="M458">_xlfn.IFS(L458&lt;100,"Economy",L458&lt;200,"Standard",L458&lt;350,"Powerful",L458&lt;500,"High Performance",L458&lt;800,"Sports Performance",L458&gt;=800,"Super Performance")</f>
        <v>Powerful</v>
      </c>
    </row>
    <row r="459" spans="1:13" x14ac:dyDescent="0.25">
      <c r="A459" s="5" t="s">
        <v>22</v>
      </c>
      <c r="B459" s="3" t="s">
        <v>632</v>
      </c>
      <c r="C459" s="3" t="s">
        <v>731</v>
      </c>
      <c r="D459" s="4">
        <v>1250000</v>
      </c>
      <c r="E459" s="3">
        <v>1497</v>
      </c>
      <c r="F459" s="3">
        <v>4</v>
      </c>
      <c r="G459" s="3" t="s">
        <v>36</v>
      </c>
      <c r="H459" s="3" t="s">
        <v>66</v>
      </c>
      <c r="I459" s="3">
        <v>5</v>
      </c>
      <c r="J459" s="3" t="s">
        <v>30</v>
      </c>
      <c r="K459" s="18">
        <v>110</v>
      </c>
      <c r="L459" s="16">
        <v>260</v>
      </c>
      <c r="M459" s="6" t="str" cm="1">
        <f t="array" ref="M459">_xlfn.IFS(L459&lt;100,"Economy",L459&lt;200,"Standard",L459&lt;350,"Powerful",L459&lt;500,"High Performance",L459&lt;800,"Sports Performance",L459&gt;=800,"Super Performance")</f>
        <v>Powerful</v>
      </c>
    </row>
    <row r="460" spans="1:13" x14ac:dyDescent="0.25">
      <c r="A460" s="5" t="s">
        <v>22</v>
      </c>
      <c r="B460" s="3" t="s">
        <v>632</v>
      </c>
      <c r="C460" s="3" t="s">
        <v>732</v>
      </c>
      <c r="D460" s="4">
        <v>1270000</v>
      </c>
      <c r="E460" s="3">
        <v>1497</v>
      </c>
      <c r="F460" s="3">
        <v>4</v>
      </c>
      <c r="G460" s="3" t="s">
        <v>36</v>
      </c>
      <c r="H460" s="3" t="s">
        <v>66</v>
      </c>
      <c r="I460" s="3">
        <v>5</v>
      </c>
      <c r="J460" s="3" t="s">
        <v>30</v>
      </c>
      <c r="K460" s="18">
        <v>110</v>
      </c>
      <c r="L460" s="16">
        <v>260</v>
      </c>
      <c r="M460" s="6" t="str" cm="1">
        <f t="array" ref="M460">_xlfn.IFS(L460&lt;100,"Economy",L460&lt;200,"Standard",L460&lt;350,"Powerful",L460&lt;500,"High Performance",L460&lt;800,"Sports Performance",L460&gt;=800,"Super Performance")</f>
        <v>Powerful</v>
      </c>
    </row>
    <row r="461" spans="1:13" x14ac:dyDescent="0.25">
      <c r="A461" s="5" t="s">
        <v>7</v>
      </c>
      <c r="B461" s="3" t="s">
        <v>520</v>
      </c>
      <c r="C461" s="3" t="s">
        <v>807</v>
      </c>
      <c r="D461" s="4">
        <v>1414247</v>
      </c>
      <c r="E461" s="3">
        <v>1582</v>
      </c>
      <c r="F461" s="3">
        <v>4</v>
      </c>
      <c r="G461" s="3" t="s">
        <v>36</v>
      </c>
      <c r="H461" s="3" t="s">
        <v>66</v>
      </c>
      <c r="I461" s="3">
        <v>5</v>
      </c>
      <c r="J461" s="3" t="s">
        <v>12</v>
      </c>
      <c r="K461" s="18">
        <v>128</v>
      </c>
      <c r="L461" s="16">
        <v>260</v>
      </c>
      <c r="M461" s="6" t="str" cm="1">
        <f t="array" ref="M461">_xlfn.IFS(L461&lt;100,"Economy",L461&lt;200,"Standard",L461&lt;350,"Powerful",L461&lt;500,"High Performance",L461&lt;800,"Sports Performance",L461&gt;=800,"Super Performance")</f>
        <v>Powerful</v>
      </c>
    </row>
    <row r="462" spans="1:13" x14ac:dyDescent="0.25">
      <c r="A462" s="5" t="s">
        <v>7</v>
      </c>
      <c r="B462" s="3" t="s">
        <v>737</v>
      </c>
      <c r="C462" s="3" t="s">
        <v>1361</v>
      </c>
      <c r="D462" s="4">
        <v>1407871</v>
      </c>
      <c r="E462" s="3">
        <v>1582</v>
      </c>
      <c r="F462" s="3">
        <v>4</v>
      </c>
      <c r="G462" s="3" t="s">
        <v>36</v>
      </c>
      <c r="H462" s="3" t="s">
        <v>27</v>
      </c>
      <c r="I462" s="3">
        <v>5</v>
      </c>
      <c r="J462" s="3" t="s">
        <v>30</v>
      </c>
      <c r="K462" s="18">
        <v>128</v>
      </c>
      <c r="L462" s="16">
        <v>260</v>
      </c>
      <c r="M462" s="6" t="str" cm="1">
        <f t="array" ref="M462">_xlfn.IFS(L462&lt;100,"Economy",L462&lt;200,"Standard",L462&lt;350,"Powerful",L462&lt;500,"High Performance",L462&lt;800,"Sports Performance",L462&gt;=800,"Super Performance")</f>
        <v>Powerful</v>
      </c>
    </row>
    <row r="463" spans="1:13" x14ac:dyDescent="0.25">
      <c r="A463" s="5" t="s">
        <v>7</v>
      </c>
      <c r="B463" s="3" t="s">
        <v>737</v>
      </c>
      <c r="C463" s="3" t="s">
        <v>529</v>
      </c>
      <c r="D463" s="4">
        <v>1301881</v>
      </c>
      <c r="E463" s="3">
        <v>1582</v>
      </c>
      <c r="F463" s="3">
        <v>4</v>
      </c>
      <c r="G463" s="3" t="s">
        <v>36</v>
      </c>
      <c r="H463" s="3" t="s">
        <v>27</v>
      </c>
      <c r="I463" s="3">
        <v>5</v>
      </c>
      <c r="J463" s="3" t="s">
        <v>12</v>
      </c>
      <c r="K463" s="18">
        <v>128</v>
      </c>
      <c r="L463" s="16">
        <v>260</v>
      </c>
      <c r="M463" s="6" t="str" cm="1">
        <f t="array" ref="M463">_xlfn.IFS(L463&lt;100,"Economy",L463&lt;200,"Standard",L463&lt;350,"Powerful",L463&lt;500,"High Performance",L463&lt;800,"Sports Performance",L463&gt;=800,"Super Performance")</f>
        <v>Powerful</v>
      </c>
    </row>
    <row r="464" spans="1:13" x14ac:dyDescent="0.25">
      <c r="A464" s="5" t="s">
        <v>7</v>
      </c>
      <c r="B464" s="3" t="s">
        <v>737</v>
      </c>
      <c r="C464" s="3" t="s">
        <v>528</v>
      </c>
      <c r="D464" s="4">
        <v>1172544</v>
      </c>
      <c r="E464" s="3">
        <v>1582</v>
      </c>
      <c r="F464" s="3">
        <v>4</v>
      </c>
      <c r="G464" s="3" t="s">
        <v>36</v>
      </c>
      <c r="H464" s="3" t="s">
        <v>27</v>
      </c>
      <c r="I464" s="3">
        <v>5</v>
      </c>
      <c r="J464" s="3" t="s">
        <v>12</v>
      </c>
      <c r="K464" s="18">
        <v>128</v>
      </c>
      <c r="L464" s="16">
        <v>260</v>
      </c>
      <c r="M464" s="6" t="str" cm="1">
        <f t="array" ref="M464">_xlfn.IFS(L464&lt;100,"Economy",L464&lt;200,"Standard",L464&lt;350,"Powerful",L464&lt;500,"High Performance",L464&lt;800,"Sports Performance",L464&gt;=800,"Super Performance")</f>
        <v>Powerful</v>
      </c>
    </row>
    <row r="465" spans="1:13" x14ac:dyDescent="0.25">
      <c r="A465" s="5" t="s">
        <v>7</v>
      </c>
      <c r="B465" s="3" t="s">
        <v>737</v>
      </c>
      <c r="C465" s="3" t="s">
        <v>1362</v>
      </c>
      <c r="D465" s="4">
        <v>1328545</v>
      </c>
      <c r="E465" s="3">
        <v>1582</v>
      </c>
      <c r="F465" s="3">
        <v>4</v>
      </c>
      <c r="G465" s="3" t="s">
        <v>36</v>
      </c>
      <c r="H465" s="3" t="s">
        <v>27</v>
      </c>
      <c r="I465" s="3">
        <v>5</v>
      </c>
      <c r="J465" s="3" t="s">
        <v>30</v>
      </c>
      <c r="K465" s="18">
        <v>128</v>
      </c>
      <c r="L465" s="16">
        <v>260</v>
      </c>
      <c r="M465" s="6" t="str" cm="1">
        <f t="array" ref="M465">_xlfn.IFS(L465&lt;100,"Economy",L465&lt;200,"Standard",L465&lt;350,"Powerful",L465&lt;500,"High Performance",L465&lt;800,"Sports Performance",L465&gt;=800,"Super Performance")</f>
        <v>Powerful</v>
      </c>
    </row>
    <row r="466" spans="1:13" x14ac:dyDescent="0.25">
      <c r="A466" s="5" t="s">
        <v>68</v>
      </c>
      <c r="B466" s="3" t="s">
        <v>69</v>
      </c>
      <c r="C466" s="3" t="s">
        <v>70</v>
      </c>
      <c r="D466" s="4">
        <v>4149000</v>
      </c>
      <c r="E466" s="3">
        <v>1395</v>
      </c>
      <c r="F466" s="3">
        <v>4</v>
      </c>
      <c r="G466" s="3" t="s">
        <v>10</v>
      </c>
      <c r="H466" s="3" t="s">
        <v>27</v>
      </c>
      <c r="I466" s="3">
        <v>5</v>
      </c>
      <c r="J466" s="3" t="s">
        <v>71</v>
      </c>
      <c r="K466" s="18">
        <v>150</v>
      </c>
      <c r="L466" s="16">
        <v>250</v>
      </c>
      <c r="M466" s="6" t="str" cm="1">
        <f t="array" ref="M466">_xlfn.IFS(L466&lt;100,"Economy",L466&lt;200,"Standard",L466&lt;350,"Powerful",L466&lt;500,"High Performance",L466&lt;800,"Sports Performance",L466&gt;=800,"Super Performance")</f>
        <v>Powerful</v>
      </c>
    </row>
    <row r="467" spans="1:13" x14ac:dyDescent="0.25">
      <c r="A467" s="5" t="s">
        <v>68</v>
      </c>
      <c r="B467" s="3" t="s">
        <v>69</v>
      </c>
      <c r="C467" s="3" t="s">
        <v>72</v>
      </c>
      <c r="D467" s="4">
        <v>4507000</v>
      </c>
      <c r="E467" s="3">
        <v>1395</v>
      </c>
      <c r="F467" s="3">
        <v>4</v>
      </c>
      <c r="G467" s="3" t="s">
        <v>10</v>
      </c>
      <c r="H467" s="3" t="s">
        <v>27</v>
      </c>
      <c r="I467" s="3">
        <v>5</v>
      </c>
      <c r="J467" s="3" t="s">
        <v>71</v>
      </c>
      <c r="K467" s="18">
        <v>150</v>
      </c>
      <c r="L467" s="16">
        <v>250</v>
      </c>
      <c r="M467" s="6" t="str" cm="1">
        <f t="array" ref="M467">_xlfn.IFS(L467&lt;100,"Economy",L467&lt;200,"Standard",L467&lt;350,"Powerful",L467&lt;500,"High Performance",L467&lt;800,"Sports Performance",L467&gt;=800,"Super Performance")</f>
        <v>Powerful</v>
      </c>
    </row>
    <row r="468" spans="1:13" x14ac:dyDescent="0.25">
      <c r="A468" s="5" t="s">
        <v>63</v>
      </c>
      <c r="B468" s="3" t="s">
        <v>109</v>
      </c>
      <c r="C468" s="3" t="s">
        <v>110</v>
      </c>
      <c r="D468" s="4">
        <v>1996000</v>
      </c>
      <c r="E468" s="3">
        <v>1368</v>
      </c>
      <c r="F468" s="3">
        <v>6</v>
      </c>
      <c r="G468" s="3" t="s">
        <v>10</v>
      </c>
      <c r="H468" s="3" t="s">
        <v>66</v>
      </c>
      <c r="I468" s="3">
        <v>5</v>
      </c>
      <c r="J468" s="3" t="s">
        <v>30</v>
      </c>
      <c r="K468" s="18">
        <v>162</v>
      </c>
      <c r="L468" s="16">
        <v>250</v>
      </c>
      <c r="M468" s="6" t="str" cm="1">
        <f t="array" ref="M468">_xlfn.IFS(L468&lt;100,"Economy",L468&lt;200,"Standard",L468&lt;350,"Powerful",L468&lt;500,"High Performance",L468&lt;800,"Sports Performance",L468&gt;=800,"Super Performance")</f>
        <v>Powerful</v>
      </c>
    </row>
    <row r="469" spans="1:13" x14ac:dyDescent="0.25">
      <c r="A469" s="5" t="s">
        <v>63</v>
      </c>
      <c r="B469" s="3" t="s">
        <v>109</v>
      </c>
      <c r="C469" s="3" t="s">
        <v>111</v>
      </c>
      <c r="D469" s="4">
        <v>1560000</v>
      </c>
      <c r="E469" s="3">
        <v>1368</v>
      </c>
      <c r="F469" s="3">
        <v>6</v>
      </c>
      <c r="G469" s="3" t="s">
        <v>10</v>
      </c>
      <c r="H469" s="3" t="s">
        <v>66</v>
      </c>
      <c r="I469" s="3">
        <v>5</v>
      </c>
      <c r="J469" s="3" t="s">
        <v>12</v>
      </c>
      <c r="K469" s="18">
        <v>162</v>
      </c>
      <c r="L469" s="16">
        <v>250</v>
      </c>
      <c r="M469" s="6" t="str" cm="1">
        <f t="array" ref="M469">_xlfn.IFS(L469&lt;100,"Economy",L469&lt;200,"Standard",L469&lt;350,"Powerful",L469&lt;500,"High Performance",L469&lt;800,"Sports Performance",L469&gt;=800,"Super Performance")</f>
        <v>Powerful</v>
      </c>
    </row>
    <row r="470" spans="1:13" x14ac:dyDescent="0.25">
      <c r="A470" s="5" t="s">
        <v>63</v>
      </c>
      <c r="B470" s="3" t="s">
        <v>109</v>
      </c>
      <c r="C470" s="3" t="s">
        <v>112</v>
      </c>
      <c r="D470" s="4">
        <v>2055000</v>
      </c>
      <c r="E470" s="3">
        <v>1368</v>
      </c>
      <c r="F470" s="3">
        <v>6</v>
      </c>
      <c r="G470" s="3" t="s">
        <v>10</v>
      </c>
      <c r="H470" s="3" t="s">
        <v>66</v>
      </c>
      <c r="I470" s="3">
        <v>5</v>
      </c>
      <c r="J470" s="3" t="s">
        <v>30</v>
      </c>
      <c r="K470" s="18">
        <v>162</v>
      </c>
      <c r="L470" s="16">
        <v>250</v>
      </c>
      <c r="M470" s="6" t="str" cm="1">
        <f t="array" ref="M470">_xlfn.IFS(L470&lt;100,"Economy",L470&lt;200,"Standard",L470&lt;350,"Powerful",L470&lt;500,"High Performance",L470&lt;800,"Sports Performance",L470&gt;=800,"Super Performance")</f>
        <v>Powerful</v>
      </c>
    </row>
    <row r="471" spans="1:13" x14ac:dyDescent="0.25">
      <c r="A471" s="5" t="s">
        <v>63</v>
      </c>
      <c r="B471" s="3" t="s">
        <v>109</v>
      </c>
      <c r="C471" s="3" t="s">
        <v>120</v>
      </c>
      <c r="D471" s="4">
        <v>2167000</v>
      </c>
      <c r="E471" s="3">
        <v>1368</v>
      </c>
      <c r="F471" s="3">
        <v>6</v>
      </c>
      <c r="G471" s="3" t="s">
        <v>10</v>
      </c>
      <c r="H471" s="3" t="s">
        <v>66</v>
      </c>
      <c r="I471" s="3">
        <v>5</v>
      </c>
      <c r="J471" s="3" t="s">
        <v>30</v>
      </c>
      <c r="K471" s="18">
        <v>162</v>
      </c>
      <c r="L471" s="16">
        <v>250</v>
      </c>
      <c r="M471" s="6" t="str" cm="1">
        <f t="array" ref="M471">_xlfn.IFS(L471&lt;100,"Economy",L471&lt;200,"Standard",L471&lt;350,"Powerful",L471&lt;500,"High Performance",L471&lt;800,"Sports Performance",L471&gt;=800,"Super Performance")</f>
        <v>Powerful</v>
      </c>
    </row>
    <row r="472" spans="1:13" x14ac:dyDescent="0.25">
      <c r="A472" s="5" t="s">
        <v>63</v>
      </c>
      <c r="B472" s="3" t="s">
        <v>109</v>
      </c>
      <c r="C472" s="3" t="s">
        <v>124</v>
      </c>
      <c r="D472" s="4">
        <v>1599000</v>
      </c>
      <c r="E472" s="3">
        <v>1368</v>
      </c>
      <c r="F472" s="3">
        <v>6</v>
      </c>
      <c r="G472" s="3" t="s">
        <v>10</v>
      </c>
      <c r="H472" s="3" t="s">
        <v>66</v>
      </c>
      <c r="I472" s="3">
        <v>5</v>
      </c>
      <c r="J472" s="3" t="s">
        <v>12</v>
      </c>
      <c r="K472" s="18">
        <v>162</v>
      </c>
      <c r="L472" s="16">
        <v>250</v>
      </c>
      <c r="M472" s="6" t="str" cm="1">
        <f t="array" ref="M472">_xlfn.IFS(L472&lt;100,"Economy",L472&lt;200,"Standard",L472&lt;350,"Powerful",L472&lt;500,"High Performance",L472&lt;800,"Sports Performance",L472&gt;=800,"Super Performance")</f>
        <v>Powerful</v>
      </c>
    </row>
    <row r="473" spans="1:13" x14ac:dyDescent="0.25">
      <c r="A473" s="5" t="s">
        <v>63</v>
      </c>
      <c r="B473" s="3" t="s">
        <v>109</v>
      </c>
      <c r="C473" s="3" t="s">
        <v>125</v>
      </c>
      <c r="D473" s="4">
        <v>1900000</v>
      </c>
      <c r="E473" s="3">
        <v>1368</v>
      </c>
      <c r="F473" s="3">
        <v>6</v>
      </c>
      <c r="G473" s="3" t="s">
        <v>10</v>
      </c>
      <c r="H473" s="3" t="s">
        <v>66</v>
      </c>
      <c r="I473" s="3">
        <v>5</v>
      </c>
      <c r="J473" s="3" t="s">
        <v>30</v>
      </c>
      <c r="K473" s="18">
        <v>163</v>
      </c>
      <c r="L473" s="16">
        <v>250</v>
      </c>
      <c r="M473" s="6" t="str" cm="1">
        <f t="array" ref="M473">_xlfn.IFS(L473&lt;100,"Economy",L473&lt;200,"Standard",L473&lt;350,"Powerful",L473&lt;500,"High Performance",L473&lt;800,"Sports Performance",L473&gt;=800,"Super Performance")</f>
        <v>Powerful</v>
      </c>
    </row>
    <row r="474" spans="1:13" x14ac:dyDescent="0.25">
      <c r="A474" s="5" t="s">
        <v>63</v>
      </c>
      <c r="B474" s="3" t="s">
        <v>109</v>
      </c>
      <c r="C474" s="3" t="s">
        <v>126</v>
      </c>
      <c r="D474" s="4">
        <v>2070000</v>
      </c>
      <c r="E474" s="3">
        <v>1368</v>
      </c>
      <c r="F474" s="3">
        <v>6</v>
      </c>
      <c r="G474" s="3" t="s">
        <v>10</v>
      </c>
      <c r="H474" s="3" t="s">
        <v>66</v>
      </c>
      <c r="I474" s="3">
        <v>5</v>
      </c>
      <c r="J474" s="3" t="s">
        <v>30</v>
      </c>
      <c r="K474" s="18">
        <v>162</v>
      </c>
      <c r="L474" s="16">
        <v>250</v>
      </c>
      <c r="M474" s="6" t="str" cm="1">
        <f t="array" ref="M474">_xlfn.IFS(L474&lt;100,"Economy",L474&lt;200,"Standard",L474&lt;350,"Powerful",L474&lt;500,"High Performance",L474&lt;800,"Sports Performance",L474&gt;=800,"Super Performance")</f>
        <v>Powerful</v>
      </c>
    </row>
    <row r="475" spans="1:13" x14ac:dyDescent="0.25">
      <c r="A475" s="5" t="s">
        <v>68</v>
      </c>
      <c r="B475" s="3" t="s">
        <v>403</v>
      </c>
      <c r="C475" s="3" t="s">
        <v>404</v>
      </c>
      <c r="D475" s="4">
        <v>5038000</v>
      </c>
      <c r="E475" s="3">
        <v>1395</v>
      </c>
      <c r="F475" s="3">
        <v>4</v>
      </c>
      <c r="G475" s="3" t="s">
        <v>10</v>
      </c>
      <c r="H475" s="3" t="s">
        <v>206</v>
      </c>
      <c r="I475" s="3">
        <v>4</v>
      </c>
      <c r="J475" s="3" t="s">
        <v>30</v>
      </c>
      <c r="K475" s="18">
        <v>148</v>
      </c>
      <c r="L475" s="16">
        <v>250</v>
      </c>
      <c r="M475" s="6" t="str" cm="1">
        <f t="array" ref="M475">_xlfn.IFS(L475&lt;100,"Economy",L475&lt;200,"Standard",L475&lt;350,"Powerful",L475&lt;500,"High Performance",L475&lt;800,"Sports Performance",L475&gt;=800,"Super Performance")</f>
        <v>Powerful</v>
      </c>
    </row>
    <row r="476" spans="1:13" x14ac:dyDescent="0.25">
      <c r="A476" s="5" t="s">
        <v>68</v>
      </c>
      <c r="B476" s="3" t="s">
        <v>474</v>
      </c>
      <c r="C476" s="3" t="s">
        <v>475</v>
      </c>
      <c r="D476" s="4">
        <v>2920750</v>
      </c>
      <c r="E476" s="3">
        <v>1395</v>
      </c>
      <c r="F476" s="3">
        <v>4</v>
      </c>
      <c r="G476" s="3" t="s">
        <v>10</v>
      </c>
      <c r="H476" s="3" t="s">
        <v>27</v>
      </c>
      <c r="I476" s="3">
        <v>5</v>
      </c>
      <c r="J476" s="3" t="s">
        <v>30</v>
      </c>
      <c r="K476" s="18">
        <v>150</v>
      </c>
      <c r="L476" s="16">
        <v>250</v>
      </c>
      <c r="M476" s="6" t="str" cm="1">
        <f t="array" ref="M476">_xlfn.IFS(L476&lt;100,"Economy",L476&lt;200,"Standard",L476&lt;350,"Powerful",L476&lt;500,"High Performance",L476&lt;800,"Sports Performance",L476&gt;=800,"Super Performance")</f>
        <v>Powerful</v>
      </c>
    </row>
    <row r="477" spans="1:13" x14ac:dyDescent="0.25">
      <c r="A477" s="5" t="s">
        <v>68</v>
      </c>
      <c r="B477" s="3" t="s">
        <v>474</v>
      </c>
      <c r="C477" s="3" t="s">
        <v>476</v>
      </c>
      <c r="D477" s="4">
        <v>3120750</v>
      </c>
      <c r="E477" s="3">
        <v>1395</v>
      </c>
      <c r="F477" s="3">
        <v>4</v>
      </c>
      <c r="G477" s="3" t="s">
        <v>10</v>
      </c>
      <c r="H477" s="3" t="s">
        <v>27</v>
      </c>
      <c r="I477" s="3">
        <v>5</v>
      </c>
      <c r="J477" s="3" t="s">
        <v>30</v>
      </c>
      <c r="K477" s="18">
        <v>150</v>
      </c>
      <c r="L477" s="16">
        <v>250</v>
      </c>
      <c r="M477" s="6" t="str" cm="1">
        <f t="array" ref="M477">_xlfn.IFS(L477&lt;100,"Economy",L477&lt;200,"Standard",L477&lt;350,"Powerful",L477&lt;500,"High Performance",L477&lt;800,"Sports Performance",L477&gt;=800,"Super Performance")</f>
        <v>Powerful</v>
      </c>
    </row>
    <row r="478" spans="1:13" x14ac:dyDescent="0.25">
      <c r="A478" s="5" t="s">
        <v>68</v>
      </c>
      <c r="B478" s="3" t="s">
        <v>477</v>
      </c>
      <c r="C478" s="3" t="s">
        <v>481</v>
      </c>
      <c r="D478" s="4">
        <v>3496750</v>
      </c>
      <c r="E478" s="3">
        <v>1395</v>
      </c>
      <c r="F478" s="3">
        <v>4</v>
      </c>
      <c r="G478" s="3" t="s">
        <v>10</v>
      </c>
      <c r="H478" s="3" t="s">
        <v>66</v>
      </c>
      <c r="I478" s="3">
        <v>5</v>
      </c>
      <c r="J478" s="3" t="s">
        <v>30</v>
      </c>
      <c r="K478" s="18">
        <v>150</v>
      </c>
      <c r="L478" s="16">
        <v>250</v>
      </c>
      <c r="M478" s="6" t="str" cm="1">
        <f t="array" ref="M478">_xlfn.IFS(L478&lt;100,"Economy",L478&lt;200,"Standard",L478&lt;350,"Powerful",L478&lt;500,"High Performance",L478&lt;800,"Sports Performance",L478&gt;=800,"Super Performance")</f>
        <v>Powerful</v>
      </c>
    </row>
    <row r="479" spans="1:13" x14ac:dyDescent="0.25">
      <c r="A479" s="5" t="s">
        <v>239</v>
      </c>
      <c r="B479" s="3" t="s">
        <v>669</v>
      </c>
      <c r="C479" s="3" t="s">
        <v>674</v>
      </c>
      <c r="D479" s="4">
        <v>1034000</v>
      </c>
      <c r="E479" s="3">
        <v>1493</v>
      </c>
      <c r="F479" s="3">
        <v>0</v>
      </c>
      <c r="G479" s="3" t="s">
        <v>36</v>
      </c>
      <c r="H479" s="3" t="s">
        <v>66</v>
      </c>
      <c r="I479" s="3">
        <v>5</v>
      </c>
      <c r="J479" s="3" t="s">
        <v>12</v>
      </c>
      <c r="K479" s="18">
        <v>114</v>
      </c>
      <c r="L479" s="16">
        <v>250</v>
      </c>
      <c r="M479" s="6" t="str" cm="1">
        <f t="array" ref="M479">_xlfn.IFS(L479&lt;100,"Economy",L479&lt;200,"Standard",L479&lt;350,"Powerful",L479&lt;500,"High Performance",L479&lt;800,"Sports Performance",L479&gt;=800,"Super Performance")</f>
        <v>Powerful</v>
      </c>
    </row>
    <row r="480" spans="1:13" x14ac:dyDescent="0.25">
      <c r="A480" s="5" t="s">
        <v>239</v>
      </c>
      <c r="B480" s="3" t="s">
        <v>669</v>
      </c>
      <c r="C480" s="3" t="s">
        <v>675</v>
      </c>
      <c r="D480" s="4">
        <v>1154000</v>
      </c>
      <c r="E480" s="3">
        <v>1493</v>
      </c>
      <c r="F480" s="3">
        <v>0</v>
      </c>
      <c r="G480" s="3" t="s">
        <v>36</v>
      </c>
      <c r="H480" s="3" t="s">
        <v>66</v>
      </c>
      <c r="I480" s="3">
        <v>5</v>
      </c>
      <c r="J480" s="3" t="s">
        <v>12</v>
      </c>
      <c r="K480" s="18">
        <v>115</v>
      </c>
      <c r="L480" s="16">
        <v>250</v>
      </c>
      <c r="M480" s="6" t="str" cm="1">
        <f t="array" ref="M480">_xlfn.IFS(L480&lt;100,"Economy",L480&lt;200,"Standard",L480&lt;350,"Powerful",L480&lt;500,"High Performance",L480&lt;800,"Sports Performance",L480&gt;=800,"Super Performance")</f>
        <v>Powerful</v>
      </c>
    </row>
    <row r="481" spans="1:13" x14ac:dyDescent="0.25">
      <c r="A481" s="5" t="s">
        <v>239</v>
      </c>
      <c r="B481" s="3" t="s">
        <v>669</v>
      </c>
      <c r="C481" s="3" t="s">
        <v>676</v>
      </c>
      <c r="D481" s="4">
        <v>1254000</v>
      </c>
      <c r="E481" s="3">
        <v>1493</v>
      </c>
      <c r="F481" s="3">
        <v>0</v>
      </c>
      <c r="G481" s="3" t="s">
        <v>36</v>
      </c>
      <c r="H481" s="3" t="s">
        <v>66</v>
      </c>
      <c r="I481" s="3">
        <v>5</v>
      </c>
      <c r="J481" s="3" t="s">
        <v>12</v>
      </c>
      <c r="K481" s="18">
        <v>115</v>
      </c>
      <c r="L481" s="16">
        <v>250</v>
      </c>
      <c r="M481" s="6" t="str" cm="1">
        <f t="array" ref="M481">_xlfn.IFS(L481&lt;100,"Economy",L481&lt;200,"Standard",L481&lt;350,"Powerful",L481&lt;500,"High Performance",L481&lt;800,"Sports Performance",L481&gt;=800,"Super Performance")</f>
        <v>Powerful</v>
      </c>
    </row>
    <row r="482" spans="1:13" x14ac:dyDescent="0.25">
      <c r="A482" s="5" t="s">
        <v>239</v>
      </c>
      <c r="B482" s="3" t="s">
        <v>669</v>
      </c>
      <c r="C482" s="3" t="s">
        <v>677</v>
      </c>
      <c r="D482" s="4">
        <v>1354000</v>
      </c>
      <c r="E482" s="3">
        <v>1493</v>
      </c>
      <c r="F482" s="3">
        <v>0</v>
      </c>
      <c r="G482" s="3" t="s">
        <v>36</v>
      </c>
      <c r="H482" s="3" t="s">
        <v>66</v>
      </c>
      <c r="I482" s="3">
        <v>5</v>
      </c>
      <c r="J482" s="3" t="s">
        <v>30</v>
      </c>
      <c r="K482" s="18">
        <v>115</v>
      </c>
      <c r="L482" s="16">
        <v>250</v>
      </c>
      <c r="M482" s="6" t="str" cm="1">
        <f t="array" ref="M482">_xlfn.IFS(L482&lt;100,"Economy",L482&lt;200,"Standard",L482&lt;350,"Powerful",L482&lt;500,"High Performance",L482&lt;800,"Sports Performance",L482&gt;=800,"Super Performance")</f>
        <v>Powerful</v>
      </c>
    </row>
    <row r="483" spans="1:13" x14ac:dyDescent="0.25">
      <c r="A483" s="5" t="s">
        <v>239</v>
      </c>
      <c r="B483" s="3" t="s">
        <v>669</v>
      </c>
      <c r="C483" s="3" t="s">
        <v>678</v>
      </c>
      <c r="D483" s="4">
        <v>1534000</v>
      </c>
      <c r="E483" s="3">
        <v>1493</v>
      </c>
      <c r="F483" s="3">
        <v>0</v>
      </c>
      <c r="G483" s="3" t="s">
        <v>36</v>
      </c>
      <c r="H483" s="3" t="s">
        <v>66</v>
      </c>
      <c r="I483" s="3">
        <v>5</v>
      </c>
      <c r="J483" s="3" t="s">
        <v>12</v>
      </c>
      <c r="K483" s="18">
        <v>115</v>
      </c>
      <c r="L483" s="16">
        <v>250</v>
      </c>
      <c r="M483" s="6" t="str" cm="1">
        <f t="array" ref="M483">_xlfn.IFS(L483&lt;100,"Economy",L483&lt;200,"Standard",L483&lt;350,"Powerful",L483&lt;500,"High Performance",L483&lt;800,"Sports Performance",L483&gt;=800,"Super Performance")</f>
        <v>Powerful</v>
      </c>
    </row>
    <row r="484" spans="1:13" x14ac:dyDescent="0.25">
      <c r="A484" s="5" t="s">
        <v>239</v>
      </c>
      <c r="B484" s="3" t="s">
        <v>669</v>
      </c>
      <c r="C484" s="3" t="s">
        <v>679</v>
      </c>
      <c r="D484" s="4">
        <v>1634000</v>
      </c>
      <c r="E484" s="3">
        <v>1493</v>
      </c>
      <c r="F484" s="3">
        <v>0</v>
      </c>
      <c r="G484" s="3" t="s">
        <v>36</v>
      </c>
      <c r="H484" s="3" t="s">
        <v>66</v>
      </c>
      <c r="I484" s="3">
        <v>5</v>
      </c>
      <c r="J484" s="3" t="s">
        <v>30</v>
      </c>
      <c r="K484" s="18">
        <v>115</v>
      </c>
      <c r="L484" s="16">
        <v>250</v>
      </c>
      <c r="M484" s="6" t="str" cm="1">
        <f t="array" ref="M484">_xlfn.IFS(L484&lt;100,"Economy",L484&lt;200,"Standard",L484&lt;350,"Powerful",L484&lt;500,"High Performance",L484&lt;800,"Sports Performance",L484&gt;=800,"Super Performance")</f>
        <v>Powerful</v>
      </c>
    </row>
    <row r="485" spans="1:13" x14ac:dyDescent="0.25">
      <c r="A485" s="5" t="s">
        <v>239</v>
      </c>
      <c r="B485" s="3" t="s">
        <v>669</v>
      </c>
      <c r="C485" s="3" t="s">
        <v>680</v>
      </c>
      <c r="D485" s="4">
        <v>1414000</v>
      </c>
      <c r="E485" s="3">
        <v>1493</v>
      </c>
      <c r="F485" s="3">
        <v>0</v>
      </c>
      <c r="G485" s="3" t="s">
        <v>36</v>
      </c>
      <c r="H485" s="3" t="s">
        <v>66</v>
      </c>
      <c r="I485" s="3">
        <v>5</v>
      </c>
      <c r="J485" s="3" t="s">
        <v>12</v>
      </c>
      <c r="K485" s="18">
        <v>115</v>
      </c>
      <c r="L485" s="16">
        <v>250</v>
      </c>
      <c r="M485" s="6" t="str" cm="1">
        <f t="array" ref="M485">_xlfn.IFS(L485&lt;100,"Economy",L485&lt;200,"Standard",L485&lt;350,"Powerful",L485&lt;500,"High Performance",L485&lt;800,"Sports Performance",L485&gt;=800,"Super Performance")</f>
        <v>Powerful</v>
      </c>
    </row>
    <row r="486" spans="1:13" x14ac:dyDescent="0.25">
      <c r="A486" s="5" t="s">
        <v>160</v>
      </c>
      <c r="B486" s="3" t="s">
        <v>484</v>
      </c>
      <c r="C486" s="3" t="s">
        <v>748</v>
      </c>
      <c r="D486" s="4">
        <v>958500</v>
      </c>
      <c r="E486" s="3">
        <v>1498</v>
      </c>
      <c r="F486" s="3">
        <v>4</v>
      </c>
      <c r="G486" s="3" t="s">
        <v>36</v>
      </c>
      <c r="H486" s="3" t="s">
        <v>27</v>
      </c>
      <c r="I486" s="3">
        <v>5</v>
      </c>
      <c r="J486" s="3" t="s">
        <v>12</v>
      </c>
      <c r="K486" s="18">
        <v>105</v>
      </c>
      <c r="L486" s="16">
        <v>250</v>
      </c>
      <c r="M486" s="6" t="str" cm="1">
        <f t="array" ref="M486">_xlfn.IFS(L486&lt;100,"Economy",L486&lt;200,"Standard",L486&lt;350,"Powerful",L486&lt;500,"High Performance",L486&lt;800,"Sports Performance",L486&gt;=800,"Super Performance")</f>
        <v>Powerful</v>
      </c>
    </row>
    <row r="487" spans="1:13" x14ac:dyDescent="0.25">
      <c r="A487" s="5" t="s">
        <v>160</v>
      </c>
      <c r="B487" s="3" t="s">
        <v>484</v>
      </c>
      <c r="C487" s="3" t="s">
        <v>749</v>
      </c>
      <c r="D487" s="4">
        <v>999900</v>
      </c>
      <c r="E487" s="3">
        <v>1498</v>
      </c>
      <c r="F487" s="3">
        <v>4</v>
      </c>
      <c r="G487" s="3" t="s">
        <v>36</v>
      </c>
      <c r="H487" s="3" t="s">
        <v>27</v>
      </c>
      <c r="I487" s="3">
        <v>5</v>
      </c>
      <c r="J487" s="3" t="s">
        <v>12</v>
      </c>
      <c r="K487" s="18">
        <v>105</v>
      </c>
      <c r="L487" s="16">
        <v>250</v>
      </c>
      <c r="M487" s="6" t="str" cm="1">
        <f t="array" ref="M487">_xlfn.IFS(L487&lt;100,"Economy",L487&lt;200,"Standard",L487&lt;350,"Powerful",L487&lt;500,"High Performance",L487&lt;800,"Sports Performance",L487&gt;=800,"Super Performance")</f>
        <v>Powerful</v>
      </c>
    </row>
    <row r="488" spans="1:13" x14ac:dyDescent="0.25">
      <c r="A488" s="5" t="s">
        <v>160</v>
      </c>
      <c r="B488" s="3" t="s">
        <v>484</v>
      </c>
      <c r="C488" s="3" t="s">
        <v>750</v>
      </c>
      <c r="D488" s="4">
        <v>1210500</v>
      </c>
      <c r="E488" s="3">
        <v>1498</v>
      </c>
      <c r="F488" s="3">
        <v>4</v>
      </c>
      <c r="G488" s="3" t="s">
        <v>36</v>
      </c>
      <c r="H488" s="3" t="s">
        <v>27</v>
      </c>
      <c r="I488" s="3">
        <v>5</v>
      </c>
      <c r="J488" s="3" t="s">
        <v>12</v>
      </c>
      <c r="K488" s="18">
        <v>105</v>
      </c>
      <c r="L488" s="16">
        <v>250</v>
      </c>
      <c r="M488" s="6" t="str" cm="1">
        <f t="array" ref="M488">_xlfn.IFS(L488&lt;100,"Economy",L488&lt;200,"Standard",L488&lt;350,"Powerful",L488&lt;500,"High Performance",L488&lt;800,"Sports Performance",L488&gt;=800,"Super Performance")</f>
        <v>Powerful</v>
      </c>
    </row>
    <row r="489" spans="1:13" x14ac:dyDescent="0.25">
      <c r="A489" s="5" t="s">
        <v>160</v>
      </c>
      <c r="B489" s="3" t="s">
        <v>484</v>
      </c>
      <c r="C489" s="3" t="s">
        <v>751</v>
      </c>
      <c r="D489" s="4">
        <v>1336500</v>
      </c>
      <c r="E489" s="3">
        <v>1498</v>
      </c>
      <c r="F489" s="3">
        <v>4</v>
      </c>
      <c r="G489" s="3" t="s">
        <v>36</v>
      </c>
      <c r="H489" s="3" t="s">
        <v>27</v>
      </c>
      <c r="I489" s="3">
        <v>5</v>
      </c>
      <c r="J489" s="3" t="s">
        <v>30</v>
      </c>
      <c r="K489" s="18">
        <v>105</v>
      </c>
      <c r="L489" s="16">
        <v>250</v>
      </c>
      <c r="M489" s="6" t="str" cm="1">
        <f t="array" ref="M489">_xlfn.IFS(L489&lt;100,"Economy",L489&lt;200,"Standard",L489&lt;350,"Powerful",L489&lt;500,"High Performance",L489&lt;800,"Sports Performance",L489&gt;=800,"Super Performance")</f>
        <v>Powerful</v>
      </c>
    </row>
    <row r="490" spans="1:13" x14ac:dyDescent="0.25">
      <c r="A490" s="5" t="s">
        <v>160</v>
      </c>
      <c r="B490" s="3" t="s">
        <v>484</v>
      </c>
      <c r="C490" s="3" t="s">
        <v>752</v>
      </c>
      <c r="D490" s="4">
        <v>1317500</v>
      </c>
      <c r="E490" s="3">
        <v>1498</v>
      </c>
      <c r="F490" s="3">
        <v>4</v>
      </c>
      <c r="G490" s="3" t="s">
        <v>36</v>
      </c>
      <c r="H490" s="3" t="s">
        <v>27</v>
      </c>
      <c r="I490" s="3">
        <v>5</v>
      </c>
      <c r="J490" s="3" t="s">
        <v>30</v>
      </c>
      <c r="K490" s="18">
        <v>105</v>
      </c>
      <c r="L490" s="16">
        <v>250</v>
      </c>
      <c r="M490" s="6" t="str" cm="1">
        <f t="array" ref="M490">_xlfn.IFS(L490&lt;100,"Economy",L490&lt;200,"Standard",L490&lt;350,"Powerful",L490&lt;500,"High Performance",L490&lt;800,"Sports Performance",L490&gt;=800,"Super Performance")</f>
        <v>Powerful</v>
      </c>
    </row>
    <row r="491" spans="1:13" x14ac:dyDescent="0.25">
      <c r="A491" s="5" t="s">
        <v>138</v>
      </c>
      <c r="B491" s="3" t="s">
        <v>775</v>
      </c>
      <c r="C491" s="3" t="s">
        <v>776</v>
      </c>
      <c r="D491" s="4">
        <v>1248000</v>
      </c>
      <c r="E491" s="3">
        <v>1500</v>
      </c>
      <c r="F491" s="3">
        <v>4</v>
      </c>
      <c r="G491" s="3" t="s">
        <v>10</v>
      </c>
      <c r="H491" s="3" t="s">
        <v>66</v>
      </c>
      <c r="I491" s="3">
        <v>5</v>
      </c>
      <c r="J491" s="3" t="s">
        <v>12</v>
      </c>
      <c r="K491" s="18">
        <v>141</v>
      </c>
      <c r="L491" s="16">
        <v>250</v>
      </c>
      <c r="M491" s="6" t="str" cm="1">
        <f t="array" ref="M491">_xlfn.IFS(L491&lt;100,"Economy",L491&lt;200,"Standard",L491&lt;350,"Powerful",L491&lt;500,"High Performance",L491&lt;800,"Sports Performance",L491&gt;=800,"Super Performance")</f>
        <v>Powerful</v>
      </c>
    </row>
    <row r="492" spans="1:13" x14ac:dyDescent="0.25">
      <c r="A492" s="5" t="s">
        <v>138</v>
      </c>
      <c r="B492" s="3" t="s">
        <v>775</v>
      </c>
      <c r="C492" s="3" t="s">
        <v>781</v>
      </c>
      <c r="D492" s="4">
        <v>1328000</v>
      </c>
      <c r="E492" s="3">
        <v>1500</v>
      </c>
      <c r="F492" s="3">
        <v>4</v>
      </c>
      <c r="G492" s="3" t="s">
        <v>10</v>
      </c>
      <c r="H492" s="3" t="s">
        <v>66</v>
      </c>
      <c r="I492" s="3">
        <v>5</v>
      </c>
      <c r="J492" s="3" t="s">
        <v>12</v>
      </c>
      <c r="K492" s="18">
        <v>141</v>
      </c>
      <c r="L492" s="16">
        <v>250</v>
      </c>
      <c r="M492" s="6" t="str" cm="1">
        <f t="array" ref="M492">_xlfn.IFS(L492&lt;100,"Economy",L492&lt;200,"Standard",L492&lt;350,"Powerful",L492&lt;500,"High Performance",L492&lt;800,"Sports Performance",L492&gt;=800,"Super Performance")</f>
        <v>Powerful</v>
      </c>
    </row>
    <row r="493" spans="1:13" x14ac:dyDescent="0.25">
      <c r="A493" s="5" t="s">
        <v>138</v>
      </c>
      <c r="B493" s="3" t="s">
        <v>775</v>
      </c>
      <c r="C493" s="3" t="s">
        <v>782</v>
      </c>
      <c r="D493" s="4">
        <v>1388000</v>
      </c>
      <c r="E493" s="3">
        <v>1500</v>
      </c>
      <c r="F493" s="3">
        <v>4</v>
      </c>
      <c r="G493" s="3" t="s">
        <v>194</v>
      </c>
      <c r="H493" s="3" t="s">
        <v>66</v>
      </c>
      <c r="I493" s="3">
        <v>5</v>
      </c>
      <c r="J493" s="3" t="s">
        <v>12</v>
      </c>
      <c r="K493" s="18">
        <v>141</v>
      </c>
      <c r="L493" s="16">
        <v>250</v>
      </c>
      <c r="M493" s="6" t="str" cm="1">
        <f t="array" ref="M493">_xlfn.IFS(L493&lt;100,"Economy",L493&lt;200,"Standard",L493&lt;350,"Powerful",L493&lt;500,"High Performance",L493&lt;800,"Sports Performance",L493&gt;=800,"Super Performance")</f>
        <v>Powerful</v>
      </c>
    </row>
    <row r="494" spans="1:13" x14ac:dyDescent="0.25">
      <c r="A494" s="5" t="s">
        <v>138</v>
      </c>
      <c r="B494" s="3" t="s">
        <v>775</v>
      </c>
      <c r="C494" s="3" t="s">
        <v>783</v>
      </c>
      <c r="D494" s="4">
        <v>1628000</v>
      </c>
      <c r="E494" s="3">
        <v>1500</v>
      </c>
      <c r="F494" s="3">
        <v>4</v>
      </c>
      <c r="G494" s="3" t="s">
        <v>194</v>
      </c>
      <c r="H494" s="3" t="s">
        <v>66</v>
      </c>
      <c r="I494" s="3">
        <v>5</v>
      </c>
      <c r="J494" s="3" t="s">
        <v>12</v>
      </c>
      <c r="K494" s="18">
        <v>141</v>
      </c>
      <c r="L494" s="16">
        <v>250</v>
      </c>
      <c r="M494" s="6" t="str" cm="1">
        <f t="array" ref="M494">_xlfn.IFS(L494&lt;100,"Economy",L494&lt;200,"Standard",L494&lt;350,"Powerful",L494&lt;500,"High Performance",L494&lt;800,"Sports Performance",L494&gt;=800,"Super Performance")</f>
        <v>Powerful</v>
      </c>
    </row>
    <row r="495" spans="1:13" x14ac:dyDescent="0.25">
      <c r="A495" s="5" t="s">
        <v>138</v>
      </c>
      <c r="B495" s="3" t="s">
        <v>775</v>
      </c>
      <c r="C495" s="3" t="s">
        <v>784</v>
      </c>
      <c r="D495" s="4">
        <v>1498000</v>
      </c>
      <c r="E495" s="3">
        <v>1500</v>
      </c>
      <c r="F495" s="3">
        <v>4</v>
      </c>
      <c r="G495" s="3" t="s">
        <v>194</v>
      </c>
      <c r="H495" s="3" t="s">
        <v>66</v>
      </c>
      <c r="I495" s="3">
        <v>5</v>
      </c>
      <c r="J495" s="3" t="s">
        <v>12</v>
      </c>
      <c r="K495" s="18">
        <v>141</v>
      </c>
      <c r="L495" s="16">
        <v>250</v>
      </c>
      <c r="M495" s="6" t="str" cm="1">
        <f t="array" ref="M495">_xlfn.IFS(L495&lt;100,"Economy",L495&lt;200,"Standard",L495&lt;350,"Powerful",L495&lt;500,"High Performance",L495&lt;800,"Sports Performance",L495&gt;=800,"Super Performance")</f>
        <v>Powerful</v>
      </c>
    </row>
    <row r="496" spans="1:13" x14ac:dyDescent="0.25">
      <c r="A496" s="5" t="s">
        <v>138</v>
      </c>
      <c r="B496" s="3" t="s">
        <v>775</v>
      </c>
      <c r="C496" s="3" t="s">
        <v>785</v>
      </c>
      <c r="D496" s="4">
        <v>1568000</v>
      </c>
      <c r="E496" s="3">
        <v>1500</v>
      </c>
      <c r="F496" s="3">
        <v>4</v>
      </c>
      <c r="G496" s="3" t="s">
        <v>10</v>
      </c>
      <c r="H496" s="3" t="s">
        <v>66</v>
      </c>
      <c r="I496" s="3">
        <v>5</v>
      </c>
      <c r="J496" s="3" t="s">
        <v>71</v>
      </c>
      <c r="K496" s="18">
        <v>141</v>
      </c>
      <c r="L496" s="16">
        <v>250</v>
      </c>
      <c r="M496" s="6" t="str" cm="1">
        <f t="array" ref="M496">_xlfn.IFS(L496&lt;100,"Economy",L496&lt;200,"Standard",L496&lt;350,"Powerful",L496&lt;500,"High Performance",L496&lt;800,"Sports Performance",L496&gt;=800,"Super Performance")</f>
        <v>Powerful</v>
      </c>
    </row>
    <row r="497" spans="1:13" x14ac:dyDescent="0.25">
      <c r="A497" s="5" t="s">
        <v>138</v>
      </c>
      <c r="B497" s="3" t="s">
        <v>775</v>
      </c>
      <c r="C497" s="3" t="s">
        <v>786</v>
      </c>
      <c r="D497" s="4">
        <v>1718000</v>
      </c>
      <c r="E497" s="3">
        <v>1500</v>
      </c>
      <c r="F497" s="3">
        <v>4</v>
      </c>
      <c r="G497" s="3" t="s">
        <v>10</v>
      </c>
      <c r="H497" s="3" t="s">
        <v>66</v>
      </c>
      <c r="I497" s="3">
        <v>5</v>
      </c>
      <c r="J497" s="3" t="s">
        <v>71</v>
      </c>
      <c r="K497" s="18">
        <v>141</v>
      </c>
      <c r="L497" s="16">
        <v>250</v>
      </c>
      <c r="M497" s="6" t="str" cm="1">
        <f t="array" ref="M497">_xlfn.IFS(L497&lt;100,"Economy",L497&lt;200,"Standard",L497&lt;350,"Powerful",L497&lt;500,"High Performance",L497&lt;800,"Sports Performance",L497&gt;=800,"Super Performance")</f>
        <v>Powerful</v>
      </c>
    </row>
    <row r="498" spans="1:13" x14ac:dyDescent="0.25">
      <c r="A498" s="5" t="s">
        <v>572</v>
      </c>
      <c r="B498" s="3" t="s">
        <v>823</v>
      </c>
      <c r="C498" s="3" t="s">
        <v>824</v>
      </c>
      <c r="D498" s="4">
        <v>1599599</v>
      </c>
      <c r="E498" s="3">
        <v>1395</v>
      </c>
      <c r="F498" s="3">
        <v>4</v>
      </c>
      <c r="G498" s="3" t="s">
        <v>10</v>
      </c>
      <c r="H498" s="3" t="s">
        <v>27</v>
      </c>
      <c r="I498" s="3">
        <v>5</v>
      </c>
      <c r="J498" s="3" t="s">
        <v>12</v>
      </c>
      <c r="K498" s="18">
        <v>140</v>
      </c>
      <c r="L498" s="16">
        <v>250</v>
      </c>
      <c r="M498" s="6" t="str" cm="1">
        <f t="array" ref="M498">_xlfn.IFS(L498&lt;100,"Economy",L498&lt;200,"Standard",L498&lt;350,"Powerful",L498&lt;500,"High Performance",L498&lt;800,"Sports Performance",L498&gt;=800,"Super Performance")</f>
        <v>Powerful</v>
      </c>
    </row>
    <row r="499" spans="1:13" x14ac:dyDescent="0.25">
      <c r="A499" s="5" t="s">
        <v>572</v>
      </c>
      <c r="B499" s="3" t="s">
        <v>823</v>
      </c>
      <c r="C499" s="3" t="s">
        <v>830</v>
      </c>
      <c r="D499" s="4">
        <v>1999599</v>
      </c>
      <c r="E499" s="3">
        <v>1798</v>
      </c>
      <c r="F499" s="3">
        <v>4</v>
      </c>
      <c r="G499" s="3" t="s">
        <v>10</v>
      </c>
      <c r="H499" s="3" t="s">
        <v>27</v>
      </c>
      <c r="I499" s="3">
        <v>5</v>
      </c>
      <c r="J499" s="3" t="s">
        <v>30</v>
      </c>
      <c r="K499" s="18">
        <v>180</v>
      </c>
      <c r="L499" s="16">
        <v>250</v>
      </c>
      <c r="M499" s="6" t="str" cm="1">
        <f t="array" ref="M499">_xlfn.IFS(L499&lt;100,"Economy",L499&lt;200,"Standard",L499&lt;350,"Powerful",L499&lt;500,"High Performance",L499&lt;800,"Sports Performance",L499&gt;=800,"Super Performance")</f>
        <v>Powerful</v>
      </c>
    </row>
    <row r="500" spans="1:13" x14ac:dyDescent="0.25">
      <c r="A500" s="5" t="s">
        <v>572</v>
      </c>
      <c r="B500" s="3" t="s">
        <v>1190</v>
      </c>
      <c r="C500" s="3" t="s">
        <v>1192</v>
      </c>
      <c r="D500" s="4">
        <v>2899599</v>
      </c>
      <c r="E500" s="3">
        <v>1798</v>
      </c>
      <c r="F500" s="3">
        <v>4</v>
      </c>
      <c r="G500" s="3" t="s">
        <v>10</v>
      </c>
      <c r="H500" s="3" t="s">
        <v>27</v>
      </c>
      <c r="I500" s="3">
        <v>5</v>
      </c>
      <c r="J500" s="3" t="s">
        <v>30</v>
      </c>
      <c r="K500" s="18">
        <v>180</v>
      </c>
      <c r="L500" s="16">
        <v>250</v>
      </c>
      <c r="M500" s="6" t="str" cm="1">
        <f t="array" ref="M500">_xlfn.IFS(L500&lt;100,"Economy",L500&lt;200,"Standard",L500&lt;350,"Powerful",L500&lt;500,"High Performance",L500&lt;800,"Sports Performance",L500&gt;=800,"Super Performance")</f>
        <v>Powerful</v>
      </c>
    </row>
    <row r="501" spans="1:13" x14ac:dyDescent="0.25">
      <c r="A501" s="5" t="s">
        <v>572</v>
      </c>
      <c r="B501" s="3" t="s">
        <v>1244</v>
      </c>
      <c r="C501" s="3" t="s">
        <v>1245</v>
      </c>
      <c r="D501" s="4">
        <v>1425599</v>
      </c>
      <c r="E501" s="3">
        <v>1498</v>
      </c>
      <c r="F501" s="3">
        <v>4</v>
      </c>
      <c r="G501" s="3" t="s">
        <v>36</v>
      </c>
      <c r="H501" s="3" t="s">
        <v>27</v>
      </c>
      <c r="I501" s="3">
        <v>5</v>
      </c>
      <c r="J501" s="3" t="s">
        <v>30</v>
      </c>
      <c r="K501" s="18">
        <v>110</v>
      </c>
      <c r="L501" s="16">
        <v>250</v>
      </c>
      <c r="M501" s="6" t="str" cm="1">
        <f t="array" ref="M501">_xlfn.IFS(L501&lt;100,"Economy",L501&lt;200,"Standard",L501&lt;350,"Powerful",L501&lt;500,"High Performance",L501&lt;800,"Sports Performance",L501&gt;=800,"Super Performance")</f>
        <v>Powerful</v>
      </c>
    </row>
    <row r="502" spans="1:13" x14ac:dyDescent="0.25">
      <c r="A502" s="5" t="s">
        <v>572</v>
      </c>
      <c r="B502" s="3" t="s">
        <v>1244</v>
      </c>
      <c r="C502" s="3" t="s">
        <v>1249</v>
      </c>
      <c r="D502" s="4">
        <v>1299599</v>
      </c>
      <c r="E502" s="3">
        <v>1498</v>
      </c>
      <c r="F502" s="3">
        <v>4</v>
      </c>
      <c r="G502" s="3" t="s">
        <v>36</v>
      </c>
      <c r="H502" s="3" t="s">
        <v>27</v>
      </c>
      <c r="I502" s="3">
        <v>5</v>
      </c>
      <c r="J502" s="3" t="s">
        <v>12</v>
      </c>
      <c r="K502" s="18">
        <v>110</v>
      </c>
      <c r="L502" s="16">
        <v>250</v>
      </c>
      <c r="M502" s="6" t="str" cm="1">
        <f t="array" ref="M502">_xlfn.IFS(L502&lt;100,"Economy",L502&lt;200,"Standard",L502&lt;350,"Powerful",L502&lt;500,"High Performance",L502&lt;800,"Sports Performance",L502&gt;=800,"Super Performance")</f>
        <v>Powerful</v>
      </c>
    </row>
    <row r="503" spans="1:13" x14ac:dyDescent="0.25">
      <c r="A503" s="5" t="s">
        <v>572</v>
      </c>
      <c r="B503" s="3" t="s">
        <v>1253</v>
      </c>
      <c r="C503" s="3" t="s">
        <v>1256</v>
      </c>
      <c r="D503" s="4">
        <v>3099599</v>
      </c>
      <c r="E503" s="3">
        <v>1798</v>
      </c>
      <c r="F503" s="3">
        <v>4</v>
      </c>
      <c r="G503" s="3" t="s">
        <v>10</v>
      </c>
      <c r="H503" s="3" t="s">
        <v>27</v>
      </c>
      <c r="I503" s="3">
        <v>5</v>
      </c>
      <c r="J503" s="3" t="s">
        <v>30</v>
      </c>
      <c r="K503" s="18">
        <v>180</v>
      </c>
      <c r="L503" s="16">
        <v>250</v>
      </c>
      <c r="M503" s="6" t="str" cm="1">
        <f t="array" ref="M503">_xlfn.IFS(L503&lt;100,"Economy",L503&lt;200,"Standard",L503&lt;350,"Powerful",L503&lt;500,"High Performance",L503&lt;800,"Sports Performance",L503&gt;=800,"Super Performance")</f>
        <v>Powerful</v>
      </c>
    </row>
    <row r="504" spans="1:13" x14ac:dyDescent="0.25">
      <c r="A504" s="5" t="s">
        <v>572</v>
      </c>
      <c r="B504" s="3" t="s">
        <v>1253</v>
      </c>
      <c r="C504" s="3" t="s">
        <v>1259</v>
      </c>
      <c r="D504" s="4">
        <v>2779599</v>
      </c>
      <c r="E504" s="3">
        <v>1798</v>
      </c>
      <c r="F504" s="3">
        <v>4</v>
      </c>
      <c r="G504" s="3" t="s">
        <v>10</v>
      </c>
      <c r="H504" s="3" t="s">
        <v>27</v>
      </c>
      <c r="I504" s="3">
        <v>5</v>
      </c>
      <c r="J504" s="3" t="s">
        <v>30</v>
      </c>
      <c r="K504" s="18">
        <v>180</v>
      </c>
      <c r="L504" s="16">
        <v>250</v>
      </c>
      <c r="M504" s="6" t="str" cm="1">
        <f t="array" ref="M504">_xlfn.IFS(L504&lt;100,"Economy",L504&lt;200,"Standard",L504&lt;350,"Powerful",L504&lt;500,"High Performance",L504&lt;800,"Sports Performance",L504&gt;=800,"Super Performance")</f>
        <v>Powerful</v>
      </c>
    </row>
    <row r="505" spans="1:13" x14ac:dyDescent="0.25">
      <c r="A505" s="5" t="s">
        <v>572</v>
      </c>
      <c r="B505" s="3" t="s">
        <v>1253</v>
      </c>
      <c r="C505" s="3" t="s">
        <v>1262</v>
      </c>
      <c r="D505" s="4">
        <v>2599599</v>
      </c>
      <c r="E505" s="3">
        <v>1798</v>
      </c>
      <c r="F505" s="3">
        <v>4</v>
      </c>
      <c r="G505" s="3" t="s">
        <v>10</v>
      </c>
      <c r="H505" s="3" t="s">
        <v>27</v>
      </c>
      <c r="I505" s="3">
        <v>5</v>
      </c>
      <c r="J505" s="3" t="s">
        <v>30</v>
      </c>
      <c r="K505" s="18">
        <v>180</v>
      </c>
      <c r="L505" s="16">
        <v>250</v>
      </c>
      <c r="M505" s="6" t="str" cm="1">
        <f t="array" ref="M505">_xlfn.IFS(L505&lt;100,"Economy",L505&lt;200,"Standard",L505&lt;350,"Powerful",L505&lt;500,"High Performance",L505&lt;800,"Sports Performance",L505&gt;=800,"Super Performance")</f>
        <v>Powerful</v>
      </c>
    </row>
    <row r="506" spans="1:13" x14ac:dyDescent="0.25">
      <c r="A506" s="5" t="s">
        <v>572</v>
      </c>
      <c r="B506" s="3" t="s">
        <v>1295</v>
      </c>
      <c r="C506" s="3" t="s">
        <v>1296</v>
      </c>
      <c r="D506" s="4">
        <v>1006139</v>
      </c>
      <c r="E506" s="3">
        <v>1498</v>
      </c>
      <c r="F506" s="3">
        <v>4</v>
      </c>
      <c r="G506" s="3" t="s">
        <v>36</v>
      </c>
      <c r="H506" s="3" t="s">
        <v>27</v>
      </c>
      <c r="I506" s="3">
        <v>5</v>
      </c>
      <c r="J506" s="3" t="s">
        <v>12</v>
      </c>
      <c r="K506" s="18">
        <v>110</v>
      </c>
      <c r="L506" s="16">
        <v>250</v>
      </c>
      <c r="M506" s="6" t="str" cm="1">
        <f t="array" ref="M506">_xlfn.IFS(L506&lt;100,"Economy",L506&lt;200,"Standard",L506&lt;350,"Powerful",L506&lt;500,"High Performance",L506&lt;800,"Sports Performance",L506&gt;=800,"Super Performance")</f>
        <v>Powerful</v>
      </c>
    </row>
    <row r="507" spans="1:13" x14ac:dyDescent="0.25">
      <c r="A507" s="5" t="s">
        <v>572</v>
      </c>
      <c r="B507" s="3" t="s">
        <v>1295</v>
      </c>
      <c r="C507" s="3" t="s">
        <v>1301</v>
      </c>
      <c r="D507" s="4">
        <v>1249599</v>
      </c>
      <c r="E507" s="3">
        <v>1498</v>
      </c>
      <c r="F507" s="3">
        <v>4</v>
      </c>
      <c r="G507" s="3" t="s">
        <v>36</v>
      </c>
      <c r="H507" s="3" t="s">
        <v>27</v>
      </c>
      <c r="I507" s="3">
        <v>5</v>
      </c>
      <c r="J507" s="3" t="s">
        <v>30</v>
      </c>
      <c r="K507" s="18">
        <v>110</v>
      </c>
      <c r="L507" s="16">
        <v>250</v>
      </c>
      <c r="M507" s="6" t="str" cm="1">
        <f t="array" ref="M507">_xlfn.IFS(L507&lt;100,"Economy",L507&lt;200,"Standard",L507&lt;350,"Powerful",L507&lt;500,"High Performance",L507&lt;800,"Sports Performance",L507&gt;=800,"Super Performance")</f>
        <v>Powerful</v>
      </c>
    </row>
    <row r="508" spans="1:13" x14ac:dyDescent="0.25">
      <c r="A508" s="5" t="s">
        <v>572</v>
      </c>
      <c r="B508" s="3" t="s">
        <v>1295</v>
      </c>
      <c r="C508" s="3" t="s">
        <v>1302</v>
      </c>
      <c r="D508" s="4">
        <v>1129599</v>
      </c>
      <c r="E508" s="3">
        <v>1498</v>
      </c>
      <c r="F508" s="3">
        <v>4</v>
      </c>
      <c r="G508" s="3" t="s">
        <v>36</v>
      </c>
      <c r="H508" s="3" t="s">
        <v>27</v>
      </c>
      <c r="I508" s="3">
        <v>5</v>
      </c>
      <c r="J508" s="3" t="s">
        <v>12</v>
      </c>
      <c r="K508" s="18">
        <v>110</v>
      </c>
      <c r="L508" s="16">
        <v>250</v>
      </c>
      <c r="M508" s="6" t="str" cm="1">
        <f t="array" ref="M508">_xlfn.IFS(L508&lt;100,"Economy",L508&lt;200,"Standard",L508&lt;350,"Powerful",L508&lt;500,"High Performance",L508&lt;800,"Sports Performance",L508&gt;=800,"Super Performance")</f>
        <v>Powerful</v>
      </c>
    </row>
    <row r="509" spans="1:13" x14ac:dyDescent="0.25">
      <c r="A509" s="5" t="s">
        <v>572</v>
      </c>
      <c r="B509" s="3" t="s">
        <v>1295</v>
      </c>
      <c r="C509" s="3" t="s">
        <v>1304</v>
      </c>
      <c r="D509" s="4">
        <v>1399599</v>
      </c>
      <c r="E509" s="3">
        <v>1498</v>
      </c>
      <c r="F509" s="3">
        <v>4</v>
      </c>
      <c r="G509" s="3" t="s">
        <v>36</v>
      </c>
      <c r="H509" s="3" t="s">
        <v>27</v>
      </c>
      <c r="I509" s="3">
        <v>5</v>
      </c>
      <c r="J509" s="3" t="s">
        <v>30</v>
      </c>
      <c r="K509" s="18">
        <v>110</v>
      </c>
      <c r="L509" s="16">
        <v>250</v>
      </c>
      <c r="M509" s="6" t="str" cm="1">
        <f t="array" ref="M509">_xlfn.IFS(L509&lt;100,"Economy",L509&lt;200,"Standard",L509&lt;350,"Powerful",L509&lt;500,"High Performance",L509&lt;800,"Sports Performance",L509&gt;=800,"Super Performance")</f>
        <v>Powerful</v>
      </c>
    </row>
    <row r="510" spans="1:13" x14ac:dyDescent="0.25">
      <c r="A510" s="5" t="s">
        <v>572</v>
      </c>
      <c r="B510" s="3" t="s">
        <v>1295</v>
      </c>
      <c r="C510" s="3" t="s">
        <v>1305</v>
      </c>
      <c r="D510" s="4">
        <v>1273599</v>
      </c>
      <c r="E510" s="3">
        <v>1498</v>
      </c>
      <c r="F510" s="3">
        <v>4</v>
      </c>
      <c r="G510" s="3" t="s">
        <v>36</v>
      </c>
      <c r="H510" s="3" t="s">
        <v>27</v>
      </c>
      <c r="I510" s="3">
        <v>5</v>
      </c>
      <c r="J510" s="3" t="s">
        <v>12</v>
      </c>
      <c r="K510" s="18">
        <v>110</v>
      </c>
      <c r="L510" s="16">
        <v>250</v>
      </c>
      <c r="M510" s="6" t="str" cm="1">
        <f t="array" ref="M510">_xlfn.IFS(L510&lt;100,"Economy",L510&lt;200,"Standard",L510&lt;350,"Powerful",L510&lt;500,"High Performance",L510&lt;800,"Sports Performance",L510&gt;=800,"Super Performance")</f>
        <v>Powerful</v>
      </c>
    </row>
    <row r="511" spans="1:13" x14ac:dyDescent="0.25">
      <c r="A511" s="5" t="s">
        <v>572</v>
      </c>
      <c r="B511" s="3" t="s">
        <v>1295</v>
      </c>
      <c r="C511" s="3" t="s">
        <v>1308</v>
      </c>
      <c r="D511" s="4">
        <v>1158599</v>
      </c>
      <c r="E511" s="3">
        <v>1498</v>
      </c>
      <c r="F511" s="3">
        <v>4</v>
      </c>
      <c r="G511" s="3" t="s">
        <v>36</v>
      </c>
      <c r="H511" s="3" t="s">
        <v>27</v>
      </c>
      <c r="I511" s="3">
        <v>5</v>
      </c>
      <c r="J511" s="3" t="s">
        <v>12</v>
      </c>
      <c r="K511" s="18">
        <v>110</v>
      </c>
      <c r="L511" s="16">
        <v>250</v>
      </c>
      <c r="M511" s="6" t="str" cm="1">
        <f t="array" ref="M511">_xlfn.IFS(L511&lt;100,"Economy",L511&lt;200,"Standard",L511&lt;350,"Powerful",L511&lt;500,"High Performance",L511&lt;800,"Sports Performance",L511&gt;=800,"Super Performance")</f>
        <v>Powerful</v>
      </c>
    </row>
    <row r="512" spans="1:13" x14ac:dyDescent="0.25">
      <c r="A512" s="5" t="s">
        <v>572</v>
      </c>
      <c r="B512" s="3" t="s">
        <v>1295</v>
      </c>
      <c r="C512" s="3" t="s">
        <v>1310</v>
      </c>
      <c r="D512" s="4">
        <v>1273599</v>
      </c>
      <c r="E512" s="3">
        <v>1498</v>
      </c>
      <c r="F512" s="3">
        <v>4</v>
      </c>
      <c r="G512" s="3" t="s">
        <v>36</v>
      </c>
      <c r="H512" s="3" t="s">
        <v>27</v>
      </c>
      <c r="I512" s="3">
        <v>5</v>
      </c>
      <c r="J512" s="3" t="s">
        <v>30</v>
      </c>
      <c r="K512" s="18">
        <v>110</v>
      </c>
      <c r="L512" s="16">
        <v>250</v>
      </c>
      <c r="M512" s="6" t="str" cm="1">
        <f t="array" ref="M512">_xlfn.IFS(L512&lt;100,"Economy",L512&lt;200,"Standard",L512&lt;350,"Powerful",L512&lt;500,"High Performance",L512&lt;800,"Sports Performance",L512&gt;=800,"Super Performance")</f>
        <v>Powerful</v>
      </c>
    </row>
    <row r="513" spans="1:13" x14ac:dyDescent="0.25">
      <c r="A513" s="5" t="s">
        <v>572</v>
      </c>
      <c r="B513" s="3" t="s">
        <v>823</v>
      </c>
      <c r="C513" s="3" t="s">
        <v>1259</v>
      </c>
      <c r="D513" s="4">
        <v>2059599</v>
      </c>
      <c r="E513" s="3">
        <v>1798</v>
      </c>
      <c r="F513" s="3">
        <v>4</v>
      </c>
      <c r="G513" s="3" t="s">
        <v>10</v>
      </c>
      <c r="H513" s="3" t="s">
        <v>27</v>
      </c>
      <c r="I513" s="3">
        <v>5</v>
      </c>
      <c r="J513" s="3" t="s">
        <v>30</v>
      </c>
      <c r="K513" s="18">
        <v>180</v>
      </c>
      <c r="L513" s="16">
        <v>250</v>
      </c>
      <c r="M513" s="6" t="str" cm="1">
        <f t="array" ref="M513">_xlfn.IFS(L513&lt;100,"Economy",L513&lt;200,"Standard",L513&lt;350,"Powerful",L513&lt;500,"High Performance",L513&lt;800,"Sports Performance",L513&gt;=800,"Super Performance")</f>
        <v>Powerful</v>
      </c>
    </row>
    <row r="514" spans="1:13" x14ac:dyDescent="0.25">
      <c r="A514" s="5" t="s">
        <v>572</v>
      </c>
      <c r="B514" s="3" t="s">
        <v>823</v>
      </c>
      <c r="C514" s="3" t="s">
        <v>1324</v>
      </c>
      <c r="D514" s="4">
        <v>1899599</v>
      </c>
      <c r="E514" s="3">
        <v>1395</v>
      </c>
      <c r="F514" s="3">
        <v>4</v>
      </c>
      <c r="G514" s="3" t="s">
        <v>10</v>
      </c>
      <c r="H514" s="3" t="s">
        <v>27</v>
      </c>
      <c r="I514" s="3">
        <v>5</v>
      </c>
      <c r="J514" s="3" t="s">
        <v>12</v>
      </c>
      <c r="K514" s="18">
        <v>140</v>
      </c>
      <c r="L514" s="16">
        <v>250</v>
      </c>
      <c r="M514" s="6" t="str" cm="1">
        <f t="array" ref="M514">_xlfn.IFS(L514&lt;100,"Economy",L514&lt;200,"Standard",L514&lt;350,"Powerful",L514&lt;500,"High Performance",L514&lt;800,"Sports Performance",L514&gt;=800,"Super Performance")</f>
        <v>Powerful</v>
      </c>
    </row>
    <row r="515" spans="1:13" x14ac:dyDescent="0.25">
      <c r="A515" s="5" t="s">
        <v>572</v>
      </c>
      <c r="B515" s="3" t="s">
        <v>823</v>
      </c>
      <c r="C515" s="3" t="s">
        <v>1256</v>
      </c>
      <c r="D515" s="4">
        <v>2359599</v>
      </c>
      <c r="E515" s="3">
        <v>1798</v>
      </c>
      <c r="F515" s="3">
        <v>4</v>
      </c>
      <c r="G515" s="3" t="s">
        <v>10</v>
      </c>
      <c r="H515" s="3" t="s">
        <v>27</v>
      </c>
      <c r="I515" s="3">
        <v>5</v>
      </c>
      <c r="J515" s="3" t="s">
        <v>30</v>
      </c>
      <c r="K515" s="18">
        <v>180</v>
      </c>
      <c r="L515" s="16">
        <v>250</v>
      </c>
      <c r="M515" s="6" t="str" cm="1">
        <f t="array" ref="M515">_xlfn.IFS(L515&lt;100,"Economy",L515&lt;200,"Standard",L515&lt;350,"Powerful",L515&lt;500,"High Performance",L515&lt;800,"Sports Performance",L515&gt;=800,"Super Performance")</f>
        <v>Powerful</v>
      </c>
    </row>
    <row r="516" spans="1:13" x14ac:dyDescent="0.25">
      <c r="A516" s="5" t="s">
        <v>572</v>
      </c>
      <c r="B516" s="3" t="s">
        <v>823</v>
      </c>
      <c r="C516" s="3" t="s">
        <v>1327</v>
      </c>
      <c r="D516" s="4">
        <v>1549000</v>
      </c>
      <c r="E516" s="3">
        <v>1395</v>
      </c>
      <c r="F516" s="3">
        <v>4</v>
      </c>
      <c r="G516" s="3" t="s">
        <v>10</v>
      </c>
      <c r="H516" s="3" t="s">
        <v>27</v>
      </c>
      <c r="I516" s="3">
        <v>5</v>
      </c>
      <c r="J516" s="3" t="s">
        <v>12</v>
      </c>
      <c r="K516" s="18">
        <v>140</v>
      </c>
      <c r="L516" s="16">
        <v>250</v>
      </c>
      <c r="M516" s="6" t="str" cm="1">
        <f t="array" ref="M516">_xlfn.IFS(L516&lt;100,"Economy",L516&lt;200,"Standard",L516&lt;350,"Powerful",L516&lt;500,"High Performance",L516&lt;800,"Sports Performance",L516&gt;=800,"Super Performance")</f>
        <v>Powerful</v>
      </c>
    </row>
    <row r="517" spans="1:13" x14ac:dyDescent="0.25">
      <c r="A517" s="5" t="s">
        <v>160</v>
      </c>
      <c r="B517" s="3" t="s">
        <v>839</v>
      </c>
      <c r="C517" s="3" t="s">
        <v>1341</v>
      </c>
      <c r="D517" s="4">
        <v>711500</v>
      </c>
      <c r="E517" s="3">
        <v>1498</v>
      </c>
      <c r="F517" s="3">
        <v>0</v>
      </c>
      <c r="G517" s="3" t="s">
        <v>36</v>
      </c>
      <c r="H517" s="3" t="s">
        <v>27</v>
      </c>
      <c r="I517" s="3">
        <v>5</v>
      </c>
      <c r="J517" s="3" t="s">
        <v>12</v>
      </c>
      <c r="K517" s="18">
        <v>110</v>
      </c>
      <c r="L517" s="16">
        <v>250</v>
      </c>
      <c r="M517" s="6" t="str" cm="1">
        <f t="array" ref="M517">_xlfn.IFS(L517&lt;100,"Economy",L517&lt;200,"Standard",L517&lt;350,"Powerful",L517&lt;500,"High Performance",L517&lt;800,"Sports Performance",L517&gt;=800,"Super Performance")</f>
        <v>Powerful</v>
      </c>
    </row>
    <row r="518" spans="1:13" x14ac:dyDescent="0.25">
      <c r="A518" s="5" t="s">
        <v>160</v>
      </c>
      <c r="B518" s="3" t="s">
        <v>1334</v>
      </c>
      <c r="C518" s="3" t="s">
        <v>1342</v>
      </c>
      <c r="D518" s="4">
        <v>988500</v>
      </c>
      <c r="E518" s="3">
        <v>1498</v>
      </c>
      <c r="F518" s="3">
        <v>4</v>
      </c>
      <c r="G518" s="3" t="s">
        <v>36</v>
      </c>
      <c r="H518" s="3" t="s">
        <v>11</v>
      </c>
      <c r="I518" s="3">
        <v>5</v>
      </c>
      <c r="J518" s="3" t="s">
        <v>12</v>
      </c>
      <c r="K518" s="18">
        <v>110</v>
      </c>
      <c r="L518" s="16">
        <v>250</v>
      </c>
      <c r="M518" s="6" t="str" cm="1">
        <f t="array" ref="M518">_xlfn.IFS(L518&lt;100,"Economy",L518&lt;200,"Standard",L518&lt;350,"Powerful",L518&lt;500,"High Performance",L518&lt;800,"Sports Performance",L518&gt;=800,"Super Performance")</f>
        <v>Powerful</v>
      </c>
    </row>
    <row r="519" spans="1:13" x14ac:dyDescent="0.25">
      <c r="A519" s="5" t="s">
        <v>160</v>
      </c>
      <c r="B519" s="3" t="s">
        <v>839</v>
      </c>
      <c r="C519" s="3" t="s">
        <v>1344</v>
      </c>
      <c r="D519" s="4">
        <v>925500</v>
      </c>
      <c r="E519" s="3">
        <v>1498</v>
      </c>
      <c r="F519" s="3">
        <v>0</v>
      </c>
      <c r="G519" s="3" t="s">
        <v>36</v>
      </c>
      <c r="H519" s="3" t="s">
        <v>27</v>
      </c>
      <c r="I519" s="3">
        <v>5</v>
      </c>
      <c r="J519" s="3" t="s">
        <v>12</v>
      </c>
      <c r="K519" s="18">
        <v>110</v>
      </c>
      <c r="L519" s="16">
        <v>250</v>
      </c>
      <c r="M519" s="6" t="str" cm="1">
        <f t="array" ref="M519">_xlfn.IFS(L519&lt;100,"Economy",L519&lt;200,"Standard",L519&lt;350,"Powerful",L519&lt;500,"High Performance",L519&lt;800,"Sports Performance",L519&gt;=800,"Super Performance")</f>
        <v>Powerful</v>
      </c>
    </row>
    <row r="520" spans="1:13" x14ac:dyDescent="0.25">
      <c r="A520" s="5" t="s">
        <v>160</v>
      </c>
      <c r="B520" s="3" t="s">
        <v>839</v>
      </c>
      <c r="C520" s="3" t="s">
        <v>1345</v>
      </c>
      <c r="D520" s="4">
        <v>810500</v>
      </c>
      <c r="E520" s="3">
        <v>1498</v>
      </c>
      <c r="F520" s="3">
        <v>0</v>
      </c>
      <c r="G520" s="3" t="s">
        <v>36</v>
      </c>
      <c r="H520" s="3" t="s">
        <v>27</v>
      </c>
      <c r="I520" s="3">
        <v>5</v>
      </c>
      <c r="J520" s="3" t="s">
        <v>12</v>
      </c>
      <c r="K520" s="18">
        <v>110</v>
      </c>
      <c r="L520" s="16">
        <v>250</v>
      </c>
      <c r="M520" s="6" t="str" cm="1">
        <f t="array" ref="M520">_xlfn.IFS(L520&lt;100,"Economy",L520&lt;200,"Standard",L520&lt;350,"Powerful",L520&lt;500,"High Performance",L520&lt;800,"Sports Performance",L520&gt;=800,"Super Performance")</f>
        <v>Powerful</v>
      </c>
    </row>
    <row r="521" spans="1:13" x14ac:dyDescent="0.25">
      <c r="A521" s="5" t="s">
        <v>160</v>
      </c>
      <c r="B521" s="3" t="s">
        <v>839</v>
      </c>
      <c r="C521" s="3" t="s">
        <v>1346</v>
      </c>
      <c r="D521" s="4">
        <v>999900</v>
      </c>
      <c r="E521" s="3">
        <v>1498</v>
      </c>
      <c r="F521" s="3">
        <v>0</v>
      </c>
      <c r="G521" s="3" t="s">
        <v>36</v>
      </c>
      <c r="H521" s="3" t="s">
        <v>27</v>
      </c>
      <c r="I521" s="3">
        <v>5</v>
      </c>
      <c r="J521" s="3" t="s">
        <v>30</v>
      </c>
      <c r="K521" s="18">
        <v>110</v>
      </c>
      <c r="L521" s="16">
        <v>250</v>
      </c>
      <c r="M521" s="6" t="str" cm="1">
        <f t="array" ref="M521">_xlfn.IFS(L521&lt;100,"Economy",L521&lt;200,"Standard",L521&lt;350,"Powerful",L521&lt;500,"High Performance",L521&lt;800,"Sports Performance",L521&gt;=800,"Super Performance")</f>
        <v>Powerful</v>
      </c>
    </row>
    <row r="522" spans="1:13" x14ac:dyDescent="0.25">
      <c r="A522" s="5" t="s">
        <v>160</v>
      </c>
      <c r="B522" s="3" t="s">
        <v>839</v>
      </c>
      <c r="C522" s="3" t="s">
        <v>1347</v>
      </c>
      <c r="D522" s="4">
        <v>999900</v>
      </c>
      <c r="E522" s="3">
        <v>1498</v>
      </c>
      <c r="F522" s="3">
        <v>0</v>
      </c>
      <c r="G522" s="3" t="s">
        <v>36</v>
      </c>
      <c r="H522" s="3" t="s">
        <v>27</v>
      </c>
      <c r="I522" s="3">
        <v>5</v>
      </c>
      <c r="J522" s="3" t="s">
        <v>30</v>
      </c>
      <c r="K522" s="18">
        <v>110</v>
      </c>
      <c r="L522" s="16">
        <v>250</v>
      </c>
      <c r="M522" s="6" t="str" cm="1">
        <f t="array" ref="M522">_xlfn.IFS(L522&lt;100,"Economy",L522&lt;200,"Standard",L522&lt;350,"Powerful",L522&lt;500,"High Performance",L522&lt;800,"Sports Performance",L522&gt;=800,"Super Performance")</f>
        <v>Powerful</v>
      </c>
    </row>
    <row r="523" spans="1:13" x14ac:dyDescent="0.25">
      <c r="A523" s="5" t="s">
        <v>160</v>
      </c>
      <c r="B523" s="3" t="s">
        <v>484</v>
      </c>
      <c r="C523" s="3" t="s">
        <v>1364</v>
      </c>
      <c r="D523" s="4">
        <v>1449500</v>
      </c>
      <c r="E523" s="3">
        <v>1498</v>
      </c>
      <c r="F523" s="3">
        <v>4</v>
      </c>
      <c r="G523" s="3" t="s">
        <v>36</v>
      </c>
      <c r="H523" s="3" t="s">
        <v>11</v>
      </c>
      <c r="I523" s="3">
        <v>5</v>
      </c>
      <c r="J523" s="3" t="s">
        <v>12</v>
      </c>
      <c r="K523" s="18">
        <v>110</v>
      </c>
      <c r="L523" s="16">
        <v>250</v>
      </c>
      <c r="M523" s="6" t="str" cm="1">
        <f t="array" ref="M523">_xlfn.IFS(L523&lt;100,"Economy",L523&lt;200,"Standard",L523&lt;350,"Powerful",L523&lt;500,"High Performance",L523&lt;800,"Sports Performance",L523&gt;=800,"Super Performance")</f>
        <v>Powerful</v>
      </c>
    </row>
    <row r="524" spans="1:13" x14ac:dyDescent="0.25">
      <c r="A524" s="5" t="s">
        <v>330</v>
      </c>
      <c r="B524" s="3" t="s">
        <v>1272</v>
      </c>
      <c r="C524" s="3" t="s">
        <v>1274</v>
      </c>
      <c r="D524" s="4">
        <v>1464900</v>
      </c>
      <c r="E524" s="3">
        <v>1461</v>
      </c>
      <c r="F524" s="3">
        <v>4</v>
      </c>
      <c r="G524" s="3" t="s">
        <v>36</v>
      </c>
      <c r="H524" s="3" t="s">
        <v>66</v>
      </c>
      <c r="I524" s="3">
        <v>5</v>
      </c>
      <c r="J524" s="3" t="s">
        <v>30</v>
      </c>
      <c r="K524" s="18">
        <v>110</v>
      </c>
      <c r="L524" s="16">
        <v>248</v>
      </c>
      <c r="M524" s="6" t="str" cm="1">
        <f t="array" ref="M524">_xlfn.IFS(L524&lt;100,"Economy",L524&lt;200,"Standard",L524&lt;350,"Powerful",L524&lt;500,"High Performance",L524&lt;800,"Sports Performance",L524&gt;=800,"Super Performance")</f>
        <v>Powerful</v>
      </c>
    </row>
    <row r="525" spans="1:13" x14ac:dyDescent="0.25">
      <c r="A525" s="5" t="s">
        <v>330</v>
      </c>
      <c r="B525" s="3" t="s">
        <v>1272</v>
      </c>
      <c r="C525" s="3" t="s">
        <v>1279</v>
      </c>
      <c r="D525" s="4">
        <v>1419900</v>
      </c>
      <c r="E525" s="3">
        <v>1461</v>
      </c>
      <c r="F525" s="3">
        <v>4</v>
      </c>
      <c r="G525" s="3" t="s">
        <v>36</v>
      </c>
      <c r="H525" s="3" t="s">
        <v>66</v>
      </c>
      <c r="I525" s="3">
        <v>5</v>
      </c>
      <c r="J525" s="3" t="s">
        <v>12</v>
      </c>
      <c r="K525" s="18">
        <v>110</v>
      </c>
      <c r="L525" s="16">
        <v>248</v>
      </c>
      <c r="M525" s="6" t="str" cm="1">
        <f t="array" ref="M525">_xlfn.IFS(L525&lt;100,"Economy",L525&lt;200,"Standard",L525&lt;350,"Powerful",L525&lt;500,"High Performance",L525&lt;800,"Sports Performance",L525&gt;=800,"Super Performance")</f>
        <v>Powerful</v>
      </c>
    </row>
    <row r="526" spans="1:13" x14ac:dyDescent="0.25">
      <c r="A526" s="5" t="s">
        <v>202</v>
      </c>
      <c r="B526" s="3" t="s">
        <v>567</v>
      </c>
      <c r="C526" s="3" t="s">
        <v>568</v>
      </c>
      <c r="D526" s="4">
        <v>959860</v>
      </c>
      <c r="E526" s="3">
        <v>2498</v>
      </c>
      <c r="F526" s="3">
        <v>4</v>
      </c>
      <c r="G526" s="3" t="s">
        <v>36</v>
      </c>
      <c r="H526" s="3" t="s">
        <v>66</v>
      </c>
      <c r="I526" s="3">
        <v>6</v>
      </c>
      <c r="J526" s="3" t="s">
        <v>12</v>
      </c>
      <c r="K526" s="18">
        <v>105</v>
      </c>
      <c r="L526" s="16">
        <v>247</v>
      </c>
      <c r="M526" s="6" t="str" cm="1">
        <f t="array" ref="M526">_xlfn.IFS(L526&lt;100,"Economy",L526&lt;200,"Standard",L526&lt;350,"Powerful",L526&lt;500,"High Performance",L526&lt;800,"Sports Performance",L526&gt;=800,"Super Performance")</f>
        <v>Powerful</v>
      </c>
    </row>
    <row r="527" spans="1:13" x14ac:dyDescent="0.25">
      <c r="A527" s="5" t="s">
        <v>202</v>
      </c>
      <c r="B527" s="3" t="s">
        <v>567</v>
      </c>
      <c r="C527" s="3" t="s">
        <v>569</v>
      </c>
      <c r="D527" s="4">
        <v>999148</v>
      </c>
      <c r="E527" s="3">
        <v>2498</v>
      </c>
      <c r="F527" s="3">
        <v>4</v>
      </c>
      <c r="G527" s="3" t="s">
        <v>36</v>
      </c>
      <c r="H527" s="3" t="s">
        <v>66</v>
      </c>
      <c r="I527" s="3">
        <v>6</v>
      </c>
      <c r="J527" s="3" t="s">
        <v>12</v>
      </c>
      <c r="K527" s="18">
        <v>105</v>
      </c>
      <c r="L527" s="16">
        <v>247</v>
      </c>
      <c r="M527" s="6" t="str" cm="1">
        <f t="array" ref="M527">_xlfn.IFS(L527&lt;100,"Economy",L527&lt;200,"Standard",L527&lt;350,"Powerful",L527&lt;500,"High Performance",L527&lt;800,"Sports Performance",L527&gt;=800,"Super Performance")</f>
        <v>Powerful</v>
      </c>
    </row>
    <row r="528" spans="1:13" x14ac:dyDescent="0.25">
      <c r="A528" s="5" t="s">
        <v>202</v>
      </c>
      <c r="B528" s="3" t="s">
        <v>567</v>
      </c>
      <c r="C528" s="3" t="s">
        <v>570</v>
      </c>
      <c r="D528" s="4">
        <v>974860</v>
      </c>
      <c r="E528" s="3">
        <v>2498</v>
      </c>
      <c r="F528" s="3">
        <v>4</v>
      </c>
      <c r="G528" s="3" t="s">
        <v>36</v>
      </c>
      <c r="H528" s="3" t="s">
        <v>66</v>
      </c>
      <c r="I528" s="3">
        <v>6</v>
      </c>
      <c r="J528" s="3" t="s">
        <v>12</v>
      </c>
      <c r="K528" s="18">
        <v>105</v>
      </c>
      <c r="L528" s="16">
        <v>247</v>
      </c>
      <c r="M528" s="6" t="str" cm="1">
        <f t="array" ref="M528">_xlfn.IFS(L528&lt;100,"Economy",L528&lt;200,"Standard",L528&lt;350,"Powerful",L528&lt;500,"High Performance",L528&lt;800,"Sports Performance",L528&gt;=800,"Super Performance")</f>
        <v>Powerful</v>
      </c>
    </row>
    <row r="529" spans="1:13" x14ac:dyDescent="0.25">
      <c r="A529" s="5" t="s">
        <v>350</v>
      </c>
      <c r="B529" s="3" t="s">
        <v>405</v>
      </c>
      <c r="C529" s="3" t="s">
        <v>408</v>
      </c>
      <c r="D529" s="4">
        <v>1211599</v>
      </c>
      <c r="E529" s="3">
        <v>1461</v>
      </c>
      <c r="F529" s="3">
        <v>4</v>
      </c>
      <c r="G529" s="3" t="s">
        <v>36</v>
      </c>
      <c r="H529" s="3" t="s">
        <v>242</v>
      </c>
      <c r="I529" s="3">
        <v>8</v>
      </c>
      <c r="J529" s="3" t="s">
        <v>12</v>
      </c>
      <c r="K529" s="18">
        <v>110</v>
      </c>
      <c r="L529" s="16">
        <v>245</v>
      </c>
      <c r="M529" s="6" t="str" cm="1">
        <f t="array" ref="M529">_xlfn.IFS(L529&lt;100,"Economy",L529&lt;200,"Standard",L529&lt;350,"Powerful",L529&lt;500,"High Performance",L529&lt;800,"Sports Performance",L529&gt;=800,"Super Performance")</f>
        <v>Powerful</v>
      </c>
    </row>
    <row r="530" spans="1:13" x14ac:dyDescent="0.25">
      <c r="A530" s="5" t="s">
        <v>350</v>
      </c>
      <c r="B530" s="3" t="s">
        <v>405</v>
      </c>
      <c r="C530" s="3" t="s">
        <v>409</v>
      </c>
      <c r="D530" s="4">
        <v>1211599</v>
      </c>
      <c r="E530" s="3">
        <v>1461</v>
      </c>
      <c r="F530" s="3">
        <v>4</v>
      </c>
      <c r="G530" s="3" t="s">
        <v>36</v>
      </c>
      <c r="H530" s="3" t="s">
        <v>242</v>
      </c>
      <c r="I530" s="3">
        <v>7</v>
      </c>
      <c r="J530" s="3" t="s">
        <v>12</v>
      </c>
      <c r="K530" s="18">
        <v>110</v>
      </c>
      <c r="L530" s="16">
        <v>245</v>
      </c>
      <c r="M530" s="6" t="str" cm="1">
        <f t="array" ref="M530">_xlfn.IFS(L530&lt;100,"Economy",L530&lt;200,"Standard",L530&lt;350,"Powerful",L530&lt;500,"High Performance",L530&lt;800,"Sports Performance",L530&gt;=800,"Super Performance")</f>
        <v>Powerful</v>
      </c>
    </row>
    <row r="531" spans="1:13" x14ac:dyDescent="0.25">
      <c r="A531" s="5" t="s">
        <v>55</v>
      </c>
      <c r="B531" s="3" t="s">
        <v>424</v>
      </c>
      <c r="C531" s="3" t="s">
        <v>430</v>
      </c>
      <c r="D531" s="4">
        <v>1620000</v>
      </c>
      <c r="E531" s="3">
        <v>2694</v>
      </c>
      <c r="F531" s="3">
        <v>4</v>
      </c>
      <c r="G531" s="3" t="s">
        <v>10</v>
      </c>
      <c r="H531" s="3" t="s">
        <v>242</v>
      </c>
      <c r="I531" s="3">
        <v>8</v>
      </c>
      <c r="J531" s="3" t="s">
        <v>30</v>
      </c>
      <c r="K531" s="18">
        <v>166</v>
      </c>
      <c r="L531" s="16">
        <v>245</v>
      </c>
      <c r="M531" s="6" t="str" cm="1">
        <f t="array" ref="M531">_xlfn.IFS(L531&lt;100,"Economy",L531&lt;200,"Standard",L531&lt;350,"Powerful",L531&lt;500,"High Performance",L531&lt;800,"Sports Performance",L531&gt;=800,"Super Performance")</f>
        <v>Powerful</v>
      </c>
    </row>
    <row r="532" spans="1:13" x14ac:dyDescent="0.25">
      <c r="A532" s="5" t="s">
        <v>55</v>
      </c>
      <c r="B532" s="3" t="s">
        <v>424</v>
      </c>
      <c r="C532" s="3" t="s">
        <v>431</v>
      </c>
      <c r="D532" s="4">
        <v>1615000</v>
      </c>
      <c r="E532" s="3">
        <v>2694</v>
      </c>
      <c r="F532" s="3">
        <v>4</v>
      </c>
      <c r="G532" s="3" t="s">
        <v>10</v>
      </c>
      <c r="H532" s="3" t="s">
        <v>242</v>
      </c>
      <c r="I532" s="3">
        <v>7</v>
      </c>
      <c r="J532" s="3" t="s">
        <v>30</v>
      </c>
      <c r="K532" s="18">
        <v>166</v>
      </c>
      <c r="L532" s="16">
        <v>245</v>
      </c>
      <c r="M532" s="6" t="str" cm="1">
        <f t="array" ref="M532">_xlfn.IFS(L532&lt;100,"Economy",L532&lt;200,"Standard",L532&lt;350,"Powerful",L532&lt;500,"High Performance",L532&lt;800,"Sports Performance",L532&gt;=800,"Super Performance")</f>
        <v>Powerful</v>
      </c>
    </row>
    <row r="533" spans="1:13" x14ac:dyDescent="0.25">
      <c r="A533" s="5" t="s">
        <v>55</v>
      </c>
      <c r="B533" s="3" t="s">
        <v>424</v>
      </c>
      <c r="C533" s="3" t="s">
        <v>432</v>
      </c>
      <c r="D533" s="4">
        <v>2103000</v>
      </c>
      <c r="E533" s="3">
        <v>2393</v>
      </c>
      <c r="F533" s="3">
        <v>4</v>
      </c>
      <c r="G533" s="3" t="s">
        <v>10</v>
      </c>
      <c r="H533" s="3" t="s">
        <v>242</v>
      </c>
      <c r="I533" s="3">
        <v>7</v>
      </c>
      <c r="J533" s="3" t="s">
        <v>30</v>
      </c>
      <c r="K533" s="18">
        <v>164</v>
      </c>
      <c r="L533" s="16">
        <v>245</v>
      </c>
      <c r="M533" s="6" t="str" cm="1">
        <f t="array" ref="M533">_xlfn.IFS(L533&lt;100,"Economy",L533&lt;200,"Standard",L533&lt;350,"Powerful",L533&lt;500,"High Performance",L533&lt;800,"Sports Performance",L533&gt;=800,"Super Performance")</f>
        <v>Powerful</v>
      </c>
    </row>
    <row r="534" spans="1:13" x14ac:dyDescent="0.25">
      <c r="A534" s="5" t="s">
        <v>55</v>
      </c>
      <c r="B534" s="3" t="s">
        <v>424</v>
      </c>
      <c r="C534" s="3" t="s">
        <v>437</v>
      </c>
      <c r="D534" s="4">
        <v>1892000</v>
      </c>
      <c r="E534" s="3">
        <v>2393</v>
      </c>
      <c r="F534" s="3">
        <v>4</v>
      </c>
      <c r="G534" s="3" t="s">
        <v>10</v>
      </c>
      <c r="H534" s="3" t="s">
        <v>242</v>
      </c>
      <c r="I534" s="3">
        <v>7</v>
      </c>
      <c r="J534" s="3" t="s">
        <v>12</v>
      </c>
      <c r="K534" s="18">
        <v>166</v>
      </c>
      <c r="L534" s="16">
        <v>245</v>
      </c>
      <c r="M534" s="6" t="str" cm="1">
        <f t="array" ref="M534">_xlfn.IFS(L534&lt;100,"Economy",L534&lt;200,"Standard",L534&lt;350,"Powerful",L534&lt;500,"High Performance",L534&lt;800,"Sports Performance",L534&gt;=800,"Super Performance")</f>
        <v>Powerful</v>
      </c>
    </row>
    <row r="535" spans="1:13" x14ac:dyDescent="0.25">
      <c r="A535" s="5" t="s">
        <v>55</v>
      </c>
      <c r="B535" s="3" t="s">
        <v>424</v>
      </c>
      <c r="C535" s="3" t="s">
        <v>438</v>
      </c>
      <c r="D535" s="4">
        <v>2171000</v>
      </c>
      <c r="E535" s="3">
        <v>2694</v>
      </c>
      <c r="F535" s="3">
        <v>4</v>
      </c>
      <c r="G535" s="3" t="s">
        <v>10</v>
      </c>
      <c r="H535" s="3" t="s">
        <v>242</v>
      </c>
      <c r="I535" s="3">
        <v>7</v>
      </c>
      <c r="J535" s="3" t="s">
        <v>30</v>
      </c>
      <c r="K535" s="18">
        <v>166</v>
      </c>
      <c r="L535" s="16">
        <v>245</v>
      </c>
      <c r="M535" s="6" t="str" cm="1">
        <f t="array" ref="M535">_xlfn.IFS(L535&lt;100,"Economy",L535&lt;200,"Standard",L535&lt;350,"Powerful",L535&lt;500,"High Performance",L535&lt;800,"Sports Performance",L535&gt;=800,"Super Performance")</f>
        <v>Powerful</v>
      </c>
    </row>
    <row r="536" spans="1:13" x14ac:dyDescent="0.25">
      <c r="A536" s="5" t="s">
        <v>22</v>
      </c>
      <c r="B536" s="3" t="s">
        <v>681</v>
      </c>
      <c r="C536" s="3" t="s">
        <v>348</v>
      </c>
      <c r="D536" s="4">
        <v>1399000</v>
      </c>
      <c r="E536" s="3" t="s">
        <v>1386</v>
      </c>
      <c r="F536" s="3">
        <v>0</v>
      </c>
      <c r="G536" s="3" t="s">
        <v>141</v>
      </c>
      <c r="H536" s="3" t="s">
        <v>66</v>
      </c>
      <c r="I536" s="3">
        <v>5</v>
      </c>
      <c r="J536" s="3" t="s">
        <v>30</v>
      </c>
      <c r="K536" s="18">
        <v>129</v>
      </c>
      <c r="L536" s="16">
        <v>245</v>
      </c>
      <c r="M536" s="6" t="str" cm="1">
        <f t="array" ref="M536">_xlfn.IFS(L536&lt;100,"Economy",L536&lt;200,"Standard",L536&lt;350,"Powerful",L536&lt;500,"High Performance",L536&lt;800,"Sports Performance",L536&gt;=800,"Super Performance")</f>
        <v>Powerful</v>
      </c>
    </row>
    <row r="537" spans="1:13" x14ac:dyDescent="0.25">
      <c r="A537" s="5" t="s">
        <v>22</v>
      </c>
      <c r="B537" s="3" t="s">
        <v>681</v>
      </c>
      <c r="C537" s="3" t="s">
        <v>634</v>
      </c>
      <c r="D537" s="4">
        <v>1499000</v>
      </c>
      <c r="E537" s="3" t="s">
        <v>1386</v>
      </c>
      <c r="F537" s="3">
        <v>0</v>
      </c>
      <c r="G537" s="3" t="s">
        <v>141</v>
      </c>
      <c r="H537" s="3" t="s">
        <v>66</v>
      </c>
      <c r="I537" s="3">
        <v>5</v>
      </c>
      <c r="J537" s="3" t="s">
        <v>30</v>
      </c>
      <c r="K537" s="18">
        <v>129</v>
      </c>
      <c r="L537" s="16">
        <v>245</v>
      </c>
      <c r="M537" s="6" t="str" cm="1">
        <f t="array" ref="M537">_xlfn.IFS(L537&lt;100,"Economy",L537&lt;200,"Standard",L537&lt;350,"Powerful",L537&lt;500,"High Performance",L537&lt;800,"Sports Performance",L537&gt;=800,"Super Performance")</f>
        <v>Powerful</v>
      </c>
    </row>
    <row r="538" spans="1:13" x14ac:dyDescent="0.25">
      <c r="A538" s="5" t="s">
        <v>22</v>
      </c>
      <c r="B538" s="3" t="s">
        <v>681</v>
      </c>
      <c r="C538" s="3" t="s">
        <v>682</v>
      </c>
      <c r="D538" s="4">
        <v>1599000</v>
      </c>
      <c r="E538" s="3" t="s">
        <v>1386</v>
      </c>
      <c r="F538" s="3">
        <v>0</v>
      </c>
      <c r="G538" s="3" t="s">
        <v>141</v>
      </c>
      <c r="H538" s="3" t="s">
        <v>66</v>
      </c>
      <c r="I538" s="3">
        <v>5</v>
      </c>
      <c r="J538" s="3" t="s">
        <v>30</v>
      </c>
      <c r="K538" s="18">
        <v>129</v>
      </c>
      <c r="L538" s="16">
        <v>245</v>
      </c>
      <c r="M538" s="6" t="str" cm="1">
        <f t="array" ref="M538">_xlfn.IFS(L538&lt;100,"Economy",L538&lt;200,"Standard",L538&lt;350,"Powerful",L538&lt;500,"High Performance",L538&lt;800,"Sports Performance",L538&gt;=800,"Super Performance")</f>
        <v>Powerful</v>
      </c>
    </row>
    <row r="539" spans="1:13" x14ac:dyDescent="0.25">
      <c r="A539" s="5" t="s">
        <v>55</v>
      </c>
      <c r="B539" s="3" t="s">
        <v>1084</v>
      </c>
      <c r="C539" s="3" t="s">
        <v>1089</v>
      </c>
      <c r="D539" s="4">
        <v>2977000</v>
      </c>
      <c r="E539" s="3">
        <v>2694</v>
      </c>
      <c r="F539" s="3">
        <v>4</v>
      </c>
      <c r="G539" s="3" t="s">
        <v>10</v>
      </c>
      <c r="H539" s="3" t="s">
        <v>66</v>
      </c>
      <c r="I539" s="3">
        <v>7</v>
      </c>
      <c r="J539" s="3" t="s">
        <v>30</v>
      </c>
      <c r="K539" s="18">
        <v>166</v>
      </c>
      <c r="L539" s="16">
        <v>245</v>
      </c>
      <c r="M539" s="6" t="str" cm="1">
        <f t="array" ref="M539">_xlfn.IFS(L539&lt;100,"Economy",L539&lt;200,"Standard",L539&lt;350,"Powerful",L539&lt;500,"High Performance",L539&lt;800,"Sports Performance",L539&gt;=800,"Super Performance")</f>
        <v>Powerful</v>
      </c>
    </row>
    <row r="540" spans="1:13" x14ac:dyDescent="0.25">
      <c r="A540" s="5" t="s">
        <v>55</v>
      </c>
      <c r="B540" s="3" t="s">
        <v>1084</v>
      </c>
      <c r="C540" s="3" t="s">
        <v>1090</v>
      </c>
      <c r="D540" s="4">
        <v>2818000</v>
      </c>
      <c r="E540" s="3">
        <v>2694</v>
      </c>
      <c r="F540" s="3">
        <v>4</v>
      </c>
      <c r="G540" s="3" t="s">
        <v>10</v>
      </c>
      <c r="H540" s="3" t="s">
        <v>66</v>
      </c>
      <c r="I540" s="3">
        <v>7</v>
      </c>
      <c r="J540" s="3" t="s">
        <v>12</v>
      </c>
      <c r="K540" s="18">
        <v>166</v>
      </c>
      <c r="L540" s="16">
        <v>245</v>
      </c>
      <c r="M540" s="6" t="str" cm="1">
        <f t="array" ref="M540">_xlfn.IFS(L540&lt;100,"Economy",L540&lt;200,"Standard",L540&lt;350,"Powerful",L540&lt;500,"High Performance",L540&lt;800,"Sports Performance",L540&gt;=800,"Super Performance")</f>
        <v>Powerful</v>
      </c>
    </row>
    <row r="541" spans="1:13" x14ac:dyDescent="0.25">
      <c r="A541" s="5" t="s">
        <v>350</v>
      </c>
      <c r="B541" s="3" t="s">
        <v>1233</v>
      </c>
      <c r="C541" s="3" t="s">
        <v>1239</v>
      </c>
      <c r="D541" s="4">
        <v>1119990</v>
      </c>
      <c r="E541" s="3">
        <v>1461</v>
      </c>
      <c r="F541" s="3">
        <v>4</v>
      </c>
      <c r="G541" s="3" t="s">
        <v>36</v>
      </c>
      <c r="H541" s="3" t="s">
        <v>66</v>
      </c>
      <c r="I541" s="3">
        <v>5</v>
      </c>
      <c r="J541" s="3" t="s">
        <v>30</v>
      </c>
      <c r="K541" s="18">
        <v>110</v>
      </c>
      <c r="L541" s="16">
        <v>245</v>
      </c>
      <c r="M541" s="6" t="str" cm="1">
        <f t="array" ref="M541">_xlfn.IFS(L541&lt;100,"Economy",L541&lt;200,"Standard",L541&lt;350,"Powerful",L541&lt;500,"High Performance",L541&lt;800,"Sports Performance",L541&gt;=800,"Super Performance")</f>
        <v>Powerful</v>
      </c>
    </row>
    <row r="542" spans="1:13" x14ac:dyDescent="0.25">
      <c r="A542" s="5" t="s">
        <v>350</v>
      </c>
      <c r="B542" s="3" t="s">
        <v>1233</v>
      </c>
      <c r="C542" s="3" t="s">
        <v>1241</v>
      </c>
      <c r="D542" s="4">
        <v>1249990</v>
      </c>
      <c r="E542" s="3">
        <v>1461</v>
      </c>
      <c r="F542" s="3">
        <v>4</v>
      </c>
      <c r="G542" s="3" t="s">
        <v>36</v>
      </c>
      <c r="H542" s="3" t="s">
        <v>66</v>
      </c>
      <c r="I542" s="3">
        <v>5</v>
      </c>
      <c r="J542" s="3" t="s">
        <v>30</v>
      </c>
      <c r="K542" s="18">
        <v>110</v>
      </c>
      <c r="L542" s="16">
        <v>245</v>
      </c>
      <c r="M542" s="6" t="str" cm="1">
        <f t="array" ref="M542">_xlfn.IFS(L542&lt;100,"Economy",L542&lt;200,"Standard",L542&lt;350,"Powerful",L542&lt;500,"High Performance",L542&lt;800,"Sports Performance",L542&gt;=800,"Super Performance")</f>
        <v>Powerful</v>
      </c>
    </row>
    <row r="543" spans="1:13" x14ac:dyDescent="0.25">
      <c r="A543" s="5" t="s">
        <v>350</v>
      </c>
      <c r="B543" s="3" t="s">
        <v>1233</v>
      </c>
      <c r="C543" s="3" t="s">
        <v>1242</v>
      </c>
      <c r="D543" s="4">
        <v>1249990</v>
      </c>
      <c r="E543" s="3">
        <v>1461</v>
      </c>
      <c r="F543" s="3">
        <v>4</v>
      </c>
      <c r="G543" s="3" t="s">
        <v>36</v>
      </c>
      <c r="H543" s="3" t="s">
        <v>66</v>
      </c>
      <c r="I543" s="3">
        <v>5</v>
      </c>
      <c r="J543" s="3" t="s">
        <v>30</v>
      </c>
      <c r="K543" s="18">
        <v>110</v>
      </c>
      <c r="L543" s="16">
        <v>245</v>
      </c>
      <c r="M543" s="6" t="str" cm="1">
        <f t="array" ref="M543">_xlfn.IFS(L543&lt;100,"Economy",L543&lt;200,"Standard",L543&lt;350,"Powerful",L543&lt;500,"High Performance",L543&lt;800,"Sports Performance",L543&gt;=800,"Super Performance")</f>
        <v>Powerful</v>
      </c>
    </row>
    <row r="544" spans="1:13" x14ac:dyDescent="0.25">
      <c r="A544" s="5" t="s">
        <v>350</v>
      </c>
      <c r="B544" s="3" t="s">
        <v>1233</v>
      </c>
      <c r="C544" s="3" t="s">
        <v>1243</v>
      </c>
      <c r="D544" s="4">
        <v>1209990</v>
      </c>
      <c r="E544" s="3">
        <v>1461</v>
      </c>
      <c r="F544" s="3">
        <v>4</v>
      </c>
      <c r="G544" s="3" t="s">
        <v>36</v>
      </c>
      <c r="H544" s="3" t="s">
        <v>66</v>
      </c>
      <c r="I544" s="3">
        <v>5</v>
      </c>
      <c r="J544" s="3" t="s">
        <v>30</v>
      </c>
      <c r="K544" s="18">
        <v>110</v>
      </c>
      <c r="L544" s="16">
        <v>245</v>
      </c>
      <c r="M544" s="6" t="str" cm="1">
        <f t="array" ref="M544">_xlfn.IFS(L544&lt;100,"Economy",L544&lt;200,"Standard",L544&lt;350,"Powerful",L544&lt;500,"High Performance",L544&lt;800,"Sports Performance",L544&gt;=800,"Super Performance")</f>
        <v>Powerful</v>
      </c>
    </row>
    <row r="545" spans="1:13" x14ac:dyDescent="0.25">
      <c r="A545" s="5" t="s">
        <v>239</v>
      </c>
      <c r="B545" s="3" t="s">
        <v>669</v>
      </c>
      <c r="C545" s="3" t="s">
        <v>771</v>
      </c>
      <c r="D545" s="4">
        <v>1379000</v>
      </c>
      <c r="E545" s="3">
        <v>1353</v>
      </c>
      <c r="F545" s="3">
        <v>4</v>
      </c>
      <c r="G545" s="3" t="s">
        <v>10</v>
      </c>
      <c r="H545" s="3" t="s">
        <v>66</v>
      </c>
      <c r="I545" s="3">
        <v>5</v>
      </c>
      <c r="J545" s="3" t="s">
        <v>12</v>
      </c>
      <c r="K545" s="18">
        <v>140</v>
      </c>
      <c r="L545" s="16">
        <v>242</v>
      </c>
      <c r="M545" s="6" t="str" cm="1">
        <f t="array" ref="M545">_xlfn.IFS(L545&lt;100,"Economy",L545&lt;200,"Standard",L545&lt;350,"Powerful",L545&lt;500,"High Performance",L545&lt;800,"Sports Performance",L545&gt;=800,"Super Performance")</f>
        <v>Powerful</v>
      </c>
    </row>
    <row r="546" spans="1:13" x14ac:dyDescent="0.25">
      <c r="A546" s="5" t="s">
        <v>239</v>
      </c>
      <c r="B546" s="3" t="s">
        <v>669</v>
      </c>
      <c r="C546" s="3" t="s">
        <v>772</v>
      </c>
      <c r="D546" s="4">
        <v>1529000</v>
      </c>
      <c r="E546" s="3">
        <v>1353</v>
      </c>
      <c r="F546" s="3">
        <v>4</v>
      </c>
      <c r="G546" s="3" t="s">
        <v>10</v>
      </c>
      <c r="H546" s="3" t="s">
        <v>66</v>
      </c>
      <c r="I546" s="3">
        <v>5</v>
      </c>
      <c r="J546" s="3" t="s">
        <v>12</v>
      </c>
      <c r="K546" s="18">
        <v>140</v>
      </c>
      <c r="L546" s="16">
        <v>242</v>
      </c>
      <c r="M546" s="6" t="str" cm="1">
        <f t="array" ref="M546">_xlfn.IFS(L546&lt;100,"Economy",L546&lt;200,"Standard",L546&lt;350,"Powerful",L546&lt;500,"High Performance",L546&lt;800,"Sports Performance",L546&gt;=800,"Super Performance")</f>
        <v>Powerful</v>
      </c>
    </row>
    <row r="547" spans="1:13" x14ac:dyDescent="0.25">
      <c r="A547" s="5" t="s">
        <v>239</v>
      </c>
      <c r="B547" s="3" t="s">
        <v>669</v>
      </c>
      <c r="C547" s="3" t="s">
        <v>773</v>
      </c>
      <c r="D547" s="4">
        <v>1629000</v>
      </c>
      <c r="E547" s="3">
        <v>1353</v>
      </c>
      <c r="F547" s="3">
        <v>4</v>
      </c>
      <c r="G547" s="3" t="s">
        <v>10</v>
      </c>
      <c r="H547" s="3" t="s">
        <v>66</v>
      </c>
      <c r="I547" s="3">
        <v>5</v>
      </c>
      <c r="J547" s="3" t="s">
        <v>71</v>
      </c>
      <c r="K547" s="18">
        <v>140</v>
      </c>
      <c r="L547" s="16">
        <v>242</v>
      </c>
      <c r="M547" s="6" t="str" cm="1">
        <f t="array" ref="M547">_xlfn.IFS(L547&lt;100,"Economy",L547&lt;200,"Standard",L547&lt;350,"Powerful",L547&lt;500,"High Performance",L547&lt;800,"Sports Performance",L547&gt;=800,"Super Performance")</f>
        <v>Powerful</v>
      </c>
    </row>
    <row r="548" spans="1:13" x14ac:dyDescent="0.25">
      <c r="A548" s="5" t="s">
        <v>239</v>
      </c>
      <c r="B548" s="3" t="s">
        <v>669</v>
      </c>
      <c r="C548" s="3" t="s">
        <v>774</v>
      </c>
      <c r="D548" s="4">
        <v>1629000</v>
      </c>
      <c r="E548" s="3">
        <v>1353</v>
      </c>
      <c r="F548" s="3">
        <v>4</v>
      </c>
      <c r="G548" s="3" t="s">
        <v>10</v>
      </c>
      <c r="H548" s="3" t="s">
        <v>66</v>
      </c>
      <c r="I548" s="3">
        <v>5</v>
      </c>
      <c r="J548" s="3" t="s">
        <v>12</v>
      </c>
      <c r="K548" s="18">
        <v>140</v>
      </c>
      <c r="L548" s="16">
        <v>242</v>
      </c>
      <c r="M548" s="6" t="str" cm="1">
        <f t="array" ref="M548">_xlfn.IFS(L548&lt;100,"Economy",L548&lt;200,"Standard",L548&lt;350,"Powerful",L548&lt;500,"High Performance",L548&lt;800,"Sports Performance",L548&gt;=800,"Super Performance")</f>
        <v>Powerful</v>
      </c>
    </row>
    <row r="549" spans="1:13" x14ac:dyDescent="0.25">
      <c r="A549" s="5" t="s">
        <v>382</v>
      </c>
      <c r="B549" s="3" t="s">
        <v>441</v>
      </c>
      <c r="C549" s="3" t="s">
        <v>579</v>
      </c>
      <c r="D549" s="4">
        <v>9665000</v>
      </c>
      <c r="E549" s="3">
        <v>1969</v>
      </c>
      <c r="F549" s="3">
        <v>4</v>
      </c>
      <c r="G549" s="3" t="s">
        <v>194</v>
      </c>
      <c r="H549" s="3" t="s">
        <v>66</v>
      </c>
      <c r="I549" s="3">
        <v>7</v>
      </c>
      <c r="J549" s="3" t="s">
        <v>30</v>
      </c>
      <c r="K549" s="18">
        <v>320</v>
      </c>
      <c r="L549" s="16">
        <v>240</v>
      </c>
      <c r="M549" s="6" t="str" cm="1">
        <f t="array" ref="M549">_xlfn.IFS(L549&lt;100,"Economy",L549&lt;200,"Standard",L549&lt;350,"Powerful",L549&lt;500,"High Performance",L549&lt;800,"Sports Performance",L549&gt;=800,"Super Performance")</f>
        <v>Powerful</v>
      </c>
    </row>
    <row r="550" spans="1:13" x14ac:dyDescent="0.25">
      <c r="A550" s="5" t="s">
        <v>350</v>
      </c>
      <c r="B550" s="3" t="s">
        <v>765</v>
      </c>
      <c r="C550" s="3" t="s">
        <v>767</v>
      </c>
      <c r="D550" s="4">
        <v>1049999</v>
      </c>
      <c r="E550" s="3">
        <v>1461</v>
      </c>
      <c r="F550" s="3">
        <v>4</v>
      </c>
      <c r="G550" s="3" t="s">
        <v>36</v>
      </c>
      <c r="H550" s="3" t="s">
        <v>66</v>
      </c>
      <c r="I550" s="3">
        <v>5</v>
      </c>
      <c r="J550" s="3" t="s">
        <v>12</v>
      </c>
      <c r="K550" s="18">
        <v>110</v>
      </c>
      <c r="L550" s="16">
        <v>240</v>
      </c>
      <c r="M550" s="6" t="str" cm="1">
        <f t="array" ref="M550">_xlfn.IFS(L550&lt;100,"Economy",L550&lt;200,"Standard",L550&lt;350,"Powerful",L550&lt;500,"High Performance",L550&lt;800,"Sports Performance",L550&gt;=800,"Super Performance")</f>
        <v>Powerful</v>
      </c>
    </row>
    <row r="551" spans="1:13" x14ac:dyDescent="0.25">
      <c r="A551" s="5" t="s">
        <v>350</v>
      </c>
      <c r="B551" s="3" t="s">
        <v>765</v>
      </c>
      <c r="C551" s="3" t="s">
        <v>768</v>
      </c>
      <c r="D551" s="4">
        <v>1299999</v>
      </c>
      <c r="E551" s="3">
        <v>1461</v>
      </c>
      <c r="F551" s="3">
        <v>4</v>
      </c>
      <c r="G551" s="3" t="s">
        <v>36</v>
      </c>
      <c r="H551" s="3" t="s">
        <v>66</v>
      </c>
      <c r="I551" s="3">
        <v>5</v>
      </c>
      <c r="J551" s="3" t="s">
        <v>12</v>
      </c>
      <c r="K551" s="18">
        <v>110</v>
      </c>
      <c r="L551" s="16">
        <v>240</v>
      </c>
      <c r="M551" s="6" t="str" cm="1">
        <f t="array" ref="M551">_xlfn.IFS(L551&lt;100,"Economy",L551&lt;200,"Standard",L551&lt;350,"Powerful",L551&lt;500,"High Performance",L551&lt;800,"Sports Performance",L551&gt;=800,"Super Performance")</f>
        <v>Powerful</v>
      </c>
    </row>
    <row r="552" spans="1:13" x14ac:dyDescent="0.25">
      <c r="A552" s="5" t="s">
        <v>330</v>
      </c>
      <c r="B552" s="3" t="s">
        <v>808</v>
      </c>
      <c r="C552" s="3" t="s">
        <v>334</v>
      </c>
      <c r="D552" s="4">
        <v>1109000</v>
      </c>
      <c r="E552" s="3">
        <v>1461</v>
      </c>
      <c r="F552" s="3">
        <v>4</v>
      </c>
      <c r="G552" s="3" t="s">
        <v>36</v>
      </c>
      <c r="H552" s="3" t="s">
        <v>66</v>
      </c>
      <c r="I552" s="3">
        <v>5</v>
      </c>
      <c r="J552" s="3" t="s">
        <v>12</v>
      </c>
      <c r="K552" s="18">
        <v>110</v>
      </c>
      <c r="L552" s="16">
        <v>240</v>
      </c>
      <c r="M552" s="6" t="str" cm="1">
        <f t="array" ref="M552">_xlfn.IFS(L552&lt;100,"Economy",L552&lt;200,"Standard",L552&lt;350,"Powerful",L552&lt;500,"High Performance",L552&lt;800,"Sports Performance",L552&gt;=800,"Super Performance")</f>
        <v>Powerful</v>
      </c>
    </row>
    <row r="553" spans="1:13" x14ac:dyDescent="0.25">
      <c r="A553" s="5" t="s">
        <v>330</v>
      </c>
      <c r="B553" s="3" t="s">
        <v>808</v>
      </c>
      <c r="C553" s="3" t="s">
        <v>335</v>
      </c>
      <c r="D553" s="4">
        <v>1251000</v>
      </c>
      <c r="E553" s="3">
        <v>1461</v>
      </c>
      <c r="F553" s="3">
        <v>4</v>
      </c>
      <c r="G553" s="3" t="s">
        <v>36</v>
      </c>
      <c r="H553" s="3" t="s">
        <v>66</v>
      </c>
      <c r="I553" s="3">
        <v>5</v>
      </c>
      <c r="J553" s="3" t="s">
        <v>12</v>
      </c>
      <c r="K553" s="18">
        <v>110</v>
      </c>
      <c r="L553" s="16">
        <v>240</v>
      </c>
      <c r="M553" s="6" t="str" cm="1">
        <f t="array" ref="M553">_xlfn.IFS(L553&lt;100,"Economy",L553&lt;200,"Standard",L553&lt;350,"Powerful",L553&lt;500,"High Performance",L553&lt;800,"Sports Performance",L553&gt;=800,"Super Performance")</f>
        <v>Powerful</v>
      </c>
    </row>
    <row r="554" spans="1:13" x14ac:dyDescent="0.25">
      <c r="A554" s="5" t="s">
        <v>330</v>
      </c>
      <c r="B554" s="3" t="s">
        <v>808</v>
      </c>
      <c r="C554" s="3" t="s">
        <v>810</v>
      </c>
      <c r="D554" s="4">
        <v>1369000</v>
      </c>
      <c r="E554" s="3">
        <v>1461</v>
      </c>
      <c r="F554" s="3">
        <v>4</v>
      </c>
      <c r="G554" s="3" t="s">
        <v>36</v>
      </c>
      <c r="H554" s="3" t="s">
        <v>66</v>
      </c>
      <c r="I554" s="3">
        <v>5</v>
      </c>
      <c r="J554" s="3" t="s">
        <v>12</v>
      </c>
      <c r="K554" s="18">
        <v>110</v>
      </c>
      <c r="L554" s="16">
        <v>240</v>
      </c>
      <c r="M554" s="6" t="str" cm="1">
        <f t="array" ref="M554">_xlfn.IFS(L554&lt;100,"Economy",L554&lt;200,"Standard",L554&lt;350,"Powerful",L554&lt;500,"High Performance",L554&lt;800,"Sports Performance",L554&gt;=800,"Super Performance")</f>
        <v>Powerful</v>
      </c>
    </row>
    <row r="555" spans="1:13" x14ac:dyDescent="0.25">
      <c r="A555" s="5" t="s">
        <v>330</v>
      </c>
      <c r="B555" s="3" t="s">
        <v>808</v>
      </c>
      <c r="C555" s="3" t="s">
        <v>811</v>
      </c>
      <c r="D555" s="4">
        <v>1465000</v>
      </c>
      <c r="E555" s="3">
        <v>1461</v>
      </c>
      <c r="F555" s="3">
        <v>4</v>
      </c>
      <c r="G555" s="3" t="s">
        <v>36</v>
      </c>
      <c r="H555" s="3" t="s">
        <v>66</v>
      </c>
      <c r="I555" s="3">
        <v>5</v>
      </c>
      <c r="J555" s="3" t="s">
        <v>12</v>
      </c>
      <c r="K555" s="18">
        <v>110</v>
      </c>
      <c r="L555" s="16">
        <v>240</v>
      </c>
      <c r="M555" s="6" t="str" cm="1">
        <f t="array" ref="M555">_xlfn.IFS(L555&lt;100,"Economy",L555&lt;200,"Standard",L555&lt;350,"Powerful",L555&lt;500,"High Performance",L555&lt;800,"Sports Performance",L555&gt;=800,"Super Performance")</f>
        <v>Powerful</v>
      </c>
    </row>
    <row r="556" spans="1:13" x14ac:dyDescent="0.25">
      <c r="A556" s="5" t="s">
        <v>330</v>
      </c>
      <c r="B556" s="3" t="s">
        <v>808</v>
      </c>
      <c r="C556" s="3" t="s">
        <v>812</v>
      </c>
      <c r="D556" s="4">
        <v>1465000</v>
      </c>
      <c r="E556" s="3">
        <v>1461</v>
      </c>
      <c r="F556" s="3">
        <v>4</v>
      </c>
      <c r="G556" s="3" t="s">
        <v>36</v>
      </c>
      <c r="H556" s="3" t="s">
        <v>66</v>
      </c>
      <c r="I556" s="3">
        <v>5</v>
      </c>
      <c r="J556" s="3" t="s">
        <v>12</v>
      </c>
      <c r="K556" s="18">
        <v>110</v>
      </c>
      <c r="L556" s="16">
        <v>240</v>
      </c>
      <c r="M556" s="6" t="str" cm="1">
        <f t="array" ref="M556">_xlfn.IFS(L556&lt;100,"Economy",L556&lt;200,"Standard",L556&lt;350,"Powerful",L556&lt;500,"High Performance",L556&lt;800,"Sports Performance",L556&gt;=800,"Super Performance")</f>
        <v>Powerful</v>
      </c>
    </row>
    <row r="557" spans="1:13" x14ac:dyDescent="0.25">
      <c r="A557" s="5" t="s">
        <v>330</v>
      </c>
      <c r="B557" s="3" t="s">
        <v>808</v>
      </c>
      <c r="C557" s="3" t="s">
        <v>336</v>
      </c>
      <c r="D557" s="4">
        <v>989000</v>
      </c>
      <c r="E557" s="3">
        <v>1461</v>
      </c>
      <c r="F557" s="3">
        <v>4</v>
      </c>
      <c r="G557" s="3" t="s">
        <v>36</v>
      </c>
      <c r="H557" s="3" t="s">
        <v>66</v>
      </c>
      <c r="I557" s="3">
        <v>5</v>
      </c>
      <c r="J557" s="3" t="s">
        <v>12</v>
      </c>
      <c r="K557" s="18">
        <v>110</v>
      </c>
      <c r="L557" s="16">
        <v>240</v>
      </c>
      <c r="M557" s="6" t="str" cm="1">
        <f t="array" ref="M557">_xlfn.IFS(L557&lt;100,"Economy",L557&lt;200,"Standard",L557&lt;350,"Powerful",L557&lt;500,"High Performance",L557&lt;800,"Sports Performance",L557&gt;=800,"Super Performance")</f>
        <v>Powerful</v>
      </c>
    </row>
    <row r="558" spans="1:13" x14ac:dyDescent="0.25">
      <c r="A558" s="5" t="s">
        <v>202</v>
      </c>
      <c r="B558" s="3" t="s">
        <v>916</v>
      </c>
      <c r="C558" s="3" t="s">
        <v>917</v>
      </c>
      <c r="D558" s="4">
        <v>854328</v>
      </c>
      <c r="E558" s="3">
        <v>1493</v>
      </c>
      <c r="F558" s="3">
        <v>3</v>
      </c>
      <c r="G558" s="3" t="s">
        <v>36</v>
      </c>
      <c r="H558" s="3" t="s">
        <v>66</v>
      </c>
      <c r="I558" s="3">
        <v>7</v>
      </c>
      <c r="J558" s="3" t="s">
        <v>12</v>
      </c>
      <c r="K558" s="18">
        <v>84</v>
      </c>
      <c r="L558" s="16">
        <v>240</v>
      </c>
      <c r="M558" s="6" t="str" cm="1">
        <f t="array" ref="M558">_xlfn.IFS(L558&lt;100,"Economy",L558&lt;200,"Standard",L558&lt;350,"Powerful",L558&lt;500,"High Performance",L558&lt;800,"Sports Performance",L558&gt;=800,"Super Performance")</f>
        <v>Powerful</v>
      </c>
    </row>
    <row r="559" spans="1:13" x14ac:dyDescent="0.25">
      <c r="A559" s="5" t="s">
        <v>202</v>
      </c>
      <c r="B559" s="3" t="s">
        <v>916</v>
      </c>
      <c r="C559" s="3" t="s">
        <v>918</v>
      </c>
      <c r="D559" s="4">
        <v>914328</v>
      </c>
      <c r="E559" s="3">
        <v>1493</v>
      </c>
      <c r="F559" s="3">
        <v>3</v>
      </c>
      <c r="G559" s="3" t="s">
        <v>36</v>
      </c>
      <c r="H559" s="3" t="s">
        <v>66</v>
      </c>
      <c r="I559" s="3">
        <v>7</v>
      </c>
      <c r="J559" s="3" t="s">
        <v>12</v>
      </c>
      <c r="K559" s="18">
        <v>84</v>
      </c>
      <c r="L559" s="16">
        <v>240</v>
      </c>
      <c r="M559" s="6" t="str" cm="1">
        <f t="array" ref="M559">_xlfn.IFS(L559&lt;100,"Economy",L559&lt;200,"Standard",L559&lt;350,"Powerful",L559&lt;500,"High Performance",L559&lt;800,"Sports Performance",L559&gt;=800,"Super Performance")</f>
        <v>Powerful</v>
      </c>
    </row>
    <row r="560" spans="1:13" x14ac:dyDescent="0.25">
      <c r="A560" s="5" t="s">
        <v>202</v>
      </c>
      <c r="B560" s="3" t="s">
        <v>916</v>
      </c>
      <c r="C560" s="3" t="s">
        <v>919</v>
      </c>
      <c r="D560" s="4">
        <v>976592</v>
      </c>
      <c r="E560" s="3">
        <v>1493</v>
      </c>
      <c r="F560" s="3">
        <v>3</v>
      </c>
      <c r="G560" s="3" t="s">
        <v>36</v>
      </c>
      <c r="H560" s="3" t="s">
        <v>66</v>
      </c>
      <c r="I560" s="3">
        <v>7</v>
      </c>
      <c r="J560" s="3" t="s">
        <v>12</v>
      </c>
      <c r="K560" s="18">
        <v>84</v>
      </c>
      <c r="L560" s="16">
        <v>240</v>
      </c>
      <c r="M560" s="6" t="str" cm="1">
        <f t="array" ref="M560">_xlfn.IFS(L560&lt;100,"Economy",L560&lt;200,"Standard",L560&lt;350,"Powerful",L560&lt;500,"High Performance",L560&lt;800,"Sports Performance",L560&gt;=800,"Super Performance")</f>
        <v>Powerful</v>
      </c>
    </row>
    <row r="561" spans="1:13" x14ac:dyDescent="0.25">
      <c r="A561" s="5" t="s">
        <v>202</v>
      </c>
      <c r="B561" s="3" t="s">
        <v>916</v>
      </c>
      <c r="C561" s="3" t="s">
        <v>920</v>
      </c>
      <c r="D561" s="4">
        <v>999614</v>
      </c>
      <c r="E561" s="3">
        <v>1493</v>
      </c>
      <c r="F561" s="3">
        <v>3</v>
      </c>
      <c r="G561" s="3" t="s">
        <v>36</v>
      </c>
      <c r="H561" s="3" t="s">
        <v>66</v>
      </c>
      <c r="I561" s="3">
        <v>7</v>
      </c>
      <c r="J561" s="3" t="s">
        <v>12</v>
      </c>
      <c r="K561" s="18">
        <v>100</v>
      </c>
      <c r="L561" s="16">
        <v>240</v>
      </c>
      <c r="M561" s="6" t="str" cm="1">
        <f t="array" ref="M561">_xlfn.IFS(L561&lt;100,"Economy",L561&lt;200,"Standard",L561&lt;350,"Powerful",L561&lt;500,"High Performance",L561&lt;800,"Sports Performance",L561&gt;=800,"Super Performance")</f>
        <v>Powerful</v>
      </c>
    </row>
    <row r="562" spans="1:13" x14ac:dyDescent="0.25">
      <c r="A562" s="5" t="s">
        <v>202</v>
      </c>
      <c r="B562" s="3" t="s">
        <v>916</v>
      </c>
      <c r="C562" s="3" t="s">
        <v>921</v>
      </c>
      <c r="D562" s="4">
        <v>1031943</v>
      </c>
      <c r="E562" s="3">
        <v>1493</v>
      </c>
      <c r="F562" s="3">
        <v>3</v>
      </c>
      <c r="G562" s="3" t="s">
        <v>36</v>
      </c>
      <c r="H562" s="3" t="s">
        <v>66</v>
      </c>
      <c r="I562" s="3">
        <v>7</v>
      </c>
      <c r="J562" s="3" t="s">
        <v>12</v>
      </c>
      <c r="K562" s="18">
        <v>100</v>
      </c>
      <c r="L562" s="16">
        <v>240</v>
      </c>
      <c r="M562" s="6" t="str" cm="1">
        <f t="array" ref="M562">_xlfn.IFS(L562&lt;100,"Economy",L562&lt;200,"Standard",L562&lt;350,"Powerful",L562&lt;500,"High Performance",L562&lt;800,"Sports Performance",L562&gt;=800,"Super Performance")</f>
        <v>Powerful</v>
      </c>
    </row>
    <row r="563" spans="1:13" x14ac:dyDescent="0.25">
      <c r="A563" s="5" t="s">
        <v>202</v>
      </c>
      <c r="B563" s="3" t="s">
        <v>916</v>
      </c>
      <c r="C563" s="3" t="s">
        <v>922</v>
      </c>
      <c r="D563" s="4">
        <v>1022930</v>
      </c>
      <c r="E563" s="3">
        <v>1493</v>
      </c>
      <c r="F563" s="3">
        <v>3</v>
      </c>
      <c r="G563" s="3" t="s">
        <v>36</v>
      </c>
      <c r="H563" s="3" t="s">
        <v>66</v>
      </c>
      <c r="I563" s="3">
        <v>7</v>
      </c>
      <c r="J563" s="3" t="s">
        <v>12</v>
      </c>
      <c r="K563" s="18">
        <v>100</v>
      </c>
      <c r="L563" s="16">
        <v>240</v>
      </c>
      <c r="M563" s="6" t="str" cm="1">
        <f t="array" ref="M563">_xlfn.IFS(L563&lt;100,"Economy",L563&lt;200,"Standard",L563&lt;350,"Powerful",L563&lt;500,"High Performance",L563&lt;800,"Sports Performance",L563&gt;=800,"Super Performance")</f>
        <v>Powerful</v>
      </c>
    </row>
    <row r="564" spans="1:13" x14ac:dyDescent="0.25">
      <c r="A564" s="5" t="s">
        <v>202</v>
      </c>
      <c r="B564" s="3" t="s">
        <v>916</v>
      </c>
      <c r="C564" s="3" t="s">
        <v>923</v>
      </c>
      <c r="D564" s="4">
        <v>1055259</v>
      </c>
      <c r="E564" s="3">
        <v>1493</v>
      </c>
      <c r="F564" s="3">
        <v>3</v>
      </c>
      <c r="G564" s="3" t="s">
        <v>36</v>
      </c>
      <c r="H564" s="3" t="s">
        <v>66</v>
      </c>
      <c r="I564" s="3">
        <v>7</v>
      </c>
      <c r="J564" s="3" t="s">
        <v>12</v>
      </c>
      <c r="K564" s="18">
        <v>100</v>
      </c>
      <c r="L564" s="16">
        <v>240</v>
      </c>
      <c r="M564" s="6" t="str" cm="1">
        <f t="array" ref="M564">_xlfn.IFS(L564&lt;100,"Economy",L564&lt;200,"Standard",L564&lt;350,"Powerful",L564&lt;500,"High Performance",L564&lt;800,"Sports Performance",L564&gt;=800,"Super Performance")</f>
        <v>Powerful</v>
      </c>
    </row>
    <row r="565" spans="1:13" x14ac:dyDescent="0.25">
      <c r="A565" s="5" t="s">
        <v>202</v>
      </c>
      <c r="B565" s="3" t="s">
        <v>1034</v>
      </c>
      <c r="C565" s="3" t="s">
        <v>1035</v>
      </c>
      <c r="D565" s="4">
        <v>797802</v>
      </c>
      <c r="E565" s="3">
        <v>1493</v>
      </c>
      <c r="F565" s="3">
        <v>3</v>
      </c>
      <c r="G565" s="3" t="s">
        <v>36</v>
      </c>
      <c r="H565" s="3" t="s">
        <v>66</v>
      </c>
      <c r="I565" s="3">
        <v>7</v>
      </c>
      <c r="J565" s="3" t="s">
        <v>12</v>
      </c>
      <c r="K565" s="18">
        <v>100</v>
      </c>
      <c r="L565" s="16">
        <v>240</v>
      </c>
      <c r="M565" s="6" t="str" cm="1">
        <f t="array" ref="M565">_xlfn.IFS(L565&lt;100,"Economy",L565&lt;200,"Standard",L565&lt;350,"Powerful",L565&lt;500,"High Performance",L565&lt;800,"Sports Performance",L565&gt;=800,"Super Performance")</f>
        <v>Powerful</v>
      </c>
    </row>
    <row r="566" spans="1:13" x14ac:dyDescent="0.25">
      <c r="A566" s="5" t="s">
        <v>202</v>
      </c>
      <c r="B566" s="3" t="s">
        <v>1034</v>
      </c>
      <c r="C566" s="3" t="s">
        <v>1036</v>
      </c>
      <c r="D566" s="4">
        <v>905642</v>
      </c>
      <c r="E566" s="3">
        <v>1493</v>
      </c>
      <c r="F566" s="3">
        <v>3</v>
      </c>
      <c r="G566" s="3" t="s">
        <v>36</v>
      </c>
      <c r="H566" s="3" t="s">
        <v>66</v>
      </c>
      <c r="I566" s="3">
        <v>7</v>
      </c>
      <c r="J566" s="3" t="s">
        <v>12</v>
      </c>
      <c r="K566" s="18">
        <v>100</v>
      </c>
      <c r="L566" s="16">
        <v>240</v>
      </c>
      <c r="M566" s="6" t="str" cm="1">
        <f t="array" ref="M566">_xlfn.IFS(L566&lt;100,"Economy",L566&lt;200,"Standard",L566&lt;350,"Powerful",L566&lt;500,"High Performance",L566&lt;800,"Sports Performance",L566&gt;=800,"Super Performance")</f>
        <v>Powerful</v>
      </c>
    </row>
    <row r="567" spans="1:13" x14ac:dyDescent="0.25">
      <c r="A567" s="5" t="s">
        <v>202</v>
      </c>
      <c r="B567" s="3" t="s">
        <v>1034</v>
      </c>
      <c r="C567" s="3" t="s">
        <v>1037</v>
      </c>
      <c r="D567" s="4">
        <v>984818</v>
      </c>
      <c r="E567" s="3">
        <v>1493</v>
      </c>
      <c r="F567" s="3">
        <v>3</v>
      </c>
      <c r="G567" s="3" t="s">
        <v>36</v>
      </c>
      <c r="H567" s="3" t="s">
        <v>66</v>
      </c>
      <c r="I567" s="3">
        <v>7</v>
      </c>
      <c r="J567" s="3" t="s">
        <v>12</v>
      </c>
      <c r="K567" s="18">
        <v>100</v>
      </c>
      <c r="L567" s="16">
        <v>240</v>
      </c>
      <c r="M567" s="6" t="str" cm="1">
        <f t="array" ref="M567">_xlfn.IFS(L567&lt;100,"Economy",L567&lt;200,"Standard",L567&lt;350,"Powerful",L567&lt;500,"High Performance",L567&lt;800,"Sports Performance",L567&gt;=800,"Super Performance")</f>
        <v>Powerful</v>
      </c>
    </row>
    <row r="568" spans="1:13" x14ac:dyDescent="0.25">
      <c r="A568" s="5" t="s">
        <v>202</v>
      </c>
      <c r="B568" s="3" t="s">
        <v>1034</v>
      </c>
      <c r="C568" s="3" t="s">
        <v>1038</v>
      </c>
      <c r="D568" s="4">
        <v>832415</v>
      </c>
      <c r="E568" s="3">
        <v>1493</v>
      </c>
      <c r="F568" s="3">
        <v>3</v>
      </c>
      <c r="G568" s="3" t="s">
        <v>36</v>
      </c>
      <c r="H568" s="3" t="s">
        <v>66</v>
      </c>
      <c r="I568" s="3">
        <v>7</v>
      </c>
      <c r="J568" s="3" t="s">
        <v>12</v>
      </c>
      <c r="K568" s="18">
        <v>100</v>
      </c>
      <c r="L568" s="16">
        <v>240</v>
      </c>
      <c r="M568" s="6" t="str" cm="1">
        <f t="array" ref="M568">_xlfn.IFS(L568&lt;100,"Economy",L568&lt;200,"Standard",L568&lt;350,"Powerful",L568&lt;500,"High Performance",L568&lt;800,"Sports Performance",L568&gt;=800,"Super Performance")</f>
        <v>Powerful</v>
      </c>
    </row>
    <row r="569" spans="1:13" x14ac:dyDescent="0.25">
      <c r="A569" s="5" t="s">
        <v>202</v>
      </c>
      <c r="B569" s="3" t="s">
        <v>1034</v>
      </c>
      <c r="C569" s="3" t="s">
        <v>1039</v>
      </c>
      <c r="D569" s="4">
        <v>972359</v>
      </c>
      <c r="E569" s="3">
        <v>1493</v>
      </c>
      <c r="F569" s="3">
        <v>3</v>
      </c>
      <c r="G569" s="3" t="s">
        <v>36</v>
      </c>
      <c r="H569" s="3" t="s">
        <v>66</v>
      </c>
      <c r="I569" s="3">
        <v>7</v>
      </c>
      <c r="J569" s="3" t="s">
        <v>30</v>
      </c>
      <c r="K569" s="18">
        <v>100</v>
      </c>
      <c r="L569" s="16">
        <v>240</v>
      </c>
      <c r="M569" s="6" t="str" cm="1">
        <f t="array" ref="M569">_xlfn.IFS(L569&lt;100,"Economy",L569&lt;200,"Standard",L569&lt;350,"Powerful",L569&lt;500,"High Performance",L569&lt;800,"Sports Performance",L569&gt;=800,"Super Performance")</f>
        <v>Powerful</v>
      </c>
    </row>
    <row r="570" spans="1:13" x14ac:dyDescent="0.25">
      <c r="A570" s="5" t="s">
        <v>202</v>
      </c>
      <c r="B570" s="3" t="s">
        <v>1034</v>
      </c>
      <c r="C570" s="3" t="s">
        <v>1040</v>
      </c>
      <c r="D570" s="4">
        <v>1048603</v>
      </c>
      <c r="E570" s="3">
        <v>1493</v>
      </c>
      <c r="F570" s="3">
        <v>3</v>
      </c>
      <c r="G570" s="3" t="s">
        <v>36</v>
      </c>
      <c r="H570" s="3" t="s">
        <v>66</v>
      </c>
      <c r="I570" s="3">
        <v>7</v>
      </c>
      <c r="J570" s="3" t="s">
        <v>30</v>
      </c>
      <c r="K570" s="18">
        <v>100</v>
      </c>
      <c r="L570" s="16">
        <v>240</v>
      </c>
      <c r="M570" s="6" t="str" cm="1">
        <f t="array" ref="M570">_xlfn.IFS(L570&lt;100,"Economy",L570&lt;200,"Standard",L570&lt;350,"Powerful",L570&lt;500,"High Performance",L570&lt;800,"Sports Performance",L570&gt;=800,"Super Performance")</f>
        <v>Powerful</v>
      </c>
    </row>
    <row r="571" spans="1:13" x14ac:dyDescent="0.25">
      <c r="A571" s="5" t="s">
        <v>1047</v>
      </c>
      <c r="B571" s="3" t="s">
        <v>1048</v>
      </c>
      <c r="C571" s="3" t="s">
        <v>1049</v>
      </c>
      <c r="D571" s="4">
        <v>642478</v>
      </c>
      <c r="E571" s="3">
        <v>1994</v>
      </c>
      <c r="F571" s="3">
        <v>4</v>
      </c>
      <c r="G571" s="3" t="s">
        <v>36</v>
      </c>
      <c r="H571" s="3" t="s">
        <v>66</v>
      </c>
      <c r="I571" s="3">
        <v>9</v>
      </c>
      <c r="J571" s="3" t="s">
        <v>12</v>
      </c>
      <c r="K571" s="18">
        <v>101.4</v>
      </c>
      <c r="L571" s="16">
        <v>240</v>
      </c>
      <c r="M571" s="6" t="str" cm="1">
        <f t="array" ref="M571">_xlfn.IFS(L571&lt;100,"Economy",L571&lt;200,"Standard",L571&lt;350,"Powerful",L571&lt;500,"High Performance",L571&lt;800,"Sports Performance",L571&gt;=800,"Super Performance")</f>
        <v>Powerful</v>
      </c>
    </row>
    <row r="572" spans="1:13" x14ac:dyDescent="0.25">
      <c r="A572" s="5" t="s">
        <v>1047</v>
      </c>
      <c r="B572" s="3" t="s">
        <v>1048</v>
      </c>
      <c r="C572" s="3" t="s">
        <v>1053</v>
      </c>
      <c r="D572" s="4">
        <v>2650777</v>
      </c>
      <c r="E572" s="3">
        <v>1994</v>
      </c>
      <c r="F572" s="3">
        <v>4</v>
      </c>
      <c r="G572" s="3" t="s">
        <v>36</v>
      </c>
      <c r="H572" s="3" t="s">
        <v>66</v>
      </c>
      <c r="I572" s="3">
        <v>9</v>
      </c>
      <c r="J572" s="3" t="s">
        <v>12</v>
      </c>
      <c r="K572" s="18">
        <v>101.4</v>
      </c>
      <c r="L572" s="16">
        <v>240</v>
      </c>
      <c r="M572" s="6" t="str" cm="1">
        <f t="array" ref="M572">_xlfn.IFS(L572&lt;100,"Economy",L572&lt;200,"Standard",L572&lt;350,"Powerful",L572&lt;500,"High Performance",L572&lt;800,"Sports Performance",L572&gt;=800,"Super Performance")</f>
        <v>Powerful</v>
      </c>
    </row>
    <row r="573" spans="1:13" x14ac:dyDescent="0.25">
      <c r="A573" s="5" t="s">
        <v>1047</v>
      </c>
      <c r="B573" s="3" t="s">
        <v>1048</v>
      </c>
      <c r="C573" s="3" t="s">
        <v>1056</v>
      </c>
      <c r="D573" s="4">
        <v>1465148</v>
      </c>
      <c r="E573" s="3">
        <v>1994</v>
      </c>
      <c r="F573" s="3">
        <v>4</v>
      </c>
      <c r="G573" s="3" t="s">
        <v>36</v>
      </c>
      <c r="H573" s="3" t="s">
        <v>66</v>
      </c>
      <c r="I573" s="3">
        <v>7</v>
      </c>
      <c r="J573" s="3" t="s">
        <v>12</v>
      </c>
      <c r="K573" s="18">
        <v>101.4</v>
      </c>
      <c r="L573" s="16">
        <v>240</v>
      </c>
      <c r="M573" s="6" t="str" cm="1">
        <f t="array" ref="M573">_xlfn.IFS(L573&lt;100,"Economy",L573&lt;200,"Standard",L573&lt;350,"Powerful",L573&lt;500,"High Performance",L573&lt;800,"Sports Performance",L573&gt;=800,"Super Performance")</f>
        <v>Powerful</v>
      </c>
    </row>
    <row r="574" spans="1:13" x14ac:dyDescent="0.25">
      <c r="A574" s="5" t="s">
        <v>382</v>
      </c>
      <c r="B574" s="3" t="s">
        <v>1142</v>
      </c>
      <c r="C574" s="3" t="s">
        <v>1298</v>
      </c>
      <c r="D574" s="4">
        <v>2962000</v>
      </c>
      <c r="E574" s="3">
        <v>1596</v>
      </c>
      <c r="F574" s="3">
        <v>4</v>
      </c>
      <c r="G574" s="3" t="s">
        <v>10</v>
      </c>
      <c r="H574" s="3" t="s">
        <v>11</v>
      </c>
      <c r="I574" s="3">
        <v>5</v>
      </c>
      <c r="J574" s="3" t="s">
        <v>30</v>
      </c>
      <c r="K574" s="18">
        <v>180</v>
      </c>
      <c r="L574" s="16">
        <v>240</v>
      </c>
      <c r="M574" s="6" t="str" cm="1">
        <f t="array" ref="M574">_xlfn.IFS(L574&lt;100,"Economy",L574&lt;200,"Standard",L574&lt;350,"Powerful",L574&lt;500,"High Performance",L574&lt;800,"Sports Performance",L574&gt;=800,"Super Performance")</f>
        <v>Powerful</v>
      </c>
    </row>
    <row r="575" spans="1:13" x14ac:dyDescent="0.25">
      <c r="A575" s="5" t="s">
        <v>105</v>
      </c>
      <c r="B575" s="3" t="s">
        <v>106</v>
      </c>
      <c r="C575" s="3" t="s">
        <v>1067</v>
      </c>
      <c r="D575" s="4">
        <v>999000</v>
      </c>
      <c r="E575" s="3">
        <v>2596</v>
      </c>
      <c r="F575" s="3">
        <v>4</v>
      </c>
      <c r="G575" s="3" t="s">
        <v>36</v>
      </c>
      <c r="H575" s="3" t="s">
        <v>66</v>
      </c>
      <c r="I575" s="3">
        <v>7</v>
      </c>
      <c r="J575" s="3" t="s">
        <v>12</v>
      </c>
      <c r="K575" s="18">
        <v>85</v>
      </c>
      <c r="L575" s="16">
        <v>230</v>
      </c>
      <c r="M575" s="6" t="str" cm="1">
        <f t="array" ref="M575">_xlfn.IFS(L575&lt;100,"Economy",L575&lt;200,"Standard",L575&lt;350,"Powerful",L575&lt;500,"High Performance",L575&lt;800,"Sports Performance",L575&gt;=800,"Super Performance")</f>
        <v>Powerful</v>
      </c>
    </row>
    <row r="576" spans="1:13" x14ac:dyDescent="0.25">
      <c r="A576" s="5" t="s">
        <v>105</v>
      </c>
      <c r="B576" s="3" t="s">
        <v>106</v>
      </c>
      <c r="C576" s="3" t="s">
        <v>1068</v>
      </c>
      <c r="D576" s="4">
        <v>975000</v>
      </c>
      <c r="E576" s="3">
        <v>2596</v>
      </c>
      <c r="F576" s="3">
        <v>4</v>
      </c>
      <c r="G576" s="3" t="s">
        <v>36</v>
      </c>
      <c r="H576" s="3" t="s">
        <v>66</v>
      </c>
      <c r="I576" s="3">
        <v>7</v>
      </c>
      <c r="J576" s="3" t="s">
        <v>12</v>
      </c>
      <c r="K576" s="18">
        <v>85</v>
      </c>
      <c r="L576" s="16">
        <v>230</v>
      </c>
      <c r="M576" s="6" t="str" cm="1">
        <f t="array" ref="M576">_xlfn.IFS(L576&lt;100,"Economy",L576&lt;200,"Standard",L576&lt;350,"Powerful",L576&lt;500,"High Performance",L576&lt;800,"Sports Performance",L576&gt;=800,"Super Performance")</f>
        <v>Powerful</v>
      </c>
    </row>
    <row r="577" spans="1:13" x14ac:dyDescent="0.25">
      <c r="A577" s="5" t="s">
        <v>105</v>
      </c>
      <c r="B577" s="3" t="s">
        <v>106</v>
      </c>
      <c r="C577" s="3" t="s">
        <v>1240</v>
      </c>
      <c r="D577" s="4">
        <v>1075000</v>
      </c>
      <c r="E577" s="3">
        <v>2596</v>
      </c>
      <c r="F577" s="3">
        <v>4</v>
      </c>
      <c r="G577" s="3" t="s">
        <v>36</v>
      </c>
      <c r="H577" s="3" t="s">
        <v>66</v>
      </c>
      <c r="I577" s="3">
        <v>5</v>
      </c>
      <c r="J577" s="3" t="s">
        <v>12</v>
      </c>
      <c r="K577" s="18">
        <v>85</v>
      </c>
      <c r="L577" s="16">
        <v>230</v>
      </c>
      <c r="M577" s="6" t="str" cm="1">
        <f t="array" ref="M577">_xlfn.IFS(L577&lt;100,"Economy",L577&lt;200,"Standard",L577&lt;350,"Powerful",L577&lt;500,"High Performance",L577&lt;800,"Sports Performance",L577&gt;=800,"Super Performance")</f>
        <v>Powerful</v>
      </c>
    </row>
    <row r="578" spans="1:13" x14ac:dyDescent="0.25">
      <c r="A578" s="5" t="s">
        <v>105</v>
      </c>
      <c r="B578" s="3" t="s">
        <v>106</v>
      </c>
      <c r="C578" s="3" t="s">
        <v>1246</v>
      </c>
      <c r="D578" s="4">
        <v>1225000</v>
      </c>
      <c r="E578" s="3">
        <v>2596</v>
      </c>
      <c r="F578" s="3">
        <v>4</v>
      </c>
      <c r="G578" s="3" t="s">
        <v>36</v>
      </c>
      <c r="H578" s="3" t="s">
        <v>66</v>
      </c>
      <c r="I578" s="3">
        <v>5</v>
      </c>
      <c r="J578" s="3" t="s">
        <v>12</v>
      </c>
      <c r="K578" s="18">
        <v>85</v>
      </c>
      <c r="L578" s="16">
        <v>230</v>
      </c>
      <c r="M578" s="6" t="str" cm="1">
        <f t="array" ref="M578">_xlfn.IFS(L578&lt;100,"Economy",L578&lt;200,"Standard",L578&lt;350,"Powerful",L578&lt;500,"High Performance",L578&lt;800,"Sports Performance",L578&gt;=800,"Super Performance")</f>
        <v>Powerful</v>
      </c>
    </row>
    <row r="579" spans="1:13" x14ac:dyDescent="0.25">
      <c r="A579" s="5" t="s">
        <v>160</v>
      </c>
      <c r="B579" s="3" t="s">
        <v>1334</v>
      </c>
      <c r="C579" s="3" t="s">
        <v>749</v>
      </c>
      <c r="D579" s="4">
        <v>851500</v>
      </c>
      <c r="E579" s="3">
        <v>1498</v>
      </c>
      <c r="F579" s="3">
        <v>4</v>
      </c>
      <c r="G579" s="3" t="s">
        <v>36</v>
      </c>
      <c r="H579" s="3" t="s">
        <v>11</v>
      </c>
      <c r="I579" s="3">
        <v>5</v>
      </c>
      <c r="J579" s="3" t="s">
        <v>12</v>
      </c>
      <c r="K579" s="18">
        <v>90</v>
      </c>
      <c r="L579" s="16">
        <v>230</v>
      </c>
      <c r="M579" s="6" t="str" cm="1">
        <f t="array" ref="M579">_xlfn.IFS(L579&lt;100,"Economy",L579&lt;200,"Standard",L579&lt;350,"Powerful",L579&lt;500,"High Performance",L579&lt;800,"Sports Performance",L579&gt;=800,"Super Performance")</f>
        <v>Powerful</v>
      </c>
    </row>
    <row r="580" spans="1:13" x14ac:dyDescent="0.25">
      <c r="A580" s="5" t="s">
        <v>160</v>
      </c>
      <c r="B580" s="3" t="s">
        <v>1334</v>
      </c>
      <c r="C580" s="3" t="s">
        <v>1339</v>
      </c>
      <c r="D580" s="4">
        <v>734500</v>
      </c>
      <c r="E580" s="3">
        <v>1498</v>
      </c>
      <c r="F580" s="3">
        <v>4</v>
      </c>
      <c r="G580" s="3" t="s">
        <v>36</v>
      </c>
      <c r="H580" s="3" t="s">
        <v>11</v>
      </c>
      <c r="I580" s="3">
        <v>5</v>
      </c>
      <c r="J580" s="3" t="s">
        <v>12</v>
      </c>
      <c r="K580" s="18">
        <v>90</v>
      </c>
      <c r="L580" s="16">
        <v>230</v>
      </c>
      <c r="M580" s="6" t="str" cm="1">
        <f t="array" ref="M580">_xlfn.IFS(L580&lt;100,"Economy",L580&lt;200,"Standard",L580&lt;350,"Powerful",L580&lt;500,"High Performance",L580&lt;800,"Sports Performance",L580&gt;=800,"Super Performance")</f>
        <v>Powerful</v>
      </c>
    </row>
    <row r="581" spans="1:13" x14ac:dyDescent="0.25">
      <c r="A581" s="5" t="s">
        <v>160</v>
      </c>
      <c r="B581" s="3" t="s">
        <v>1334</v>
      </c>
      <c r="C581" s="3" t="s">
        <v>1340</v>
      </c>
      <c r="D581" s="4">
        <v>931500</v>
      </c>
      <c r="E581" s="3">
        <v>1498</v>
      </c>
      <c r="F581" s="3">
        <v>4</v>
      </c>
      <c r="G581" s="3" t="s">
        <v>36</v>
      </c>
      <c r="H581" s="3" t="s">
        <v>11</v>
      </c>
      <c r="I581" s="3">
        <v>5</v>
      </c>
      <c r="J581" s="3" t="s">
        <v>12</v>
      </c>
      <c r="K581" s="18">
        <v>90</v>
      </c>
      <c r="L581" s="16">
        <v>230</v>
      </c>
      <c r="M581" s="6" t="str" cm="1">
        <f t="array" ref="M581">_xlfn.IFS(L581&lt;100,"Economy",L581&lt;200,"Standard",L581&lt;350,"Powerful",L581&lt;500,"High Performance",L581&lt;800,"Sports Performance",L581&gt;=800,"Super Performance")</f>
        <v>Powerful</v>
      </c>
    </row>
    <row r="582" spans="1:13" x14ac:dyDescent="0.25">
      <c r="A582" s="5" t="s">
        <v>93</v>
      </c>
      <c r="B582" s="3" t="s">
        <v>263</v>
      </c>
      <c r="C582" s="3" t="s">
        <v>268</v>
      </c>
      <c r="D582" s="4">
        <v>986689</v>
      </c>
      <c r="E582" s="3">
        <v>1498</v>
      </c>
      <c r="F582" s="3">
        <v>4</v>
      </c>
      <c r="G582" s="3" t="s">
        <v>36</v>
      </c>
      <c r="H582" s="3" t="s">
        <v>226</v>
      </c>
      <c r="I582" s="3">
        <v>7</v>
      </c>
      <c r="J582" s="3" t="s">
        <v>12</v>
      </c>
      <c r="K582" s="18">
        <v>95</v>
      </c>
      <c r="L582" s="16">
        <v>225</v>
      </c>
      <c r="M582" s="6" t="str" cm="1">
        <f t="array" ref="M582">_xlfn.IFS(L582&lt;100,"Economy",L582&lt;200,"Standard",L582&lt;350,"Powerful",L582&lt;500,"High Performance",L582&lt;800,"Sports Performance",L582&gt;=800,"Super Performance")</f>
        <v>Powerful</v>
      </c>
    </row>
    <row r="583" spans="1:13" x14ac:dyDescent="0.25">
      <c r="A583" s="5" t="s">
        <v>93</v>
      </c>
      <c r="B583" s="3" t="s">
        <v>263</v>
      </c>
      <c r="C583" s="3" t="s">
        <v>269</v>
      </c>
      <c r="D583" s="4">
        <v>1069689</v>
      </c>
      <c r="E583" s="3">
        <v>1498</v>
      </c>
      <c r="F583" s="3">
        <v>4</v>
      </c>
      <c r="G583" s="3" t="s">
        <v>36</v>
      </c>
      <c r="H583" s="3" t="s">
        <v>226</v>
      </c>
      <c r="I583" s="3">
        <v>7</v>
      </c>
      <c r="J583" s="3" t="s">
        <v>12</v>
      </c>
      <c r="K583" s="18">
        <v>95</v>
      </c>
      <c r="L583" s="16">
        <v>225</v>
      </c>
      <c r="M583" s="6" t="str" cm="1">
        <f t="array" ref="M583">_xlfn.IFS(L583&lt;100,"Economy",L583&lt;200,"Standard",L583&lt;350,"Powerful",L583&lt;500,"High Performance",L583&lt;800,"Sports Performance",L583&gt;=800,"Super Performance")</f>
        <v>Powerful</v>
      </c>
    </row>
    <row r="584" spans="1:13" x14ac:dyDescent="0.25">
      <c r="A584" s="5" t="s">
        <v>93</v>
      </c>
      <c r="B584" s="3" t="s">
        <v>263</v>
      </c>
      <c r="C584" s="3" t="s">
        <v>270</v>
      </c>
      <c r="D584" s="4">
        <v>1120689</v>
      </c>
      <c r="E584" s="3">
        <v>1498</v>
      </c>
      <c r="F584" s="3">
        <v>4</v>
      </c>
      <c r="G584" s="3" t="s">
        <v>36</v>
      </c>
      <c r="H584" s="3" t="s">
        <v>226</v>
      </c>
      <c r="I584" s="3">
        <v>7</v>
      </c>
      <c r="J584" s="3" t="s">
        <v>12</v>
      </c>
      <c r="K584" s="18">
        <v>95</v>
      </c>
      <c r="L584" s="16">
        <v>225</v>
      </c>
      <c r="M584" s="6" t="str" cm="1">
        <f t="array" ref="M584">_xlfn.IFS(L584&lt;100,"Economy",L584&lt;200,"Standard",L584&lt;350,"Powerful",L584&lt;500,"High Performance",L584&lt;800,"Sports Performance",L584&gt;=800,"Super Performance")</f>
        <v>Powerful</v>
      </c>
    </row>
    <row r="585" spans="1:13" x14ac:dyDescent="0.25">
      <c r="A585" s="5" t="s">
        <v>93</v>
      </c>
      <c r="B585" s="3" t="s">
        <v>510</v>
      </c>
      <c r="C585" s="3" t="s">
        <v>516</v>
      </c>
      <c r="D585" s="4">
        <v>1138189</v>
      </c>
      <c r="E585" s="3">
        <v>1498</v>
      </c>
      <c r="F585" s="3">
        <v>4</v>
      </c>
      <c r="G585" s="3" t="s">
        <v>36</v>
      </c>
      <c r="H585" s="3" t="s">
        <v>27</v>
      </c>
      <c r="I585" s="3">
        <v>5</v>
      </c>
      <c r="J585" s="3" t="s">
        <v>12</v>
      </c>
      <c r="K585" s="18">
        <v>94</v>
      </c>
      <c r="L585" s="16">
        <v>225</v>
      </c>
      <c r="M585" s="6" t="str" cm="1">
        <f t="array" ref="M585">_xlfn.IFS(L585&lt;100,"Economy",L585&lt;200,"Standard",L585&lt;350,"Powerful",L585&lt;500,"High Performance",L585&lt;800,"Sports Performance",L585&gt;=800,"Super Performance")</f>
        <v>Powerful</v>
      </c>
    </row>
    <row r="586" spans="1:13" x14ac:dyDescent="0.25">
      <c r="A586" s="5" t="s">
        <v>93</v>
      </c>
      <c r="B586" s="3" t="s">
        <v>510</v>
      </c>
      <c r="C586" s="3" t="s">
        <v>517</v>
      </c>
      <c r="D586" s="4">
        <v>997689</v>
      </c>
      <c r="E586" s="3">
        <v>1498</v>
      </c>
      <c r="F586" s="3">
        <v>4</v>
      </c>
      <c r="G586" s="3" t="s">
        <v>36</v>
      </c>
      <c r="H586" s="3" t="s">
        <v>27</v>
      </c>
      <c r="I586" s="3">
        <v>5</v>
      </c>
      <c r="J586" s="3" t="s">
        <v>12</v>
      </c>
      <c r="K586" s="18">
        <v>94</v>
      </c>
      <c r="L586" s="16">
        <v>225</v>
      </c>
      <c r="M586" s="6" t="str" cm="1">
        <f t="array" ref="M586">_xlfn.IFS(L586&lt;100,"Economy",L586&lt;200,"Standard",L586&lt;350,"Powerful",L586&lt;500,"High Performance",L586&lt;800,"Sports Performance",L586&gt;=800,"Super Performance")</f>
        <v>Powerful</v>
      </c>
    </row>
    <row r="587" spans="1:13" x14ac:dyDescent="0.25">
      <c r="A587" s="5" t="s">
        <v>93</v>
      </c>
      <c r="B587" s="3" t="s">
        <v>510</v>
      </c>
      <c r="C587" s="3" t="s">
        <v>518</v>
      </c>
      <c r="D587" s="4">
        <v>1109189</v>
      </c>
      <c r="E587" s="3">
        <v>1498</v>
      </c>
      <c r="F587" s="3">
        <v>4</v>
      </c>
      <c r="G587" s="3" t="s">
        <v>36</v>
      </c>
      <c r="H587" s="3" t="s">
        <v>27</v>
      </c>
      <c r="I587" s="3">
        <v>5</v>
      </c>
      <c r="J587" s="3" t="s">
        <v>12</v>
      </c>
      <c r="K587" s="18">
        <v>94</v>
      </c>
      <c r="L587" s="16">
        <v>225</v>
      </c>
      <c r="M587" s="6" t="str" cm="1">
        <f t="array" ref="M587">_xlfn.IFS(L587&lt;100,"Economy",L587&lt;200,"Standard",L587&lt;350,"Powerful",L587&lt;500,"High Performance",L587&lt;800,"Sports Performance",L587&gt;=800,"Super Performance")</f>
        <v>Powerful</v>
      </c>
    </row>
    <row r="588" spans="1:13" x14ac:dyDescent="0.25">
      <c r="A588" s="5" t="s">
        <v>589</v>
      </c>
      <c r="B588" s="3" t="s">
        <v>590</v>
      </c>
      <c r="C588" s="3" t="s">
        <v>591</v>
      </c>
      <c r="D588" s="4">
        <v>2693000</v>
      </c>
      <c r="E588" s="3">
        <v>2360</v>
      </c>
      <c r="F588" s="3">
        <v>4</v>
      </c>
      <c r="G588" s="3" t="s">
        <v>10</v>
      </c>
      <c r="H588" s="3" t="s">
        <v>66</v>
      </c>
      <c r="I588" s="3">
        <v>7</v>
      </c>
      <c r="J588" s="3" t="s">
        <v>30</v>
      </c>
      <c r="K588" s="18">
        <v>167</v>
      </c>
      <c r="L588" s="16">
        <v>222</v>
      </c>
      <c r="M588" s="6" t="str" cm="1">
        <f t="array" ref="M588">_xlfn.IFS(L588&lt;100,"Economy",L588&lt;200,"Standard",L588&lt;350,"Powerful",L588&lt;500,"High Performance",L588&lt;800,"Sports Performance",L588&gt;=800,"Super Performance")</f>
        <v>Powerful</v>
      </c>
    </row>
    <row r="589" spans="1:13" x14ac:dyDescent="0.25">
      <c r="A589" s="5" t="s">
        <v>55</v>
      </c>
      <c r="B589" s="3" t="s">
        <v>193</v>
      </c>
      <c r="C589" s="3" t="s">
        <v>194</v>
      </c>
      <c r="D589" s="4">
        <v>3788000</v>
      </c>
      <c r="E589" s="3">
        <v>2487</v>
      </c>
      <c r="F589" s="3">
        <v>4</v>
      </c>
      <c r="G589" s="3" t="s">
        <v>194</v>
      </c>
      <c r="H589" s="3" t="s">
        <v>27</v>
      </c>
      <c r="I589" s="3">
        <v>5</v>
      </c>
      <c r="J589" s="3" t="s">
        <v>30</v>
      </c>
      <c r="K589" s="18">
        <v>178</v>
      </c>
      <c r="L589" s="16">
        <v>221</v>
      </c>
      <c r="M589" s="6" t="str" cm="1">
        <f t="array" ref="M589">_xlfn.IFS(L589&lt;100,"Economy",L589&lt;200,"Standard",L589&lt;350,"Powerful",L589&lt;500,"High Performance",L589&lt;800,"Sports Performance",L589&gt;=800,"Super Performance")</f>
        <v>Powerful</v>
      </c>
    </row>
    <row r="590" spans="1:13" x14ac:dyDescent="0.25">
      <c r="A590" s="5" t="s">
        <v>170</v>
      </c>
      <c r="B590" s="3" t="s">
        <v>339</v>
      </c>
      <c r="C590" s="3" t="s">
        <v>340</v>
      </c>
      <c r="D590" s="4">
        <v>5695000</v>
      </c>
      <c r="E590" s="3">
        <v>2487</v>
      </c>
      <c r="F590" s="3">
        <v>4</v>
      </c>
      <c r="G590" s="3" t="s">
        <v>194</v>
      </c>
      <c r="H590" s="3" t="s">
        <v>27</v>
      </c>
      <c r="I590" s="3">
        <v>5</v>
      </c>
      <c r="J590" s="3" t="s">
        <v>30</v>
      </c>
      <c r="K590" s="18">
        <v>176</v>
      </c>
      <c r="L590" s="16">
        <v>221</v>
      </c>
      <c r="M590" s="6" t="str" cm="1">
        <f t="array" ref="M590">_xlfn.IFS(L590&lt;100,"Economy",L590&lt;200,"Standard",L590&lt;350,"Powerful",L590&lt;500,"High Performance",L590&lt;800,"Sports Performance",L590&gt;=800,"Super Performance")</f>
        <v>Powerful</v>
      </c>
    </row>
    <row r="591" spans="1:13" x14ac:dyDescent="0.25">
      <c r="A591" s="5" t="s">
        <v>7</v>
      </c>
      <c r="B591" s="3" t="s">
        <v>520</v>
      </c>
      <c r="C591" s="3" t="s">
        <v>521</v>
      </c>
      <c r="D591" s="4">
        <v>999990</v>
      </c>
      <c r="E591" s="3">
        <v>1396</v>
      </c>
      <c r="F591" s="3">
        <v>4</v>
      </c>
      <c r="G591" s="3" t="s">
        <v>36</v>
      </c>
      <c r="H591" s="3" t="s">
        <v>66</v>
      </c>
      <c r="I591" s="3">
        <v>5</v>
      </c>
      <c r="J591" s="3" t="s">
        <v>12</v>
      </c>
      <c r="K591" s="18">
        <v>90</v>
      </c>
      <c r="L591" s="16">
        <v>220</v>
      </c>
      <c r="M591" s="6" t="str" cm="1">
        <f t="array" ref="M591">_xlfn.IFS(L591&lt;100,"Economy",L591&lt;200,"Standard",L591&lt;350,"Powerful",L591&lt;500,"High Performance",L591&lt;800,"Sports Performance",L591&gt;=800,"Super Performance")</f>
        <v>Powerful</v>
      </c>
    </row>
    <row r="592" spans="1:13" x14ac:dyDescent="0.25">
      <c r="A592" s="5" t="s">
        <v>7</v>
      </c>
      <c r="B592" s="3" t="s">
        <v>520</v>
      </c>
      <c r="C592" s="3" t="s">
        <v>527</v>
      </c>
      <c r="D592" s="4">
        <v>1197919</v>
      </c>
      <c r="E592" s="3">
        <v>1396</v>
      </c>
      <c r="F592" s="3">
        <v>4</v>
      </c>
      <c r="G592" s="3" t="s">
        <v>36</v>
      </c>
      <c r="H592" s="3" t="s">
        <v>66</v>
      </c>
      <c r="I592" s="3">
        <v>5</v>
      </c>
      <c r="J592" s="3" t="s">
        <v>12</v>
      </c>
      <c r="K592" s="18">
        <v>90</v>
      </c>
      <c r="L592" s="16">
        <v>220</v>
      </c>
      <c r="M592" s="6" t="str" cm="1">
        <f t="array" ref="M592">_xlfn.IFS(L592&lt;100,"Economy",L592&lt;200,"Standard",L592&lt;350,"Powerful",L592&lt;500,"High Performance",L592&lt;800,"Sports Performance",L592&gt;=800,"Super Performance")</f>
        <v>Powerful</v>
      </c>
    </row>
    <row r="593" spans="1:13" x14ac:dyDescent="0.25">
      <c r="A593" s="5" t="s">
        <v>7</v>
      </c>
      <c r="B593" s="3" t="s">
        <v>520</v>
      </c>
      <c r="C593" s="3" t="s">
        <v>535</v>
      </c>
      <c r="D593" s="4">
        <v>1107167</v>
      </c>
      <c r="E593" s="3">
        <v>1396</v>
      </c>
      <c r="F593" s="3">
        <v>4</v>
      </c>
      <c r="G593" s="3" t="s">
        <v>36</v>
      </c>
      <c r="H593" s="3" t="s">
        <v>66</v>
      </c>
      <c r="I593" s="3">
        <v>5</v>
      </c>
      <c r="J593" s="3" t="s">
        <v>12</v>
      </c>
      <c r="K593" s="18">
        <v>90</v>
      </c>
      <c r="L593" s="16">
        <v>220</v>
      </c>
      <c r="M593" s="6" t="str" cm="1">
        <f t="array" ref="M593">_xlfn.IFS(L593&lt;100,"Economy",L593&lt;200,"Standard",L593&lt;350,"Powerful",L593&lt;500,"High Performance",L593&lt;800,"Sports Performance",L593&gt;=800,"Super Performance")</f>
        <v>Powerful</v>
      </c>
    </row>
    <row r="594" spans="1:13" x14ac:dyDescent="0.25">
      <c r="A594" s="5" t="s">
        <v>7</v>
      </c>
      <c r="B594" s="3" t="s">
        <v>863</v>
      </c>
      <c r="C594" s="3" t="s">
        <v>866</v>
      </c>
      <c r="D594" s="4">
        <v>780000</v>
      </c>
      <c r="E594" s="3">
        <v>1397</v>
      </c>
      <c r="F594" s="3">
        <v>4</v>
      </c>
      <c r="G594" s="3" t="s">
        <v>36</v>
      </c>
      <c r="H594" s="3" t="s">
        <v>66</v>
      </c>
      <c r="I594" s="3">
        <v>5</v>
      </c>
      <c r="J594" s="3" t="s">
        <v>12</v>
      </c>
      <c r="K594" s="18">
        <v>89</v>
      </c>
      <c r="L594" s="16">
        <v>220</v>
      </c>
      <c r="M594" s="6" t="str" cm="1">
        <f t="array" ref="M594">_xlfn.IFS(L594&lt;100,"Economy",L594&lt;200,"Standard",L594&lt;350,"Powerful",L594&lt;500,"High Performance",L594&lt;800,"Sports Performance",L594&gt;=800,"Super Performance")</f>
        <v>Powerful</v>
      </c>
    </row>
    <row r="595" spans="1:13" x14ac:dyDescent="0.25">
      <c r="A595" s="5" t="s">
        <v>7</v>
      </c>
      <c r="B595" s="3" t="s">
        <v>863</v>
      </c>
      <c r="C595" s="3" t="s">
        <v>873</v>
      </c>
      <c r="D595" s="4">
        <v>850000</v>
      </c>
      <c r="E595" s="3">
        <v>1397</v>
      </c>
      <c r="F595" s="3">
        <v>4</v>
      </c>
      <c r="G595" s="3" t="s">
        <v>36</v>
      </c>
      <c r="H595" s="3" t="s">
        <v>66</v>
      </c>
      <c r="I595" s="3">
        <v>5</v>
      </c>
      <c r="J595" s="3" t="s">
        <v>12</v>
      </c>
      <c r="K595" s="18">
        <v>89</v>
      </c>
      <c r="L595" s="16">
        <v>220</v>
      </c>
      <c r="M595" s="6" t="str" cm="1">
        <f t="array" ref="M595">_xlfn.IFS(L595&lt;100,"Economy",L595&lt;200,"Standard",L595&lt;350,"Powerful",L595&lt;500,"High Performance",L595&lt;800,"Sports Performance",L595&gt;=800,"Super Performance")</f>
        <v>Powerful</v>
      </c>
    </row>
    <row r="596" spans="1:13" x14ac:dyDescent="0.25">
      <c r="A596" s="5" t="s">
        <v>7</v>
      </c>
      <c r="B596" s="3" t="s">
        <v>863</v>
      </c>
      <c r="C596" s="3" t="s">
        <v>874</v>
      </c>
      <c r="D596" s="4">
        <v>983000</v>
      </c>
      <c r="E596" s="3">
        <v>1397</v>
      </c>
      <c r="F596" s="3">
        <v>4</v>
      </c>
      <c r="G596" s="3" t="s">
        <v>36</v>
      </c>
      <c r="H596" s="3" t="s">
        <v>66</v>
      </c>
      <c r="I596" s="3">
        <v>5</v>
      </c>
      <c r="J596" s="3" t="s">
        <v>12</v>
      </c>
      <c r="K596" s="18">
        <v>89</v>
      </c>
      <c r="L596" s="16">
        <v>220</v>
      </c>
      <c r="M596" s="6" t="str" cm="1">
        <f t="array" ref="M596">_xlfn.IFS(L596&lt;100,"Economy",L596&lt;200,"Standard",L596&lt;350,"Powerful",L596&lt;500,"High Performance",L596&lt;800,"Sports Performance",L596&gt;=800,"Super Performance")</f>
        <v>Powerful</v>
      </c>
    </row>
    <row r="597" spans="1:13" x14ac:dyDescent="0.25">
      <c r="A597" s="5" t="s">
        <v>7</v>
      </c>
      <c r="B597" s="3" t="s">
        <v>863</v>
      </c>
      <c r="C597" s="3" t="s">
        <v>875</v>
      </c>
      <c r="D597" s="4">
        <v>998000</v>
      </c>
      <c r="E597" s="3">
        <v>1397</v>
      </c>
      <c r="F597" s="3">
        <v>4</v>
      </c>
      <c r="G597" s="3" t="s">
        <v>36</v>
      </c>
      <c r="H597" s="3" t="s">
        <v>66</v>
      </c>
      <c r="I597" s="3">
        <v>5</v>
      </c>
      <c r="J597" s="3" t="s">
        <v>12</v>
      </c>
      <c r="K597" s="18">
        <v>89</v>
      </c>
      <c r="L597" s="16">
        <v>220</v>
      </c>
      <c r="M597" s="6" t="str" cm="1">
        <f t="array" ref="M597">_xlfn.IFS(L597&lt;100,"Economy",L597&lt;200,"Standard",L597&lt;350,"Powerful",L597&lt;500,"High Performance",L597&lt;800,"Sports Performance",L597&gt;=800,"Super Performance")</f>
        <v>Powerful</v>
      </c>
    </row>
    <row r="598" spans="1:13" x14ac:dyDescent="0.25">
      <c r="A598" s="5" t="s">
        <v>7</v>
      </c>
      <c r="B598" s="3" t="s">
        <v>882</v>
      </c>
      <c r="C598" s="3" t="s">
        <v>884</v>
      </c>
      <c r="D598" s="4">
        <v>993393</v>
      </c>
      <c r="E598" s="3">
        <v>1396</v>
      </c>
      <c r="F598" s="3">
        <v>4</v>
      </c>
      <c r="G598" s="3" t="s">
        <v>36</v>
      </c>
      <c r="H598" s="3" t="s">
        <v>11</v>
      </c>
      <c r="I598" s="3">
        <v>5</v>
      </c>
      <c r="J598" s="3" t="s">
        <v>12</v>
      </c>
      <c r="K598" s="18">
        <v>90</v>
      </c>
      <c r="L598" s="16">
        <v>220</v>
      </c>
      <c r="M598" s="6" t="str" cm="1">
        <f t="array" ref="M598">_xlfn.IFS(L598&lt;100,"Economy",L598&lt;200,"Standard",L598&lt;350,"Powerful",L598&lt;500,"High Performance",L598&lt;800,"Sports Performance",L598&gt;=800,"Super Performance")</f>
        <v>Powerful</v>
      </c>
    </row>
    <row r="599" spans="1:13" x14ac:dyDescent="0.25">
      <c r="A599" s="5" t="s">
        <v>7</v>
      </c>
      <c r="B599" s="3" t="s">
        <v>1173</v>
      </c>
      <c r="C599" s="3" t="s">
        <v>1174</v>
      </c>
      <c r="D599" s="4">
        <v>697803</v>
      </c>
      <c r="E599" s="3">
        <v>1396</v>
      </c>
      <c r="F599" s="3">
        <v>4</v>
      </c>
      <c r="G599" s="3" t="s">
        <v>36</v>
      </c>
      <c r="H599" s="3" t="s">
        <v>11</v>
      </c>
      <c r="I599" s="3">
        <v>5</v>
      </c>
      <c r="J599" s="3" t="s">
        <v>12</v>
      </c>
      <c r="K599" s="18">
        <v>90</v>
      </c>
      <c r="L599" s="16">
        <v>220</v>
      </c>
      <c r="M599" s="6" t="str" cm="1">
        <f t="array" ref="M599">_xlfn.IFS(L599&lt;100,"Economy",L599&lt;200,"Standard",L599&lt;350,"Powerful",L599&lt;500,"High Performance",L599&lt;800,"Sports Performance",L599&gt;=800,"Super Performance")</f>
        <v>Powerful</v>
      </c>
    </row>
    <row r="600" spans="1:13" x14ac:dyDescent="0.25">
      <c r="A600" s="5" t="s">
        <v>7</v>
      </c>
      <c r="B600" s="3" t="s">
        <v>1173</v>
      </c>
      <c r="C600" s="3" t="s">
        <v>1177</v>
      </c>
      <c r="D600" s="4">
        <v>770803</v>
      </c>
      <c r="E600" s="3">
        <v>1396</v>
      </c>
      <c r="F600" s="3">
        <v>4</v>
      </c>
      <c r="G600" s="3" t="s">
        <v>36</v>
      </c>
      <c r="H600" s="3" t="s">
        <v>11</v>
      </c>
      <c r="I600" s="3">
        <v>5</v>
      </c>
      <c r="J600" s="3" t="s">
        <v>12</v>
      </c>
      <c r="K600" s="18">
        <v>90</v>
      </c>
      <c r="L600" s="16">
        <v>220</v>
      </c>
      <c r="M600" s="6" t="str" cm="1">
        <f t="array" ref="M600">_xlfn.IFS(L600&lt;100,"Economy",L600&lt;200,"Standard",L600&lt;350,"Powerful",L600&lt;500,"High Performance",L600&lt;800,"Sports Performance",L600&gt;=800,"Super Performance")</f>
        <v>Powerful</v>
      </c>
    </row>
    <row r="601" spans="1:13" x14ac:dyDescent="0.25">
      <c r="A601" s="5" t="s">
        <v>7</v>
      </c>
      <c r="B601" s="3" t="s">
        <v>1173</v>
      </c>
      <c r="C601" s="3" t="s">
        <v>1179</v>
      </c>
      <c r="D601" s="4">
        <v>876103</v>
      </c>
      <c r="E601" s="3">
        <v>1396</v>
      </c>
      <c r="F601" s="3">
        <v>4</v>
      </c>
      <c r="G601" s="3" t="s">
        <v>36</v>
      </c>
      <c r="H601" s="3" t="s">
        <v>11</v>
      </c>
      <c r="I601" s="3">
        <v>5</v>
      </c>
      <c r="J601" s="3" t="s">
        <v>12</v>
      </c>
      <c r="K601" s="18">
        <v>90</v>
      </c>
      <c r="L601" s="16">
        <v>220</v>
      </c>
      <c r="M601" s="6" t="str" cm="1">
        <f t="array" ref="M601">_xlfn.IFS(L601&lt;100,"Economy",L601&lt;200,"Standard",L601&lt;350,"Powerful",L601&lt;500,"High Performance",L601&lt;800,"Sports Performance",L601&gt;=800,"Super Performance")</f>
        <v>Powerful</v>
      </c>
    </row>
    <row r="602" spans="1:13" x14ac:dyDescent="0.25">
      <c r="A602" s="5" t="s">
        <v>7</v>
      </c>
      <c r="B602" s="3" t="s">
        <v>1173</v>
      </c>
      <c r="C602" s="3" t="s">
        <v>1180</v>
      </c>
      <c r="D602" s="4">
        <v>934003</v>
      </c>
      <c r="E602" s="3">
        <v>1396</v>
      </c>
      <c r="F602" s="3">
        <v>4</v>
      </c>
      <c r="G602" s="3" t="s">
        <v>36</v>
      </c>
      <c r="H602" s="3" t="s">
        <v>11</v>
      </c>
      <c r="I602" s="3">
        <v>5</v>
      </c>
      <c r="J602" s="3" t="s">
        <v>12</v>
      </c>
      <c r="K602" s="18">
        <v>90</v>
      </c>
      <c r="L602" s="16">
        <v>220</v>
      </c>
      <c r="M602" s="6" t="str" cm="1">
        <f t="array" ref="M602">_xlfn.IFS(L602&lt;100,"Economy",L602&lt;200,"Standard",L602&lt;350,"Powerful",L602&lt;500,"High Performance",L602&lt;800,"Sports Performance",L602&gt;=800,"Super Performance")</f>
        <v>Powerful</v>
      </c>
    </row>
    <row r="603" spans="1:13" x14ac:dyDescent="0.25">
      <c r="A603" s="5" t="s">
        <v>7</v>
      </c>
      <c r="B603" s="3" t="s">
        <v>1173</v>
      </c>
      <c r="C603" s="3" t="s">
        <v>1184</v>
      </c>
      <c r="D603" s="4">
        <v>846103</v>
      </c>
      <c r="E603" s="3">
        <v>1396</v>
      </c>
      <c r="F603" s="3">
        <v>4</v>
      </c>
      <c r="G603" s="3" t="s">
        <v>36</v>
      </c>
      <c r="H603" s="3" t="s">
        <v>11</v>
      </c>
      <c r="I603" s="3">
        <v>5</v>
      </c>
      <c r="J603" s="3" t="s">
        <v>12</v>
      </c>
      <c r="K603" s="18">
        <v>90</v>
      </c>
      <c r="L603" s="16">
        <v>220</v>
      </c>
      <c r="M603" s="6" t="str" cm="1">
        <f t="array" ref="M603">_xlfn.IFS(L603&lt;100,"Economy",L603&lt;200,"Standard",L603&lt;350,"Powerful",L603&lt;500,"High Performance",L603&lt;800,"Sports Performance",L603&gt;=800,"Super Performance")</f>
        <v>Powerful</v>
      </c>
    </row>
    <row r="604" spans="1:13" x14ac:dyDescent="0.25">
      <c r="A604" s="5" t="s">
        <v>7</v>
      </c>
      <c r="B604" s="3" t="s">
        <v>863</v>
      </c>
      <c r="C604" s="3" t="s">
        <v>876</v>
      </c>
      <c r="D604" s="4">
        <v>1089000</v>
      </c>
      <c r="E604" s="3">
        <v>1397</v>
      </c>
      <c r="F604" s="3">
        <v>4</v>
      </c>
      <c r="G604" s="3" t="s">
        <v>36</v>
      </c>
      <c r="H604" s="3" t="s">
        <v>66</v>
      </c>
      <c r="I604" s="3">
        <v>5</v>
      </c>
      <c r="J604" s="3" t="s">
        <v>12</v>
      </c>
      <c r="K604" s="18">
        <v>90</v>
      </c>
      <c r="L604" s="16">
        <v>219.66895999999997</v>
      </c>
      <c r="M604" s="6" t="str" cm="1">
        <f t="array" ref="M604">_xlfn.IFS(L604&lt;100,"Economy",L604&lt;200,"Standard",L604&lt;350,"Powerful",L604&lt;500,"High Performance",L604&lt;800,"Sports Performance",L604&gt;=800,"Super Performance")</f>
        <v>Powerful</v>
      </c>
    </row>
    <row r="605" spans="1:13" x14ac:dyDescent="0.25">
      <c r="A605" s="5" t="s">
        <v>202</v>
      </c>
      <c r="B605" s="3" t="s">
        <v>1094</v>
      </c>
      <c r="C605" s="3" t="s">
        <v>1095</v>
      </c>
      <c r="D605" s="4">
        <v>963037</v>
      </c>
      <c r="E605" s="3">
        <v>2489</v>
      </c>
      <c r="F605" s="3">
        <v>4</v>
      </c>
      <c r="G605" s="3" t="s">
        <v>36</v>
      </c>
      <c r="H605" s="3" t="s">
        <v>66</v>
      </c>
      <c r="I605" s="3">
        <v>7</v>
      </c>
      <c r="J605" s="3" t="s">
        <v>12</v>
      </c>
      <c r="K605" s="18">
        <v>95</v>
      </c>
      <c r="L605" s="16">
        <v>218</v>
      </c>
      <c r="M605" s="6" t="str" cm="1">
        <f t="array" ref="M605">_xlfn.IFS(L605&lt;100,"Economy",L605&lt;200,"Standard",L605&lt;350,"Powerful",L605&lt;500,"High Performance",L605&lt;800,"Sports Performance",L605&gt;=800,"Super Performance")</f>
        <v>Powerful</v>
      </c>
    </row>
    <row r="606" spans="1:13" x14ac:dyDescent="0.25">
      <c r="A606" s="5" t="s">
        <v>202</v>
      </c>
      <c r="B606" s="3" t="s">
        <v>1094</v>
      </c>
      <c r="C606" s="3" t="s">
        <v>1096</v>
      </c>
      <c r="D606" s="4">
        <v>1004487</v>
      </c>
      <c r="E606" s="3">
        <v>2489</v>
      </c>
      <c r="F606" s="3">
        <v>4</v>
      </c>
      <c r="G606" s="3" t="s">
        <v>36</v>
      </c>
      <c r="H606" s="3" t="s">
        <v>66</v>
      </c>
      <c r="I606" s="3">
        <v>7</v>
      </c>
      <c r="J606" s="3" t="s">
        <v>12</v>
      </c>
      <c r="K606" s="18">
        <v>95</v>
      </c>
      <c r="L606" s="16">
        <v>218</v>
      </c>
      <c r="M606" s="6" t="str" cm="1">
        <f t="array" ref="M606">_xlfn.IFS(L606&lt;100,"Economy",L606&lt;200,"Standard",L606&lt;350,"Powerful",L606&lt;500,"High Performance",L606&lt;800,"Sports Performance",L606&gt;=800,"Super Performance")</f>
        <v>Powerful</v>
      </c>
    </row>
    <row r="607" spans="1:13" x14ac:dyDescent="0.25">
      <c r="A607" s="5" t="s">
        <v>40</v>
      </c>
      <c r="B607" s="3" t="s">
        <v>41</v>
      </c>
      <c r="C607" s="3" t="s">
        <v>45</v>
      </c>
      <c r="D607" s="4">
        <v>699400</v>
      </c>
      <c r="E607" s="3">
        <v>1498</v>
      </c>
      <c r="F607" s="3">
        <v>4</v>
      </c>
      <c r="G607" s="3" t="s">
        <v>36</v>
      </c>
      <c r="H607" s="3" t="s">
        <v>27</v>
      </c>
      <c r="I607" s="3">
        <v>5</v>
      </c>
      <c r="J607" s="3" t="s">
        <v>12</v>
      </c>
      <c r="K607" s="18">
        <v>100</v>
      </c>
      <c r="L607" s="16">
        <v>215</v>
      </c>
      <c r="M607" s="6" t="str" cm="1">
        <f t="array" ref="M607">_xlfn.IFS(L607&lt;100,"Economy",L607&lt;200,"Standard",L607&lt;350,"Powerful",L607&lt;500,"High Performance",L607&lt;800,"Sports Performance",L607&gt;=800,"Super Performance")</f>
        <v>Powerful</v>
      </c>
    </row>
    <row r="608" spans="1:13" x14ac:dyDescent="0.25">
      <c r="A608" s="5" t="s">
        <v>40</v>
      </c>
      <c r="B608" s="3" t="s">
        <v>41</v>
      </c>
      <c r="C608" s="3" t="s">
        <v>46</v>
      </c>
      <c r="D608" s="4">
        <v>737400</v>
      </c>
      <c r="E608" s="3">
        <v>1498</v>
      </c>
      <c r="F608" s="3">
        <v>4</v>
      </c>
      <c r="G608" s="3" t="s">
        <v>36</v>
      </c>
      <c r="H608" s="3" t="s">
        <v>27</v>
      </c>
      <c r="I608" s="3">
        <v>5</v>
      </c>
      <c r="J608" s="3" t="s">
        <v>12</v>
      </c>
      <c r="K608" s="18">
        <v>100</v>
      </c>
      <c r="L608" s="16">
        <v>215</v>
      </c>
      <c r="M608" s="6" t="str" cm="1">
        <f t="array" ref="M608">_xlfn.IFS(L608&lt;100,"Economy",L608&lt;200,"Standard",L608&lt;350,"Powerful",L608&lt;500,"High Performance",L608&lt;800,"Sports Performance",L608&gt;=800,"Super Performance")</f>
        <v>Powerful</v>
      </c>
    </row>
    <row r="609" spans="1:13" x14ac:dyDescent="0.25">
      <c r="A609" s="5" t="s">
        <v>40</v>
      </c>
      <c r="B609" s="3" t="s">
        <v>41</v>
      </c>
      <c r="C609" s="3" t="s">
        <v>47</v>
      </c>
      <c r="D609" s="4">
        <v>777400</v>
      </c>
      <c r="E609" s="3">
        <v>1498</v>
      </c>
      <c r="F609" s="3">
        <v>4</v>
      </c>
      <c r="G609" s="3" t="s">
        <v>36</v>
      </c>
      <c r="H609" s="3" t="s">
        <v>27</v>
      </c>
      <c r="I609" s="3">
        <v>5</v>
      </c>
      <c r="J609" s="3" t="s">
        <v>12</v>
      </c>
      <c r="K609" s="18">
        <v>100</v>
      </c>
      <c r="L609" s="16">
        <v>215</v>
      </c>
      <c r="M609" s="6" t="str" cm="1">
        <f t="array" ref="M609">_xlfn.IFS(L609&lt;100,"Economy",L609&lt;200,"Standard",L609&lt;350,"Powerful",L609&lt;500,"High Performance",L609&lt;800,"Sports Performance",L609&gt;=800,"Super Performance")</f>
        <v>Powerful</v>
      </c>
    </row>
    <row r="610" spans="1:13" x14ac:dyDescent="0.25">
      <c r="A610" s="5" t="s">
        <v>40</v>
      </c>
      <c r="B610" s="3" t="s">
        <v>41</v>
      </c>
      <c r="C610" s="3" t="s">
        <v>48</v>
      </c>
      <c r="D610" s="4">
        <v>817400</v>
      </c>
      <c r="E610" s="3">
        <v>1498</v>
      </c>
      <c r="F610" s="3">
        <v>4</v>
      </c>
      <c r="G610" s="3" t="s">
        <v>36</v>
      </c>
      <c r="H610" s="3" t="s">
        <v>27</v>
      </c>
      <c r="I610" s="3">
        <v>5</v>
      </c>
      <c r="J610" s="3" t="s">
        <v>12</v>
      </c>
      <c r="K610" s="18">
        <v>100</v>
      </c>
      <c r="L610" s="16">
        <v>215</v>
      </c>
      <c r="M610" s="6" t="str" cm="1">
        <f t="array" ref="M610">_xlfn.IFS(L610&lt;100,"Economy",L610&lt;200,"Standard",L610&lt;350,"Powerful",L610&lt;500,"High Performance",L610&lt;800,"Sports Performance",L610&gt;=800,"Super Performance")</f>
        <v>Powerful</v>
      </c>
    </row>
    <row r="611" spans="1:13" x14ac:dyDescent="0.25">
      <c r="A611" s="5" t="s">
        <v>40</v>
      </c>
      <c r="B611" s="3" t="s">
        <v>41</v>
      </c>
      <c r="C611" s="3" t="s">
        <v>49</v>
      </c>
      <c r="D611" s="4">
        <v>862400</v>
      </c>
      <c r="E611" s="3">
        <v>1498</v>
      </c>
      <c r="F611" s="3">
        <v>4</v>
      </c>
      <c r="G611" s="3" t="s">
        <v>36</v>
      </c>
      <c r="H611" s="3" t="s">
        <v>27</v>
      </c>
      <c r="I611" s="3">
        <v>5</v>
      </c>
      <c r="J611" s="3" t="s">
        <v>12</v>
      </c>
      <c r="K611" s="18">
        <v>100</v>
      </c>
      <c r="L611" s="16">
        <v>215</v>
      </c>
      <c r="M611" s="6" t="str" cm="1">
        <f t="array" ref="M611">_xlfn.IFS(L611&lt;100,"Economy",L611&lt;200,"Standard",L611&lt;350,"Powerful",L611&lt;500,"High Performance",L611&lt;800,"Sports Performance",L611&gt;=800,"Super Performance")</f>
        <v>Powerful</v>
      </c>
    </row>
    <row r="612" spans="1:13" x14ac:dyDescent="0.25">
      <c r="A612" s="5" t="s">
        <v>40</v>
      </c>
      <c r="B612" s="3" t="s">
        <v>41</v>
      </c>
      <c r="C612" s="3" t="s">
        <v>54</v>
      </c>
      <c r="D612" s="4">
        <v>842400</v>
      </c>
      <c r="E612" s="3">
        <v>1498</v>
      </c>
      <c r="F612" s="3">
        <v>4</v>
      </c>
      <c r="G612" s="3" t="s">
        <v>36</v>
      </c>
      <c r="H612" s="3" t="s">
        <v>27</v>
      </c>
      <c r="I612" s="3">
        <v>5</v>
      </c>
      <c r="J612" s="3" t="s">
        <v>12</v>
      </c>
      <c r="K612" s="18">
        <v>100</v>
      </c>
      <c r="L612" s="16">
        <v>215</v>
      </c>
      <c r="M612" s="6" t="str" cm="1">
        <f t="array" ref="M612">_xlfn.IFS(L612&lt;100,"Economy",L612&lt;200,"Standard",L612&lt;350,"Powerful",L612&lt;500,"High Performance",L612&lt;800,"Sports Performance",L612&gt;=800,"Super Performance")</f>
        <v>Powerful</v>
      </c>
    </row>
    <row r="613" spans="1:13" x14ac:dyDescent="0.25">
      <c r="A613" s="5" t="s">
        <v>40</v>
      </c>
      <c r="B613" s="3" t="s">
        <v>154</v>
      </c>
      <c r="C613" s="3" t="s">
        <v>157</v>
      </c>
      <c r="D613" s="4">
        <v>699900</v>
      </c>
      <c r="E613" s="3">
        <v>1498</v>
      </c>
      <c r="F613" s="3">
        <v>4</v>
      </c>
      <c r="G613" s="3" t="s">
        <v>36</v>
      </c>
      <c r="H613" s="3" t="s">
        <v>11</v>
      </c>
      <c r="I613" s="3">
        <v>5</v>
      </c>
      <c r="J613" s="3" t="s">
        <v>12</v>
      </c>
      <c r="K613" s="18">
        <v>100</v>
      </c>
      <c r="L613" s="16">
        <v>215</v>
      </c>
      <c r="M613" s="6" t="str" cm="1">
        <f t="array" ref="M613">_xlfn.IFS(L613&lt;100,"Economy",L613&lt;200,"Standard",L613&lt;350,"Powerful",L613&lt;500,"High Performance",L613&lt;800,"Sports Performance",L613&gt;=800,"Super Performance")</f>
        <v>Powerful</v>
      </c>
    </row>
    <row r="614" spans="1:13" x14ac:dyDescent="0.25">
      <c r="A614" s="5" t="s">
        <v>40</v>
      </c>
      <c r="B614" s="3" t="s">
        <v>154</v>
      </c>
      <c r="C614" s="3" t="s">
        <v>159</v>
      </c>
      <c r="D614" s="4">
        <v>764900</v>
      </c>
      <c r="E614" s="3">
        <v>1498</v>
      </c>
      <c r="F614" s="3">
        <v>4</v>
      </c>
      <c r="G614" s="3" t="s">
        <v>36</v>
      </c>
      <c r="H614" s="3" t="s">
        <v>11</v>
      </c>
      <c r="I614" s="3">
        <v>5</v>
      </c>
      <c r="J614" s="3" t="s">
        <v>12</v>
      </c>
      <c r="K614" s="18">
        <v>100</v>
      </c>
      <c r="L614" s="16">
        <v>215</v>
      </c>
      <c r="M614" s="6" t="str" cm="1">
        <f t="array" ref="M614">_xlfn.IFS(L614&lt;100,"Economy",L614&lt;200,"Standard",L614&lt;350,"Powerful",L614&lt;500,"High Performance",L614&lt;800,"Sports Performance",L614&gt;=800,"Super Performance")</f>
        <v>Powerful</v>
      </c>
    </row>
    <row r="615" spans="1:13" x14ac:dyDescent="0.25">
      <c r="A615" s="5" t="s">
        <v>40</v>
      </c>
      <c r="B615" s="3" t="s">
        <v>154</v>
      </c>
      <c r="C615" s="3" t="s">
        <v>329</v>
      </c>
      <c r="D615" s="4">
        <v>623000</v>
      </c>
      <c r="E615" s="3">
        <v>1498</v>
      </c>
      <c r="F615" s="3">
        <v>4</v>
      </c>
      <c r="G615" s="3" t="s">
        <v>36</v>
      </c>
      <c r="H615" s="3" t="s">
        <v>11</v>
      </c>
      <c r="I615" s="3">
        <v>5</v>
      </c>
      <c r="J615" s="3" t="s">
        <v>12</v>
      </c>
      <c r="K615" s="18">
        <v>100</v>
      </c>
      <c r="L615" s="16">
        <v>215</v>
      </c>
      <c r="M615" s="6" t="str" cm="1">
        <f t="array" ref="M615">_xlfn.IFS(L615&lt;100,"Economy",L615&lt;200,"Standard",L615&lt;350,"Powerful",L615&lt;500,"High Performance",L615&lt;800,"Sports Performance",L615&gt;=800,"Super Performance")</f>
        <v>Powerful</v>
      </c>
    </row>
    <row r="616" spans="1:13" x14ac:dyDescent="0.25">
      <c r="A616" s="5" t="s">
        <v>40</v>
      </c>
      <c r="B616" s="3" t="s">
        <v>615</v>
      </c>
      <c r="C616" s="3" t="s">
        <v>620</v>
      </c>
      <c r="D616" s="4">
        <v>745900</v>
      </c>
      <c r="E616" s="3">
        <v>1498</v>
      </c>
      <c r="F616" s="3">
        <v>3</v>
      </c>
      <c r="G616" s="3" t="s">
        <v>36</v>
      </c>
      <c r="H616" s="3" t="s">
        <v>304</v>
      </c>
      <c r="I616" s="3">
        <v>5</v>
      </c>
      <c r="J616" s="3" t="s">
        <v>12</v>
      </c>
      <c r="K616" s="18">
        <v>100</v>
      </c>
      <c r="L616" s="16">
        <v>215</v>
      </c>
      <c r="M616" s="6" t="str" cm="1">
        <f t="array" ref="M616">_xlfn.IFS(L616&lt;100,"Economy",L616&lt;200,"Standard",L616&lt;350,"Powerful",L616&lt;500,"High Performance",L616&lt;800,"Sports Performance",L616&gt;=800,"Super Performance")</f>
        <v>Powerful</v>
      </c>
    </row>
    <row r="617" spans="1:13" x14ac:dyDescent="0.25">
      <c r="A617" s="5" t="s">
        <v>40</v>
      </c>
      <c r="B617" s="3" t="s">
        <v>615</v>
      </c>
      <c r="C617" s="3" t="s">
        <v>702</v>
      </c>
      <c r="D617" s="4">
        <v>676400</v>
      </c>
      <c r="E617" s="3">
        <v>1498</v>
      </c>
      <c r="F617" s="3">
        <v>4</v>
      </c>
      <c r="G617" s="3" t="s">
        <v>36</v>
      </c>
      <c r="H617" s="3" t="s">
        <v>304</v>
      </c>
      <c r="I617" s="3">
        <v>5</v>
      </c>
      <c r="J617" s="3" t="s">
        <v>12</v>
      </c>
      <c r="K617" s="18">
        <v>100</v>
      </c>
      <c r="L617" s="16">
        <v>215</v>
      </c>
      <c r="M617" s="6" t="str" cm="1">
        <f t="array" ref="M617">_xlfn.IFS(L617&lt;100,"Economy",L617&lt;200,"Standard",L617&lt;350,"Powerful",L617&lt;500,"High Performance",L617&lt;800,"Sports Performance",L617&gt;=800,"Super Performance")</f>
        <v>Powerful</v>
      </c>
    </row>
    <row r="618" spans="1:13" x14ac:dyDescent="0.25">
      <c r="A618" s="5" t="s">
        <v>40</v>
      </c>
      <c r="B618" s="3" t="s">
        <v>615</v>
      </c>
      <c r="C618" s="3" t="s">
        <v>703</v>
      </c>
      <c r="D618" s="4">
        <v>790900</v>
      </c>
      <c r="E618" s="3">
        <v>1498</v>
      </c>
      <c r="F618" s="3">
        <v>4</v>
      </c>
      <c r="G618" s="3" t="s">
        <v>36</v>
      </c>
      <c r="H618" s="3" t="s">
        <v>11</v>
      </c>
      <c r="I618" s="3">
        <v>5</v>
      </c>
      <c r="J618" s="3" t="s">
        <v>12</v>
      </c>
      <c r="K618" s="18">
        <v>100</v>
      </c>
      <c r="L618" s="16">
        <v>215</v>
      </c>
      <c r="M618" s="6" t="str" cm="1">
        <f t="array" ref="M618">_xlfn.IFS(L618&lt;100,"Economy",L618&lt;200,"Standard",L618&lt;350,"Powerful",L618&lt;500,"High Performance",L618&lt;800,"Sports Performance",L618&gt;=800,"Super Performance")</f>
        <v>Powerful</v>
      </c>
    </row>
    <row r="619" spans="1:13" x14ac:dyDescent="0.25">
      <c r="A619" s="5" t="s">
        <v>40</v>
      </c>
      <c r="B619" s="3" t="s">
        <v>615</v>
      </c>
      <c r="C619" s="3" t="s">
        <v>704</v>
      </c>
      <c r="D619" s="4">
        <v>836400</v>
      </c>
      <c r="E619" s="3">
        <v>1498</v>
      </c>
      <c r="F619" s="3">
        <v>4</v>
      </c>
      <c r="G619" s="3" t="s">
        <v>36</v>
      </c>
      <c r="H619" s="3" t="s">
        <v>11</v>
      </c>
      <c r="I619" s="3">
        <v>5</v>
      </c>
      <c r="J619" s="3" t="s">
        <v>12</v>
      </c>
      <c r="K619" s="18">
        <v>100</v>
      </c>
      <c r="L619" s="16">
        <v>215</v>
      </c>
      <c r="M619" s="6" t="str" cm="1">
        <f t="array" ref="M619">_xlfn.IFS(L619&lt;100,"Economy",L619&lt;200,"Standard",L619&lt;350,"Powerful",L619&lt;500,"High Performance",L619&lt;800,"Sports Performance",L619&gt;=800,"Super Performance")</f>
        <v>Powerful</v>
      </c>
    </row>
    <row r="620" spans="1:13" x14ac:dyDescent="0.25">
      <c r="A620" s="5" t="s">
        <v>301</v>
      </c>
      <c r="B620" s="3" t="s">
        <v>519</v>
      </c>
      <c r="C620" s="3" t="s">
        <v>487</v>
      </c>
      <c r="D620" s="4">
        <v>980970</v>
      </c>
      <c r="E620" s="3">
        <v>1368</v>
      </c>
      <c r="F620" s="3">
        <v>4</v>
      </c>
      <c r="G620" s="3" t="s">
        <v>10</v>
      </c>
      <c r="H620" s="3" t="s">
        <v>11</v>
      </c>
      <c r="I620" s="3">
        <v>5</v>
      </c>
      <c r="J620" s="3" t="s">
        <v>12</v>
      </c>
      <c r="K620" s="18">
        <v>145</v>
      </c>
      <c r="L620" s="16">
        <v>212</v>
      </c>
      <c r="M620" s="6" t="str" cm="1">
        <f t="array" ref="M620">_xlfn.IFS(L620&lt;100,"Economy",L620&lt;200,"Standard",L620&lt;350,"Powerful",L620&lt;500,"High Performance",L620&lt;800,"Sports Performance",L620&gt;=800,"Super Performance")</f>
        <v>Powerful</v>
      </c>
    </row>
    <row r="621" spans="1:13" x14ac:dyDescent="0.25">
      <c r="A621" s="5" t="s">
        <v>170</v>
      </c>
      <c r="B621" s="3" t="s">
        <v>171</v>
      </c>
      <c r="C621" s="3" t="s">
        <v>172</v>
      </c>
      <c r="D621" s="4">
        <v>6060000</v>
      </c>
      <c r="E621" s="3">
        <v>2494</v>
      </c>
      <c r="F621" s="3">
        <v>6</v>
      </c>
      <c r="G621" s="3" t="s">
        <v>10</v>
      </c>
      <c r="H621" s="3" t="s">
        <v>66</v>
      </c>
      <c r="I621" s="3">
        <v>5</v>
      </c>
      <c r="J621" s="3" t="s">
        <v>30</v>
      </c>
      <c r="K621" s="18">
        <v>194</v>
      </c>
      <c r="L621" s="16">
        <v>210</v>
      </c>
      <c r="M621" s="6" t="str" cm="1">
        <f t="array" ref="M621">_xlfn.IFS(L621&lt;100,"Economy",L621&lt;200,"Standard",L621&lt;350,"Powerful",L621&lt;500,"High Performance",L621&lt;800,"Sports Performance",L621&gt;=800,"Super Performance")</f>
        <v>Powerful</v>
      </c>
    </row>
    <row r="622" spans="1:13" x14ac:dyDescent="0.25">
      <c r="A622" s="5" t="s">
        <v>170</v>
      </c>
      <c r="B622" s="3" t="s">
        <v>171</v>
      </c>
      <c r="C622" s="3" t="s">
        <v>173</v>
      </c>
      <c r="D622" s="4">
        <v>5990000</v>
      </c>
      <c r="E622" s="3">
        <v>2494</v>
      </c>
      <c r="F622" s="3">
        <v>6</v>
      </c>
      <c r="G622" s="3" t="s">
        <v>10</v>
      </c>
      <c r="H622" s="3" t="s">
        <v>66</v>
      </c>
      <c r="I622" s="3">
        <v>5</v>
      </c>
      <c r="J622" s="3" t="s">
        <v>30</v>
      </c>
      <c r="K622" s="18">
        <v>194</v>
      </c>
      <c r="L622" s="16">
        <v>210</v>
      </c>
      <c r="M622" s="6" t="str" cm="1">
        <f t="array" ref="M622">_xlfn.IFS(L622&lt;100,"Economy",L622&lt;200,"Standard",L622&lt;350,"Powerful",L622&lt;500,"High Performance",L622&lt;800,"Sports Performance",L622&gt;=800,"Super Performance")</f>
        <v>Powerful</v>
      </c>
    </row>
    <row r="623" spans="1:13" x14ac:dyDescent="0.25">
      <c r="A623" s="5" t="s">
        <v>301</v>
      </c>
      <c r="B623" s="3" t="s">
        <v>302</v>
      </c>
      <c r="C623" s="3" t="s">
        <v>465</v>
      </c>
      <c r="D623" s="4">
        <v>977516</v>
      </c>
      <c r="E623" s="3">
        <v>1368</v>
      </c>
      <c r="F623" s="3">
        <v>4</v>
      </c>
      <c r="G623" s="3" t="s">
        <v>10</v>
      </c>
      <c r="H623" s="3" t="s">
        <v>304</v>
      </c>
      <c r="I623" s="3">
        <v>5</v>
      </c>
      <c r="J623" s="3" t="s">
        <v>12</v>
      </c>
      <c r="K623" s="18">
        <v>140</v>
      </c>
      <c r="L623" s="16">
        <v>210</v>
      </c>
      <c r="M623" s="6" t="str" cm="1">
        <f t="array" ref="M623">_xlfn.IFS(L623&lt;100,"Economy",L623&lt;200,"Standard",L623&lt;350,"Powerful",L623&lt;500,"High Performance",L623&lt;800,"Sports Performance",L623&gt;=800,"Super Performance")</f>
        <v>Powerful</v>
      </c>
    </row>
    <row r="624" spans="1:13" x14ac:dyDescent="0.25">
      <c r="A624" s="5" t="s">
        <v>301</v>
      </c>
      <c r="B624" s="3" t="s">
        <v>486</v>
      </c>
      <c r="C624" s="3" t="s">
        <v>487</v>
      </c>
      <c r="D624" s="4">
        <v>989219</v>
      </c>
      <c r="E624" s="3">
        <v>1368</v>
      </c>
      <c r="F624" s="3">
        <v>4</v>
      </c>
      <c r="G624" s="3" t="s">
        <v>10</v>
      </c>
      <c r="H624" s="3" t="s">
        <v>304</v>
      </c>
      <c r="I624" s="3">
        <v>5</v>
      </c>
      <c r="J624" s="3" t="s">
        <v>12</v>
      </c>
      <c r="K624" s="18">
        <v>143</v>
      </c>
      <c r="L624" s="16">
        <v>210</v>
      </c>
      <c r="M624" s="6" t="str" cm="1">
        <f t="array" ref="M624">_xlfn.IFS(L624&lt;100,"Economy",L624&lt;200,"Standard",L624&lt;350,"Powerful",L624&lt;500,"High Performance",L624&lt;800,"Sports Performance",L624&gt;=800,"Super Performance")</f>
        <v>Powerful</v>
      </c>
    </row>
    <row r="625" spans="1:13" x14ac:dyDescent="0.25">
      <c r="A625" s="5" t="s">
        <v>301</v>
      </c>
      <c r="B625" s="3" t="s">
        <v>302</v>
      </c>
      <c r="C625" s="3" t="s">
        <v>303</v>
      </c>
      <c r="D625" s="4">
        <v>739074</v>
      </c>
      <c r="E625" s="3">
        <v>1248</v>
      </c>
      <c r="F625" s="3">
        <v>4</v>
      </c>
      <c r="G625" s="3" t="s">
        <v>36</v>
      </c>
      <c r="H625" s="3" t="s">
        <v>304</v>
      </c>
      <c r="I625" s="3">
        <v>5</v>
      </c>
      <c r="J625" s="3" t="s">
        <v>12</v>
      </c>
      <c r="K625" s="18">
        <v>93</v>
      </c>
      <c r="L625" s="16">
        <v>209</v>
      </c>
      <c r="M625" s="6" t="str" cm="1">
        <f t="array" ref="M625">_xlfn.IFS(L625&lt;100,"Economy",L625&lt;200,"Standard",L625&lt;350,"Powerful",L625&lt;500,"High Performance",L625&lt;800,"Sports Performance",L625&gt;=800,"Super Performance")</f>
        <v>Powerful</v>
      </c>
    </row>
    <row r="626" spans="1:13" x14ac:dyDescent="0.25">
      <c r="A626" s="5" t="s">
        <v>301</v>
      </c>
      <c r="B626" s="3" t="s">
        <v>302</v>
      </c>
      <c r="C626" s="3" t="s">
        <v>464</v>
      </c>
      <c r="D626" s="4">
        <v>677618</v>
      </c>
      <c r="E626" s="3">
        <v>1248</v>
      </c>
      <c r="F626" s="3">
        <v>4</v>
      </c>
      <c r="G626" s="3" t="s">
        <v>36</v>
      </c>
      <c r="H626" s="3" t="s">
        <v>304</v>
      </c>
      <c r="I626" s="3">
        <v>5</v>
      </c>
      <c r="J626" s="3" t="s">
        <v>12</v>
      </c>
      <c r="K626" s="18">
        <v>93</v>
      </c>
      <c r="L626" s="16">
        <v>209</v>
      </c>
      <c r="M626" s="6" t="str" cm="1">
        <f t="array" ref="M626">_xlfn.IFS(L626&lt;100,"Economy",L626&lt;200,"Standard",L626&lt;350,"Powerful",L626&lt;500,"High Performance",L626&lt;800,"Sports Performance",L626&gt;=800,"Super Performance")</f>
        <v>Powerful</v>
      </c>
    </row>
    <row r="627" spans="1:13" x14ac:dyDescent="0.25">
      <c r="A627" s="5" t="s">
        <v>301</v>
      </c>
      <c r="B627" s="3" t="s">
        <v>302</v>
      </c>
      <c r="C627" s="3" t="s">
        <v>466</v>
      </c>
      <c r="D627" s="4">
        <v>810211</v>
      </c>
      <c r="E627" s="3">
        <v>1248</v>
      </c>
      <c r="F627" s="3">
        <v>4</v>
      </c>
      <c r="G627" s="3" t="s">
        <v>36</v>
      </c>
      <c r="H627" s="3" t="s">
        <v>304</v>
      </c>
      <c r="I627" s="3">
        <v>5</v>
      </c>
      <c r="J627" s="3" t="s">
        <v>12</v>
      </c>
      <c r="K627" s="18">
        <v>93</v>
      </c>
      <c r="L627" s="16">
        <v>209</v>
      </c>
      <c r="M627" s="6" t="str" cm="1">
        <f t="array" ref="M627">_xlfn.IFS(L627&lt;100,"Economy",L627&lt;200,"Standard",L627&lt;350,"Powerful",L627&lt;500,"High Performance",L627&lt;800,"Sports Performance",L627&gt;=800,"Super Performance")</f>
        <v>Powerful</v>
      </c>
    </row>
    <row r="628" spans="1:13" x14ac:dyDescent="0.25">
      <c r="A628" s="5" t="s">
        <v>301</v>
      </c>
      <c r="B628" s="3" t="s">
        <v>467</v>
      </c>
      <c r="C628" s="3" t="s">
        <v>468</v>
      </c>
      <c r="D628" s="4">
        <v>711801</v>
      </c>
      <c r="E628" s="3">
        <v>1248</v>
      </c>
      <c r="F628" s="3">
        <v>4</v>
      </c>
      <c r="G628" s="3" t="s">
        <v>36</v>
      </c>
      <c r="H628" s="3" t="s">
        <v>304</v>
      </c>
      <c r="I628" s="3">
        <v>5</v>
      </c>
      <c r="J628" s="3" t="s">
        <v>12</v>
      </c>
      <c r="K628" s="18">
        <v>93</v>
      </c>
      <c r="L628" s="16">
        <v>209</v>
      </c>
      <c r="M628" s="6" t="str" cm="1">
        <f t="array" ref="M628">_xlfn.IFS(L628&lt;100,"Economy",L628&lt;200,"Standard",L628&lt;350,"Powerful",L628&lt;500,"High Performance",L628&lt;800,"Sports Performance",L628&gt;=800,"Super Performance")</f>
        <v>Powerful</v>
      </c>
    </row>
    <row r="629" spans="1:13" x14ac:dyDescent="0.25">
      <c r="A629" s="5" t="s">
        <v>301</v>
      </c>
      <c r="B629" s="3" t="s">
        <v>467</v>
      </c>
      <c r="C629" s="3" t="s">
        <v>1193</v>
      </c>
      <c r="D629" s="4">
        <v>796132</v>
      </c>
      <c r="E629" s="3">
        <v>1248</v>
      </c>
      <c r="F629" s="3">
        <v>4</v>
      </c>
      <c r="G629" s="3" t="s">
        <v>36</v>
      </c>
      <c r="H629" s="3" t="s">
        <v>304</v>
      </c>
      <c r="I629" s="3">
        <v>5</v>
      </c>
      <c r="J629" s="3" t="s">
        <v>12</v>
      </c>
      <c r="K629" s="18">
        <v>93</v>
      </c>
      <c r="L629" s="16">
        <v>209</v>
      </c>
      <c r="M629" s="6" t="str" cm="1">
        <f t="array" ref="M629">_xlfn.IFS(L629&lt;100,"Economy",L629&lt;200,"Standard",L629&lt;350,"Powerful",L629&lt;500,"High Performance",L629&lt;800,"Sports Performance",L629&gt;=800,"Super Performance")</f>
        <v>Powerful</v>
      </c>
    </row>
    <row r="630" spans="1:13" x14ac:dyDescent="0.25">
      <c r="A630" s="5" t="s">
        <v>301</v>
      </c>
      <c r="B630" s="3" t="s">
        <v>467</v>
      </c>
      <c r="C630" s="3" t="s">
        <v>1194</v>
      </c>
      <c r="D630" s="4">
        <v>876341</v>
      </c>
      <c r="E630" s="3">
        <v>1248</v>
      </c>
      <c r="F630" s="3">
        <v>4</v>
      </c>
      <c r="G630" s="3" t="s">
        <v>36</v>
      </c>
      <c r="H630" s="3" t="s">
        <v>304</v>
      </c>
      <c r="I630" s="3">
        <v>5</v>
      </c>
      <c r="J630" s="3" t="s">
        <v>12</v>
      </c>
      <c r="K630" s="18">
        <v>93</v>
      </c>
      <c r="L630" s="16">
        <v>209</v>
      </c>
      <c r="M630" s="6" t="str" cm="1">
        <f t="array" ref="M630">_xlfn.IFS(L630&lt;100,"Economy",L630&lt;200,"Standard",L630&lt;350,"Powerful",L630&lt;500,"High Performance",L630&lt;800,"Sports Performance",L630&gt;=800,"Super Performance")</f>
        <v>Powerful</v>
      </c>
    </row>
    <row r="631" spans="1:13" x14ac:dyDescent="0.25">
      <c r="A631" s="5" t="s">
        <v>301</v>
      </c>
      <c r="B631" s="3" t="s">
        <v>1219</v>
      </c>
      <c r="C631" s="3" t="s">
        <v>1220</v>
      </c>
      <c r="D631" s="4">
        <v>862175</v>
      </c>
      <c r="E631" s="3">
        <v>1248</v>
      </c>
      <c r="F631" s="3">
        <v>4</v>
      </c>
      <c r="G631" s="3" t="s">
        <v>36</v>
      </c>
      <c r="H631" s="3" t="s">
        <v>27</v>
      </c>
      <c r="I631" s="3">
        <v>5</v>
      </c>
      <c r="J631" s="3" t="s">
        <v>12</v>
      </c>
      <c r="K631" s="18">
        <v>93</v>
      </c>
      <c r="L631" s="16">
        <v>209</v>
      </c>
      <c r="M631" s="6" t="str" cm="1">
        <f t="array" ref="M631">_xlfn.IFS(L631&lt;100,"Economy",L631&lt;200,"Standard",L631&lt;350,"Powerful",L631&lt;500,"High Performance",L631&lt;800,"Sports Performance",L631&gt;=800,"Super Performance")</f>
        <v>Powerful</v>
      </c>
    </row>
    <row r="632" spans="1:13" x14ac:dyDescent="0.25">
      <c r="A632" s="5" t="s">
        <v>301</v>
      </c>
      <c r="B632" s="3" t="s">
        <v>1219</v>
      </c>
      <c r="C632" s="3" t="s">
        <v>1223</v>
      </c>
      <c r="D632" s="4">
        <v>932025</v>
      </c>
      <c r="E632" s="3">
        <v>1248</v>
      </c>
      <c r="F632" s="3">
        <v>4</v>
      </c>
      <c r="G632" s="3" t="s">
        <v>36</v>
      </c>
      <c r="H632" s="3" t="s">
        <v>27</v>
      </c>
      <c r="I632" s="3">
        <v>5</v>
      </c>
      <c r="J632" s="3" t="s">
        <v>12</v>
      </c>
      <c r="K632" s="18">
        <v>93</v>
      </c>
      <c r="L632" s="16">
        <v>209</v>
      </c>
      <c r="M632" s="6" t="str" cm="1">
        <f t="array" ref="M632">_xlfn.IFS(L632&lt;100,"Economy",L632&lt;200,"Standard",L632&lt;350,"Powerful",L632&lt;500,"High Performance",L632&lt;800,"Sports Performance",L632&gt;=800,"Super Performance")</f>
        <v>Powerful</v>
      </c>
    </row>
    <row r="633" spans="1:13" x14ac:dyDescent="0.25">
      <c r="A633" s="5" t="s">
        <v>301</v>
      </c>
      <c r="B633" s="3" t="s">
        <v>1219</v>
      </c>
      <c r="C633" s="3" t="s">
        <v>1225</v>
      </c>
      <c r="D633" s="4">
        <v>991434</v>
      </c>
      <c r="E633" s="3">
        <v>1248</v>
      </c>
      <c r="F633" s="3">
        <v>4</v>
      </c>
      <c r="G633" s="3" t="s">
        <v>36</v>
      </c>
      <c r="H633" s="3" t="s">
        <v>27</v>
      </c>
      <c r="I633" s="3">
        <v>5</v>
      </c>
      <c r="J633" s="3" t="s">
        <v>12</v>
      </c>
      <c r="K633" s="18">
        <v>93</v>
      </c>
      <c r="L633" s="16">
        <v>209</v>
      </c>
      <c r="M633" s="6" t="str" cm="1">
        <f t="array" ref="M633">_xlfn.IFS(L633&lt;100,"Economy",L633&lt;200,"Standard",L633&lt;350,"Powerful",L633&lt;500,"High Performance",L633&lt;800,"Sports Performance",L633&gt;=800,"Super Performance")</f>
        <v>Powerful</v>
      </c>
    </row>
    <row r="634" spans="1:13" x14ac:dyDescent="0.25">
      <c r="A634" s="5" t="s">
        <v>301</v>
      </c>
      <c r="B634" s="3" t="s">
        <v>1219</v>
      </c>
      <c r="C634" s="3" t="s">
        <v>1221</v>
      </c>
      <c r="D634" s="4">
        <v>715860</v>
      </c>
      <c r="E634" s="3">
        <v>1368</v>
      </c>
      <c r="F634" s="3">
        <v>4</v>
      </c>
      <c r="G634" s="3" t="s">
        <v>10</v>
      </c>
      <c r="H634" s="3" t="s">
        <v>27</v>
      </c>
      <c r="I634" s="3">
        <v>5</v>
      </c>
      <c r="J634" s="3" t="s">
        <v>12</v>
      </c>
      <c r="K634" s="18">
        <v>114</v>
      </c>
      <c r="L634" s="16">
        <v>207</v>
      </c>
      <c r="M634" s="6" t="str" cm="1">
        <f t="array" ref="M634">_xlfn.IFS(L634&lt;100,"Economy",L634&lt;200,"Standard",L634&lt;350,"Powerful",L634&lt;500,"High Performance",L634&lt;800,"Sports Performance",L634&gt;=800,"Super Performance")</f>
        <v>Powerful</v>
      </c>
    </row>
    <row r="635" spans="1:13" x14ac:dyDescent="0.25">
      <c r="A635" s="5" t="s">
        <v>301</v>
      </c>
      <c r="B635" s="3" t="s">
        <v>1219</v>
      </c>
      <c r="C635" s="3" t="s">
        <v>1224</v>
      </c>
      <c r="D635" s="4">
        <v>997763</v>
      </c>
      <c r="E635" s="3">
        <v>1368</v>
      </c>
      <c r="F635" s="3">
        <v>4</v>
      </c>
      <c r="G635" s="3" t="s">
        <v>10</v>
      </c>
      <c r="H635" s="3" t="s">
        <v>27</v>
      </c>
      <c r="I635" s="3">
        <v>5</v>
      </c>
      <c r="J635" s="3" t="s">
        <v>12</v>
      </c>
      <c r="K635" s="18">
        <v>114</v>
      </c>
      <c r="L635" s="16">
        <v>207</v>
      </c>
      <c r="M635" s="6" t="str" cm="1">
        <f t="array" ref="M635">_xlfn.IFS(L635&lt;100,"Economy",L635&lt;200,"Standard",L635&lt;350,"Powerful",L635&lt;500,"High Performance",L635&lt;800,"Sports Performance",L635&gt;=800,"Super Performance")</f>
        <v>Powerful</v>
      </c>
    </row>
    <row r="636" spans="1:13" x14ac:dyDescent="0.25">
      <c r="A636" s="5" t="s">
        <v>40</v>
      </c>
      <c r="B636" s="3" t="s">
        <v>642</v>
      </c>
      <c r="C636" s="3" t="s">
        <v>647</v>
      </c>
      <c r="D636" s="4">
        <v>1145000</v>
      </c>
      <c r="E636" s="3">
        <v>1498</v>
      </c>
      <c r="F636" s="3">
        <v>3</v>
      </c>
      <c r="G636" s="3" t="s">
        <v>36</v>
      </c>
      <c r="H636" s="3" t="s">
        <v>66</v>
      </c>
      <c r="I636" s="3">
        <v>5</v>
      </c>
      <c r="J636" s="3" t="s">
        <v>12</v>
      </c>
      <c r="K636" s="18">
        <v>100</v>
      </c>
      <c r="L636" s="16">
        <v>205</v>
      </c>
      <c r="M636" s="6" t="str" cm="1">
        <f t="array" ref="M636">_xlfn.IFS(L636&lt;100,"Economy",L636&lt;200,"Standard",L636&lt;350,"Powerful",L636&lt;500,"High Performance",L636&lt;800,"Sports Performance",L636&gt;=800,"Super Performance")</f>
        <v>Powerful</v>
      </c>
    </row>
    <row r="637" spans="1:13" x14ac:dyDescent="0.25">
      <c r="A637" s="5" t="s">
        <v>40</v>
      </c>
      <c r="B637" s="3" t="s">
        <v>642</v>
      </c>
      <c r="C637" s="3" t="s">
        <v>702</v>
      </c>
      <c r="D637" s="4">
        <v>841000</v>
      </c>
      <c r="E637" s="3">
        <v>1498</v>
      </c>
      <c r="F637" s="3">
        <v>4</v>
      </c>
      <c r="G637" s="3" t="s">
        <v>36</v>
      </c>
      <c r="H637" s="3" t="s">
        <v>66</v>
      </c>
      <c r="I637" s="3">
        <v>5</v>
      </c>
      <c r="J637" s="3" t="s">
        <v>12</v>
      </c>
      <c r="K637" s="18">
        <v>100</v>
      </c>
      <c r="L637" s="16">
        <v>205</v>
      </c>
      <c r="M637" s="6" t="str" cm="1">
        <f t="array" ref="M637">_xlfn.IFS(L637&lt;100,"Economy",L637&lt;200,"Standard",L637&lt;350,"Powerful",L637&lt;500,"High Performance",L637&lt;800,"Sports Performance",L637&gt;=800,"Super Performance")</f>
        <v>Powerful</v>
      </c>
    </row>
    <row r="638" spans="1:13" x14ac:dyDescent="0.25">
      <c r="A638" s="5" t="s">
        <v>40</v>
      </c>
      <c r="B638" s="3" t="s">
        <v>642</v>
      </c>
      <c r="C638" s="3" t="s">
        <v>733</v>
      </c>
      <c r="D638" s="4">
        <v>921000</v>
      </c>
      <c r="E638" s="3">
        <v>1498</v>
      </c>
      <c r="F638" s="3">
        <v>4</v>
      </c>
      <c r="G638" s="3" t="s">
        <v>36</v>
      </c>
      <c r="H638" s="3" t="s">
        <v>66</v>
      </c>
      <c r="I638" s="3">
        <v>5</v>
      </c>
      <c r="J638" s="3" t="s">
        <v>12</v>
      </c>
      <c r="K638" s="18">
        <v>100</v>
      </c>
      <c r="L638" s="16">
        <v>205</v>
      </c>
      <c r="M638" s="6" t="str" cm="1">
        <f t="array" ref="M638">_xlfn.IFS(L638&lt;100,"Economy",L638&lt;200,"Standard",L638&lt;350,"Powerful",L638&lt;500,"High Performance",L638&lt;800,"Sports Performance",L638&gt;=800,"Super Performance")</f>
        <v>Powerful</v>
      </c>
    </row>
    <row r="639" spans="1:13" x14ac:dyDescent="0.25">
      <c r="A639" s="5" t="s">
        <v>40</v>
      </c>
      <c r="B639" s="3" t="s">
        <v>642</v>
      </c>
      <c r="C639" s="3" t="s">
        <v>703</v>
      </c>
      <c r="D639" s="4">
        <v>999900</v>
      </c>
      <c r="E639" s="3">
        <v>1498</v>
      </c>
      <c r="F639" s="3">
        <v>4</v>
      </c>
      <c r="G639" s="3" t="s">
        <v>36</v>
      </c>
      <c r="H639" s="3" t="s">
        <v>66</v>
      </c>
      <c r="I639" s="3">
        <v>5</v>
      </c>
      <c r="J639" s="3" t="s">
        <v>12</v>
      </c>
      <c r="K639" s="18">
        <v>100</v>
      </c>
      <c r="L639" s="16">
        <v>205</v>
      </c>
      <c r="M639" s="6" t="str" cm="1">
        <f t="array" ref="M639">_xlfn.IFS(L639&lt;100,"Economy",L639&lt;200,"Standard",L639&lt;350,"Powerful",L639&lt;500,"High Performance",L639&lt;800,"Sports Performance",L639&gt;=800,"Super Performance")</f>
        <v>Powerful</v>
      </c>
    </row>
    <row r="640" spans="1:13" x14ac:dyDescent="0.25">
      <c r="A640" s="5" t="s">
        <v>40</v>
      </c>
      <c r="B640" s="3" t="s">
        <v>642</v>
      </c>
      <c r="C640" s="3" t="s">
        <v>704</v>
      </c>
      <c r="D640" s="4">
        <v>1090000</v>
      </c>
      <c r="E640" s="3">
        <v>1498</v>
      </c>
      <c r="F640" s="3">
        <v>4</v>
      </c>
      <c r="G640" s="3" t="s">
        <v>36</v>
      </c>
      <c r="H640" s="3" t="s">
        <v>66</v>
      </c>
      <c r="I640" s="3">
        <v>5</v>
      </c>
      <c r="J640" s="3" t="s">
        <v>12</v>
      </c>
      <c r="K640" s="18">
        <v>100</v>
      </c>
      <c r="L640" s="16">
        <v>205</v>
      </c>
      <c r="M640" s="6" t="str" cm="1">
        <f t="array" ref="M640">_xlfn.IFS(L640&lt;100,"Economy",L640&lt;200,"Standard",L640&lt;350,"Powerful",L640&lt;500,"High Performance",L640&lt;800,"Sports Performance",L640&gt;=800,"Super Performance")</f>
        <v>Powerful</v>
      </c>
    </row>
    <row r="641" spans="1:13" x14ac:dyDescent="0.25">
      <c r="A641" s="5" t="s">
        <v>40</v>
      </c>
      <c r="B641" s="3" t="s">
        <v>642</v>
      </c>
      <c r="C641" s="3" t="s">
        <v>736</v>
      </c>
      <c r="D641" s="4">
        <v>1090000</v>
      </c>
      <c r="E641" s="3">
        <v>1498</v>
      </c>
      <c r="F641" s="3">
        <v>4</v>
      </c>
      <c r="G641" s="3" t="s">
        <v>36</v>
      </c>
      <c r="H641" s="3" t="s">
        <v>66</v>
      </c>
      <c r="I641" s="3">
        <v>5</v>
      </c>
      <c r="J641" s="3" t="s">
        <v>12</v>
      </c>
      <c r="K641" s="18">
        <v>100</v>
      </c>
      <c r="L641" s="16">
        <v>205</v>
      </c>
      <c r="M641" s="6" t="str" cm="1">
        <f t="array" ref="M641">_xlfn.IFS(L641&lt;100,"Economy",L641&lt;200,"Standard",L641&lt;350,"Powerful",L641&lt;500,"High Performance",L641&lt;800,"Sports Performance",L641&gt;=800,"Super Performance")</f>
        <v>Powerful</v>
      </c>
    </row>
    <row r="642" spans="1:13" x14ac:dyDescent="0.25">
      <c r="A642" s="5" t="s">
        <v>55</v>
      </c>
      <c r="B642" s="3" t="s">
        <v>488</v>
      </c>
      <c r="C642" s="3" t="s">
        <v>1252</v>
      </c>
      <c r="D642" s="4">
        <v>1936000</v>
      </c>
      <c r="E642" s="3">
        <v>1364</v>
      </c>
      <c r="F642" s="3">
        <v>4</v>
      </c>
      <c r="G642" s="3" t="s">
        <v>36</v>
      </c>
      <c r="H642" s="3" t="s">
        <v>27</v>
      </c>
      <c r="I642" s="3">
        <v>5</v>
      </c>
      <c r="J642" s="3" t="s">
        <v>12</v>
      </c>
      <c r="K642" s="18">
        <v>88.4</v>
      </c>
      <c r="L642" s="16">
        <v>205</v>
      </c>
      <c r="M642" s="6" t="str" cm="1">
        <f t="array" ref="M642">_xlfn.IFS(L642&lt;100,"Economy",L642&lt;200,"Standard",L642&lt;350,"Powerful",L642&lt;500,"High Performance",L642&lt;800,"Sports Performance",L642&gt;=800,"Super Performance")</f>
        <v>Powerful</v>
      </c>
    </row>
    <row r="643" spans="1:13" x14ac:dyDescent="0.25">
      <c r="A643" s="5" t="s">
        <v>55</v>
      </c>
      <c r="B643" s="3" t="s">
        <v>488</v>
      </c>
      <c r="C643" s="3" t="s">
        <v>1255</v>
      </c>
      <c r="D643" s="4">
        <v>1771000</v>
      </c>
      <c r="E643" s="3">
        <v>1364</v>
      </c>
      <c r="F643" s="3">
        <v>4</v>
      </c>
      <c r="G643" s="3" t="s">
        <v>36</v>
      </c>
      <c r="H643" s="3" t="s">
        <v>27</v>
      </c>
      <c r="I643" s="3">
        <v>5</v>
      </c>
      <c r="J643" s="3" t="s">
        <v>12</v>
      </c>
      <c r="K643" s="18">
        <v>88.4</v>
      </c>
      <c r="L643" s="16">
        <v>205</v>
      </c>
      <c r="M643" s="6" t="str" cm="1">
        <f t="array" ref="M643">_xlfn.IFS(L643&lt;100,"Economy",L643&lt;200,"Standard",L643&lt;350,"Powerful",L643&lt;500,"High Performance",L643&lt;800,"Sports Performance",L643&gt;=800,"Super Performance")</f>
        <v>Powerful</v>
      </c>
    </row>
    <row r="644" spans="1:13" x14ac:dyDescent="0.25">
      <c r="A644" s="5" t="s">
        <v>330</v>
      </c>
      <c r="B644" s="3" t="s">
        <v>331</v>
      </c>
      <c r="C644" s="3" t="s">
        <v>334</v>
      </c>
      <c r="D644" s="4">
        <v>912534</v>
      </c>
      <c r="E644" s="3">
        <v>1461</v>
      </c>
      <c r="F644" s="3">
        <v>4</v>
      </c>
      <c r="G644" s="3" t="s">
        <v>36</v>
      </c>
      <c r="H644" s="3" t="s">
        <v>27</v>
      </c>
      <c r="I644" s="3">
        <v>5</v>
      </c>
      <c r="J644" s="3" t="s">
        <v>12</v>
      </c>
      <c r="K644" s="18">
        <v>86</v>
      </c>
      <c r="L644" s="16">
        <v>200</v>
      </c>
      <c r="M644" s="6" t="str" cm="1">
        <f t="array" ref="M644">_xlfn.IFS(L644&lt;100,"Economy",L644&lt;200,"Standard",L644&lt;350,"Powerful",L644&lt;500,"High Performance",L644&lt;800,"Sports Performance",L644&gt;=800,"Super Performance")</f>
        <v>Powerful</v>
      </c>
    </row>
    <row r="645" spans="1:13" x14ac:dyDescent="0.25">
      <c r="A645" s="5" t="s">
        <v>330</v>
      </c>
      <c r="B645" s="3" t="s">
        <v>331</v>
      </c>
      <c r="C645" s="3" t="s">
        <v>335</v>
      </c>
      <c r="D645" s="4">
        <v>993997</v>
      </c>
      <c r="E645" s="3">
        <v>1461</v>
      </c>
      <c r="F645" s="3">
        <v>4</v>
      </c>
      <c r="G645" s="3" t="s">
        <v>36</v>
      </c>
      <c r="H645" s="3" t="s">
        <v>27</v>
      </c>
      <c r="I645" s="3">
        <v>5</v>
      </c>
      <c r="J645" s="3" t="s">
        <v>12</v>
      </c>
      <c r="K645" s="18">
        <v>86</v>
      </c>
      <c r="L645" s="16">
        <v>200</v>
      </c>
      <c r="M645" s="6" t="str" cm="1">
        <f t="array" ref="M645">_xlfn.IFS(L645&lt;100,"Economy",L645&lt;200,"Standard",L645&lt;350,"Powerful",L645&lt;500,"High Performance",L645&lt;800,"Sports Performance",L645&gt;=800,"Super Performance")</f>
        <v>Powerful</v>
      </c>
    </row>
    <row r="646" spans="1:13" x14ac:dyDescent="0.25">
      <c r="A646" s="5" t="s">
        <v>330</v>
      </c>
      <c r="B646" s="3" t="s">
        <v>331</v>
      </c>
      <c r="C646" s="3" t="s">
        <v>336</v>
      </c>
      <c r="D646" s="4">
        <v>860997</v>
      </c>
      <c r="E646" s="3">
        <v>1461</v>
      </c>
      <c r="F646" s="3">
        <v>4</v>
      </c>
      <c r="G646" s="3" t="s">
        <v>36</v>
      </c>
      <c r="H646" s="3" t="s">
        <v>27</v>
      </c>
      <c r="I646" s="3">
        <v>5</v>
      </c>
      <c r="J646" s="3" t="s">
        <v>12</v>
      </c>
      <c r="K646" s="18">
        <v>86</v>
      </c>
      <c r="L646" s="16">
        <v>200</v>
      </c>
      <c r="M646" s="6" t="str" cm="1">
        <f t="array" ref="M646">_xlfn.IFS(L646&lt;100,"Economy",L646&lt;200,"Standard",L646&lt;350,"Powerful",L646&lt;500,"High Performance",L646&lt;800,"Sports Performance",L646&gt;=800,"Super Performance")</f>
        <v>Powerful</v>
      </c>
    </row>
    <row r="647" spans="1:13" x14ac:dyDescent="0.25">
      <c r="A647" s="5" t="s">
        <v>330</v>
      </c>
      <c r="B647" s="3" t="s">
        <v>331</v>
      </c>
      <c r="C647" s="3" t="s">
        <v>338</v>
      </c>
      <c r="D647" s="4">
        <v>877285</v>
      </c>
      <c r="E647" s="3">
        <v>1461</v>
      </c>
      <c r="F647" s="3">
        <v>4</v>
      </c>
      <c r="G647" s="3" t="s">
        <v>36</v>
      </c>
      <c r="H647" s="3" t="s">
        <v>27</v>
      </c>
      <c r="I647" s="3">
        <v>5</v>
      </c>
      <c r="J647" s="3" t="s">
        <v>12</v>
      </c>
      <c r="K647" s="18">
        <v>86</v>
      </c>
      <c r="L647" s="16">
        <v>200</v>
      </c>
      <c r="M647" s="6" t="str" cm="1">
        <f t="array" ref="M647">_xlfn.IFS(L647&lt;100,"Economy",L647&lt;200,"Standard",L647&lt;350,"Powerful",L647&lt;500,"High Performance",L647&lt;800,"Sports Performance",L647&gt;=800,"Super Performance")</f>
        <v>Powerful</v>
      </c>
    </row>
    <row r="648" spans="1:13" x14ac:dyDescent="0.25">
      <c r="A648" s="5" t="s">
        <v>131</v>
      </c>
      <c r="B648" s="3" t="s">
        <v>395</v>
      </c>
      <c r="C648" s="3" t="s">
        <v>396</v>
      </c>
      <c r="D648" s="4">
        <v>1035000</v>
      </c>
      <c r="E648" s="3">
        <v>1498</v>
      </c>
      <c r="F648" s="3">
        <v>0</v>
      </c>
      <c r="G648" s="3" t="s">
        <v>36</v>
      </c>
      <c r="H648" s="3" t="s">
        <v>66</v>
      </c>
      <c r="I648" s="3">
        <v>5</v>
      </c>
      <c r="J648" s="3" t="s">
        <v>12</v>
      </c>
      <c r="K648" s="18">
        <v>100</v>
      </c>
      <c r="L648" s="16">
        <v>200</v>
      </c>
      <c r="M648" s="6" t="str" cm="1">
        <f t="array" ref="M648">_xlfn.IFS(L648&lt;100,"Economy",L648&lt;200,"Standard",L648&lt;350,"Powerful",L648&lt;500,"High Performance",L648&lt;800,"Sports Performance",L648&gt;=800,"Super Performance")</f>
        <v>Powerful</v>
      </c>
    </row>
    <row r="649" spans="1:13" x14ac:dyDescent="0.25">
      <c r="A649" s="5" t="s">
        <v>131</v>
      </c>
      <c r="B649" s="3" t="s">
        <v>395</v>
      </c>
      <c r="C649" s="3" t="s">
        <v>397</v>
      </c>
      <c r="D649" s="4">
        <v>1048050</v>
      </c>
      <c r="E649" s="3">
        <v>1498</v>
      </c>
      <c r="F649" s="3">
        <v>0</v>
      </c>
      <c r="G649" s="3" t="s">
        <v>36</v>
      </c>
      <c r="H649" s="3" t="s">
        <v>66</v>
      </c>
      <c r="I649" s="3">
        <v>5</v>
      </c>
      <c r="J649" s="3" t="s">
        <v>12</v>
      </c>
      <c r="K649" s="18">
        <v>100</v>
      </c>
      <c r="L649" s="16">
        <v>200</v>
      </c>
      <c r="M649" s="6" t="str" cm="1">
        <f t="array" ref="M649">_xlfn.IFS(L649&lt;100,"Economy",L649&lt;200,"Standard",L649&lt;350,"Powerful",L649&lt;500,"High Performance",L649&lt;800,"Sports Performance",L649&gt;=800,"Super Performance")</f>
        <v>Powerful</v>
      </c>
    </row>
    <row r="650" spans="1:13" x14ac:dyDescent="0.25">
      <c r="A650" s="5" t="s">
        <v>131</v>
      </c>
      <c r="B650" s="3" t="s">
        <v>395</v>
      </c>
      <c r="C650" s="3" t="s">
        <v>398</v>
      </c>
      <c r="D650" s="4">
        <v>995000</v>
      </c>
      <c r="E650" s="3">
        <v>1498</v>
      </c>
      <c r="F650" s="3">
        <v>0</v>
      </c>
      <c r="G650" s="3" t="s">
        <v>36</v>
      </c>
      <c r="H650" s="3" t="s">
        <v>66</v>
      </c>
      <c r="I650" s="3">
        <v>5</v>
      </c>
      <c r="J650" s="3" t="s">
        <v>12</v>
      </c>
      <c r="K650" s="18">
        <v>100</v>
      </c>
      <c r="L650" s="16">
        <v>200</v>
      </c>
      <c r="M650" s="6" t="str" cm="1">
        <f t="array" ref="M650">_xlfn.IFS(L650&lt;100,"Economy",L650&lt;200,"Standard",L650&lt;350,"Powerful",L650&lt;500,"High Performance",L650&lt;800,"Sports Performance",L650&gt;=800,"Super Performance")</f>
        <v>Powerful</v>
      </c>
    </row>
    <row r="651" spans="1:13" x14ac:dyDescent="0.25">
      <c r="A651" s="5" t="s">
        <v>350</v>
      </c>
      <c r="B651" s="3" t="s">
        <v>405</v>
      </c>
      <c r="C651" s="3" t="s">
        <v>406</v>
      </c>
      <c r="D651" s="4">
        <v>863299</v>
      </c>
      <c r="E651" s="3">
        <v>1461</v>
      </c>
      <c r="F651" s="3">
        <v>4</v>
      </c>
      <c r="G651" s="3" t="s">
        <v>36</v>
      </c>
      <c r="H651" s="3" t="s">
        <v>242</v>
      </c>
      <c r="I651" s="3">
        <v>8</v>
      </c>
      <c r="J651" s="3" t="s">
        <v>12</v>
      </c>
      <c r="K651" s="18">
        <v>85</v>
      </c>
      <c r="L651" s="16">
        <v>200</v>
      </c>
      <c r="M651" s="6" t="str" cm="1">
        <f t="array" ref="M651">_xlfn.IFS(L651&lt;100,"Economy",L651&lt;200,"Standard",L651&lt;350,"Powerful",L651&lt;500,"High Performance",L651&lt;800,"Sports Performance",L651&gt;=800,"Super Performance")</f>
        <v>Powerful</v>
      </c>
    </row>
    <row r="652" spans="1:13" x14ac:dyDescent="0.25">
      <c r="A652" s="5" t="s">
        <v>350</v>
      </c>
      <c r="B652" s="3" t="s">
        <v>405</v>
      </c>
      <c r="C652" s="3" t="s">
        <v>407</v>
      </c>
      <c r="D652" s="4">
        <v>964199</v>
      </c>
      <c r="E652" s="3">
        <v>1461</v>
      </c>
      <c r="F652" s="3">
        <v>4</v>
      </c>
      <c r="G652" s="3" t="s">
        <v>36</v>
      </c>
      <c r="H652" s="3" t="s">
        <v>242</v>
      </c>
      <c r="I652" s="3">
        <v>8</v>
      </c>
      <c r="J652" s="3" t="s">
        <v>12</v>
      </c>
      <c r="K652" s="18">
        <v>85</v>
      </c>
      <c r="L652" s="16">
        <v>200</v>
      </c>
      <c r="M652" s="6" t="str" cm="1">
        <f t="array" ref="M652">_xlfn.IFS(L652&lt;100,"Economy",L652&lt;200,"Standard",L652&lt;350,"Powerful",L652&lt;500,"High Performance",L652&lt;800,"Sports Performance",L652&gt;=800,"Super Performance")</f>
        <v>Powerful</v>
      </c>
    </row>
    <row r="653" spans="1:13" x14ac:dyDescent="0.25">
      <c r="A653" s="5" t="s">
        <v>350</v>
      </c>
      <c r="B653" s="3" t="s">
        <v>405</v>
      </c>
      <c r="C653" s="3" t="s">
        <v>410</v>
      </c>
      <c r="D653" s="4">
        <v>1053899</v>
      </c>
      <c r="E653" s="3">
        <v>1461</v>
      </c>
      <c r="F653" s="3">
        <v>4</v>
      </c>
      <c r="G653" s="3" t="s">
        <v>36</v>
      </c>
      <c r="H653" s="3" t="s">
        <v>242</v>
      </c>
      <c r="I653" s="3">
        <v>8</v>
      </c>
      <c r="J653" s="3" t="s">
        <v>12</v>
      </c>
      <c r="K653" s="18">
        <v>85</v>
      </c>
      <c r="L653" s="16">
        <v>200</v>
      </c>
      <c r="M653" s="6" t="str" cm="1">
        <f t="array" ref="M653">_xlfn.IFS(L653&lt;100,"Economy",L653&lt;200,"Standard",L653&lt;350,"Powerful",L653&lt;500,"High Performance",L653&lt;800,"Sports Performance",L653&gt;=800,"Super Performance")</f>
        <v>Powerful</v>
      </c>
    </row>
    <row r="654" spans="1:13" x14ac:dyDescent="0.25">
      <c r="A654" s="5" t="s">
        <v>350</v>
      </c>
      <c r="B654" s="3" t="s">
        <v>405</v>
      </c>
      <c r="C654" s="3" t="s">
        <v>411</v>
      </c>
      <c r="D654" s="4">
        <v>1130099</v>
      </c>
      <c r="E654" s="3">
        <v>1461</v>
      </c>
      <c r="F654" s="3">
        <v>4</v>
      </c>
      <c r="G654" s="3" t="s">
        <v>36</v>
      </c>
      <c r="H654" s="3" t="s">
        <v>242</v>
      </c>
      <c r="I654" s="3">
        <v>8</v>
      </c>
      <c r="J654" s="3" t="s">
        <v>12</v>
      </c>
      <c r="K654" s="18">
        <v>85</v>
      </c>
      <c r="L654" s="16">
        <v>200</v>
      </c>
      <c r="M654" s="6" t="str" cm="1">
        <f t="array" ref="M654">_xlfn.IFS(L654&lt;100,"Economy",L654&lt;200,"Standard",L654&lt;350,"Powerful",L654&lt;500,"High Performance",L654&lt;800,"Sports Performance",L654&gt;=800,"Super Performance")</f>
        <v>Powerful</v>
      </c>
    </row>
    <row r="655" spans="1:13" x14ac:dyDescent="0.25">
      <c r="A655" s="5" t="s">
        <v>350</v>
      </c>
      <c r="B655" s="3" t="s">
        <v>405</v>
      </c>
      <c r="C655" s="3" t="s">
        <v>412</v>
      </c>
      <c r="D655" s="4">
        <v>964199</v>
      </c>
      <c r="E655" s="3">
        <v>1461</v>
      </c>
      <c r="F655" s="3">
        <v>4</v>
      </c>
      <c r="G655" s="3" t="s">
        <v>36</v>
      </c>
      <c r="H655" s="3" t="s">
        <v>242</v>
      </c>
      <c r="I655" s="3">
        <v>7</v>
      </c>
      <c r="J655" s="3" t="s">
        <v>12</v>
      </c>
      <c r="K655" s="18">
        <v>85</v>
      </c>
      <c r="L655" s="16">
        <v>200</v>
      </c>
      <c r="M655" s="6" t="str" cm="1">
        <f t="array" ref="M655">_xlfn.IFS(L655&lt;100,"Economy",L655&lt;200,"Standard",L655&lt;350,"Powerful",L655&lt;500,"High Performance",L655&lt;800,"Sports Performance",L655&gt;=800,"Super Performance")</f>
        <v>Powerful</v>
      </c>
    </row>
    <row r="656" spans="1:13" x14ac:dyDescent="0.25">
      <c r="A656" s="5" t="s">
        <v>131</v>
      </c>
      <c r="B656" s="3" t="s">
        <v>469</v>
      </c>
      <c r="C656" s="3" t="s">
        <v>473</v>
      </c>
      <c r="D656" s="4">
        <v>816500</v>
      </c>
      <c r="E656" s="3">
        <v>1498</v>
      </c>
      <c r="F656" s="3">
        <v>4</v>
      </c>
      <c r="G656" s="3" t="s">
        <v>36</v>
      </c>
      <c r="H656" s="3" t="s">
        <v>11</v>
      </c>
      <c r="I656" s="3">
        <v>5</v>
      </c>
      <c r="J656" s="3" t="s">
        <v>12</v>
      </c>
      <c r="K656" s="18">
        <v>100</v>
      </c>
      <c r="L656" s="16">
        <v>200</v>
      </c>
      <c r="M656" s="6" t="str" cm="1">
        <f t="array" ref="M656">_xlfn.IFS(L656&lt;100,"Economy",L656&lt;200,"Standard",L656&lt;350,"Powerful",L656&lt;500,"High Performance",L656&lt;800,"Sports Performance",L656&gt;=800,"Super Performance")</f>
        <v>Powerful</v>
      </c>
    </row>
    <row r="657" spans="1:13" x14ac:dyDescent="0.25">
      <c r="A657" s="5" t="s">
        <v>131</v>
      </c>
      <c r="B657" s="3" t="s">
        <v>469</v>
      </c>
      <c r="C657" s="3" t="s">
        <v>398</v>
      </c>
      <c r="D657" s="4">
        <v>896500</v>
      </c>
      <c r="E657" s="3">
        <v>1498</v>
      </c>
      <c r="F657" s="3">
        <v>4</v>
      </c>
      <c r="G657" s="3" t="s">
        <v>36</v>
      </c>
      <c r="H657" s="3" t="s">
        <v>11</v>
      </c>
      <c r="I657" s="3">
        <v>5</v>
      </c>
      <c r="J657" s="3" t="s">
        <v>12</v>
      </c>
      <c r="K657" s="18">
        <v>100</v>
      </c>
      <c r="L657" s="16">
        <v>200</v>
      </c>
      <c r="M657" s="6" t="str" cm="1">
        <f t="array" ref="M657">_xlfn.IFS(L657&lt;100,"Economy",L657&lt;200,"Standard",L657&lt;350,"Powerful",L657&lt;500,"High Performance",L657&lt;800,"Sports Performance",L657&gt;=800,"Super Performance")</f>
        <v>Powerful</v>
      </c>
    </row>
    <row r="658" spans="1:13" x14ac:dyDescent="0.25">
      <c r="A658" s="5" t="s">
        <v>131</v>
      </c>
      <c r="B658" s="3" t="s">
        <v>469</v>
      </c>
      <c r="C658" s="3" t="s">
        <v>396</v>
      </c>
      <c r="D658" s="4">
        <v>940500</v>
      </c>
      <c r="E658" s="3">
        <v>1498</v>
      </c>
      <c r="F658" s="3">
        <v>4</v>
      </c>
      <c r="G658" s="3" t="s">
        <v>36</v>
      </c>
      <c r="H658" s="3" t="s">
        <v>11</v>
      </c>
      <c r="I658" s="3">
        <v>5</v>
      </c>
      <c r="J658" s="3" t="s">
        <v>12</v>
      </c>
      <c r="K658" s="18">
        <v>100</v>
      </c>
      <c r="L658" s="16">
        <v>200</v>
      </c>
      <c r="M658" s="6" t="str" cm="1">
        <f t="array" ref="M658">_xlfn.IFS(L658&lt;100,"Economy",L658&lt;200,"Standard",L658&lt;350,"Powerful",L658&lt;500,"High Performance",L658&lt;800,"Sports Performance",L658&gt;=800,"Super Performance")</f>
        <v>Powerful</v>
      </c>
    </row>
    <row r="659" spans="1:13" x14ac:dyDescent="0.25">
      <c r="A659" s="5" t="s">
        <v>131</v>
      </c>
      <c r="B659" s="3" t="s">
        <v>395</v>
      </c>
      <c r="C659" s="3" t="s">
        <v>473</v>
      </c>
      <c r="D659" s="4">
        <v>925000</v>
      </c>
      <c r="E659" s="3">
        <v>1498</v>
      </c>
      <c r="F659" s="3">
        <v>4</v>
      </c>
      <c r="G659" s="3" t="s">
        <v>36</v>
      </c>
      <c r="H659" s="3" t="s">
        <v>66</v>
      </c>
      <c r="I659" s="3">
        <v>5</v>
      </c>
      <c r="J659" s="3" t="s">
        <v>12</v>
      </c>
      <c r="K659" s="18">
        <v>100</v>
      </c>
      <c r="L659" s="16">
        <v>200</v>
      </c>
      <c r="M659" s="6" t="str" cm="1">
        <f t="array" ref="M659">_xlfn.IFS(L659&lt;100,"Economy",L659&lt;200,"Standard",L659&lt;350,"Powerful",L659&lt;500,"High Performance",L659&lt;800,"Sports Performance",L659&gt;=800,"Super Performance")</f>
        <v>Powerful</v>
      </c>
    </row>
    <row r="660" spans="1:13" x14ac:dyDescent="0.25">
      <c r="A660" s="5" t="s">
        <v>131</v>
      </c>
      <c r="B660" s="3" t="s">
        <v>395</v>
      </c>
      <c r="C660" s="3" t="s">
        <v>499</v>
      </c>
      <c r="D660" s="4">
        <v>916050</v>
      </c>
      <c r="E660" s="3">
        <v>1498</v>
      </c>
      <c r="F660" s="3">
        <v>4</v>
      </c>
      <c r="G660" s="3" t="s">
        <v>36</v>
      </c>
      <c r="H660" s="3" t="s">
        <v>66</v>
      </c>
      <c r="I660" s="3">
        <v>5</v>
      </c>
      <c r="J660" s="3" t="s">
        <v>12</v>
      </c>
      <c r="K660" s="18">
        <v>100</v>
      </c>
      <c r="L660" s="16">
        <v>200</v>
      </c>
      <c r="M660" s="6" t="str" cm="1">
        <f t="array" ref="M660">_xlfn.IFS(L660&lt;100,"Economy",L660&lt;200,"Standard",L660&lt;350,"Powerful",L660&lt;500,"High Performance",L660&lt;800,"Sports Performance",L660&gt;=800,"Super Performance")</f>
        <v>Powerful</v>
      </c>
    </row>
    <row r="661" spans="1:13" x14ac:dyDescent="0.25">
      <c r="A661" s="5" t="s">
        <v>93</v>
      </c>
      <c r="B661" s="3" t="s">
        <v>502</v>
      </c>
      <c r="C661" s="3" t="s">
        <v>503</v>
      </c>
      <c r="D661" s="4">
        <v>880689</v>
      </c>
      <c r="E661" s="3">
        <v>1248</v>
      </c>
      <c r="F661" s="3">
        <v>4</v>
      </c>
      <c r="G661" s="3" t="s">
        <v>36</v>
      </c>
      <c r="H661" s="3" t="s">
        <v>304</v>
      </c>
      <c r="I661" s="3">
        <v>5</v>
      </c>
      <c r="J661" s="3" t="s">
        <v>12</v>
      </c>
      <c r="K661" s="18">
        <v>90</v>
      </c>
      <c r="L661" s="16">
        <v>200</v>
      </c>
      <c r="M661" s="6" t="str" cm="1">
        <f t="array" ref="M661">_xlfn.IFS(L661&lt;100,"Economy",L661&lt;200,"Standard",L661&lt;350,"Powerful",L661&lt;500,"High Performance",L661&lt;800,"Sports Performance",L661&gt;=800,"Super Performance")</f>
        <v>Powerful</v>
      </c>
    </row>
    <row r="662" spans="1:13" x14ac:dyDescent="0.25">
      <c r="A662" s="5" t="s">
        <v>93</v>
      </c>
      <c r="B662" s="3" t="s">
        <v>502</v>
      </c>
      <c r="C662" s="3" t="s">
        <v>504</v>
      </c>
      <c r="D662" s="4">
        <v>992689</v>
      </c>
      <c r="E662" s="3">
        <v>1248</v>
      </c>
      <c r="F662" s="3">
        <v>4</v>
      </c>
      <c r="G662" s="3" t="s">
        <v>36</v>
      </c>
      <c r="H662" s="3" t="s">
        <v>304</v>
      </c>
      <c r="I662" s="3">
        <v>5</v>
      </c>
      <c r="J662" s="3" t="s">
        <v>12</v>
      </c>
      <c r="K662" s="18">
        <v>90</v>
      </c>
      <c r="L662" s="16">
        <v>200</v>
      </c>
      <c r="M662" s="6" t="str" cm="1">
        <f t="array" ref="M662">_xlfn.IFS(L662&lt;100,"Economy",L662&lt;200,"Standard",L662&lt;350,"Powerful",L662&lt;500,"High Performance",L662&lt;800,"Sports Performance",L662&gt;=800,"Super Performance")</f>
        <v>Powerful</v>
      </c>
    </row>
    <row r="663" spans="1:13" x14ac:dyDescent="0.25">
      <c r="A663" s="5" t="s">
        <v>93</v>
      </c>
      <c r="B663" s="3" t="s">
        <v>502</v>
      </c>
      <c r="C663" s="3" t="s">
        <v>505</v>
      </c>
      <c r="D663" s="4">
        <v>1043689</v>
      </c>
      <c r="E663" s="3">
        <v>1248</v>
      </c>
      <c r="F663" s="3">
        <v>4</v>
      </c>
      <c r="G663" s="3" t="s">
        <v>36</v>
      </c>
      <c r="H663" s="3" t="s">
        <v>304</v>
      </c>
      <c r="I663" s="3">
        <v>5</v>
      </c>
      <c r="J663" s="3" t="s">
        <v>12</v>
      </c>
      <c r="K663" s="18">
        <v>90</v>
      </c>
      <c r="L663" s="16">
        <v>200</v>
      </c>
      <c r="M663" s="6" t="str" cm="1">
        <f t="array" ref="M663">_xlfn.IFS(L663&lt;100,"Economy",L663&lt;200,"Standard",L663&lt;350,"Powerful",L663&lt;500,"High Performance",L663&lt;800,"Sports Performance",L663&gt;=800,"Super Performance")</f>
        <v>Powerful</v>
      </c>
    </row>
    <row r="664" spans="1:13" x14ac:dyDescent="0.25">
      <c r="A664" s="5" t="s">
        <v>93</v>
      </c>
      <c r="B664" s="3" t="s">
        <v>502</v>
      </c>
      <c r="C664" s="3" t="s">
        <v>506</v>
      </c>
      <c r="D664" s="4">
        <v>1143689</v>
      </c>
      <c r="E664" s="3">
        <v>1248</v>
      </c>
      <c r="F664" s="3">
        <v>4</v>
      </c>
      <c r="G664" s="3" t="s">
        <v>36</v>
      </c>
      <c r="H664" s="3" t="s">
        <v>304</v>
      </c>
      <c r="I664" s="3">
        <v>5</v>
      </c>
      <c r="J664" s="3" t="s">
        <v>12</v>
      </c>
      <c r="K664" s="18">
        <v>90</v>
      </c>
      <c r="L664" s="16">
        <v>200</v>
      </c>
      <c r="M664" s="6" t="str" cm="1">
        <f t="array" ref="M664">_xlfn.IFS(L664&lt;100,"Economy",L664&lt;200,"Standard",L664&lt;350,"Powerful",L664&lt;500,"High Performance",L664&lt;800,"Sports Performance",L664&gt;=800,"Super Performance")</f>
        <v>Powerful</v>
      </c>
    </row>
    <row r="665" spans="1:13" x14ac:dyDescent="0.25">
      <c r="A665" s="5" t="s">
        <v>93</v>
      </c>
      <c r="B665" s="3" t="s">
        <v>510</v>
      </c>
      <c r="C665" s="3" t="s">
        <v>511</v>
      </c>
      <c r="D665" s="4">
        <v>1102689</v>
      </c>
      <c r="E665" s="3">
        <v>1248</v>
      </c>
      <c r="F665" s="3">
        <v>4</v>
      </c>
      <c r="G665" s="3" t="s">
        <v>36</v>
      </c>
      <c r="H665" s="3" t="s">
        <v>27</v>
      </c>
      <c r="I665" s="3">
        <v>5</v>
      </c>
      <c r="J665" s="3" t="s">
        <v>12</v>
      </c>
      <c r="K665" s="18">
        <v>89</v>
      </c>
      <c r="L665" s="16">
        <v>200</v>
      </c>
      <c r="M665" s="6" t="str" cm="1">
        <f t="array" ref="M665">_xlfn.IFS(L665&lt;100,"Economy",L665&lt;200,"Standard",L665&lt;350,"Powerful",L665&lt;500,"High Performance",L665&lt;800,"Sports Performance",L665&gt;=800,"Super Performance")</f>
        <v>Powerful</v>
      </c>
    </row>
    <row r="666" spans="1:13" x14ac:dyDescent="0.25">
      <c r="A666" s="5" t="s">
        <v>93</v>
      </c>
      <c r="B666" s="3" t="s">
        <v>510</v>
      </c>
      <c r="C666" s="3" t="s">
        <v>512</v>
      </c>
      <c r="D666" s="4">
        <v>919689</v>
      </c>
      <c r="E666" s="3">
        <v>1248</v>
      </c>
      <c r="F666" s="3">
        <v>4</v>
      </c>
      <c r="G666" s="3" t="s">
        <v>36</v>
      </c>
      <c r="H666" s="3" t="s">
        <v>27</v>
      </c>
      <c r="I666" s="3">
        <v>5</v>
      </c>
      <c r="J666" s="3" t="s">
        <v>12</v>
      </c>
      <c r="K666" s="18">
        <v>89</v>
      </c>
      <c r="L666" s="16">
        <v>200</v>
      </c>
      <c r="M666" s="6" t="str" cm="1">
        <f t="array" ref="M666">_xlfn.IFS(L666&lt;100,"Economy",L666&lt;200,"Standard",L666&lt;350,"Powerful",L666&lt;500,"High Performance",L666&lt;800,"Sports Performance",L666&gt;=800,"Super Performance")</f>
        <v>Powerful</v>
      </c>
    </row>
    <row r="667" spans="1:13" x14ac:dyDescent="0.25">
      <c r="A667" s="5" t="s">
        <v>93</v>
      </c>
      <c r="B667" s="3" t="s">
        <v>510</v>
      </c>
      <c r="C667" s="3" t="s">
        <v>513</v>
      </c>
      <c r="D667" s="4">
        <v>980689</v>
      </c>
      <c r="E667" s="3">
        <v>1248</v>
      </c>
      <c r="F667" s="3">
        <v>4</v>
      </c>
      <c r="G667" s="3" t="s">
        <v>36</v>
      </c>
      <c r="H667" s="3" t="s">
        <v>27</v>
      </c>
      <c r="I667" s="3">
        <v>5</v>
      </c>
      <c r="J667" s="3" t="s">
        <v>12</v>
      </c>
      <c r="K667" s="18">
        <v>89</v>
      </c>
      <c r="L667" s="16">
        <v>200</v>
      </c>
      <c r="M667" s="6" t="str" cm="1">
        <f t="array" ref="M667">_xlfn.IFS(L667&lt;100,"Economy",L667&lt;200,"Standard",L667&lt;350,"Powerful",L667&lt;500,"High Performance",L667&lt;800,"Sports Performance",L667&gt;=800,"Super Performance")</f>
        <v>Powerful</v>
      </c>
    </row>
    <row r="668" spans="1:13" x14ac:dyDescent="0.25">
      <c r="A668" s="5" t="s">
        <v>93</v>
      </c>
      <c r="B668" s="3" t="s">
        <v>510</v>
      </c>
      <c r="C668" s="3" t="s">
        <v>514</v>
      </c>
      <c r="D668" s="4">
        <v>1062689</v>
      </c>
      <c r="E668" s="3">
        <v>1248</v>
      </c>
      <c r="F668" s="3">
        <v>4</v>
      </c>
      <c r="G668" s="3" t="s">
        <v>36</v>
      </c>
      <c r="H668" s="3" t="s">
        <v>27</v>
      </c>
      <c r="I668" s="3">
        <v>5</v>
      </c>
      <c r="J668" s="3" t="s">
        <v>12</v>
      </c>
      <c r="K668" s="18">
        <v>89</v>
      </c>
      <c r="L668" s="16">
        <v>200</v>
      </c>
      <c r="M668" s="6" t="str" cm="1">
        <f t="array" ref="M668">_xlfn.IFS(L668&lt;100,"Economy",L668&lt;200,"Standard",L668&lt;350,"Powerful",L668&lt;500,"High Performance",L668&lt;800,"Sports Performance",L668&gt;=800,"Super Performance")</f>
        <v>Powerful</v>
      </c>
    </row>
    <row r="669" spans="1:13" x14ac:dyDescent="0.25">
      <c r="A669" s="5" t="s">
        <v>22</v>
      </c>
      <c r="B669" s="3" t="s">
        <v>631</v>
      </c>
      <c r="C669" s="3" t="s">
        <v>336</v>
      </c>
      <c r="D669" s="4">
        <v>699000</v>
      </c>
      <c r="E669" s="3">
        <v>1497</v>
      </c>
      <c r="F669" s="3">
        <v>4</v>
      </c>
      <c r="G669" s="3" t="s">
        <v>36</v>
      </c>
      <c r="H669" s="3" t="s">
        <v>11</v>
      </c>
      <c r="I669" s="3">
        <v>5</v>
      </c>
      <c r="J669" s="3" t="s">
        <v>12</v>
      </c>
      <c r="K669" s="18">
        <v>90</v>
      </c>
      <c r="L669" s="16">
        <v>200</v>
      </c>
      <c r="M669" s="6" t="str" cm="1">
        <f t="array" ref="M669">_xlfn.IFS(L669&lt;100,"Economy",L669&lt;200,"Standard",L669&lt;350,"Powerful",L669&lt;500,"High Performance",L669&lt;800,"Sports Performance",L669&gt;=800,"Super Performance")</f>
        <v>Powerful</v>
      </c>
    </row>
    <row r="670" spans="1:13" x14ac:dyDescent="0.25">
      <c r="A670" s="5" t="s">
        <v>131</v>
      </c>
      <c r="B670" s="3" t="s">
        <v>844</v>
      </c>
      <c r="C670" s="3" t="s">
        <v>846</v>
      </c>
      <c r="D670" s="4">
        <v>705000</v>
      </c>
      <c r="E670" s="3">
        <v>1498</v>
      </c>
      <c r="F670" s="3">
        <v>4</v>
      </c>
      <c r="G670" s="3" t="s">
        <v>36</v>
      </c>
      <c r="H670" s="3" t="s">
        <v>27</v>
      </c>
      <c r="I670" s="3">
        <v>5</v>
      </c>
      <c r="J670" s="3" t="s">
        <v>12</v>
      </c>
      <c r="K670" s="18">
        <v>100</v>
      </c>
      <c r="L670" s="16">
        <v>200</v>
      </c>
      <c r="M670" s="6" t="str" cm="1">
        <f t="array" ref="M670">_xlfn.IFS(L670&lt;100,"Economy",L670&lt;200,"Standard",L670&lt;350,"Powerful",L670&lt;500,"High Performance",L670&lt;800,"Sports Performance",L670&gt;=800,"Super Performance")</f>
        <v>Powerful</v>
      </c>
    </row>
    <row r="671" spans="1:13" x14ac:dyDescent="0.25">
      <c r="A671" s="5" t="s">
        <v>131</v>
      </c>
      <c r="B671" s="3" t="s">
        <v>844</v>
      </c>
      <c r="C671" s="3" t="s">
        <v>851</v>
      </c>
      <c r="D671" s="4">
        <v>785000</v>
      </c>
      <c r="E671" s="3">
        <v>1498</v>
      </c>
      <c r="F671" s="3">
        <v>4</v>
      </c>
      <c r="G671" s="3" t="s">
        <v>36</v>
      </c>
      <c r="H671" s="3" t="s">
        <v>27</v>
      </c>
      <c r="I671" s="3">
        <v>5</v>
      </c>
      <c r="J671" s="3" t="s">
        <v>12</v>
      </c>
      <c r="K671" s="18">
        <v>100</v>
      </c>
      <c r="L671" s="16">
        <v>200</v>
      </c>
      <c r="M671" s="6" t="str" cm="1">
        <f t="array" ref="M671">_xlfn.IFS(L671&lt;100,"Economy",L671&lt;200,"Standard",L671&lt;350,"Powerful",L671&lt;500,"High Performance",L671&lt;800,"Sports Performance",L671&gt;=800,"Super Performance")</f>
        <v>Powerful</v>
      </c>
    </row>
    <row r="672" spans="1:13" x14ac:dyDescent="0.25">
      <c r="A672" s="5" t="s">
        <v>131</v>
      </c>
      <c r="B672" s="3" t="s">
        <v>844</v>
      </c>
      <c r="C672" s="3" t="s">
        <v>852</v>
      </c>
      <c r="D672" s="4">
        <v>893000</v>
      </c>
      <c r="E672" s="3">
        <v>1498</v>
      </c>
      <c r="F672" s="3">
        <v>4</v>
      </c>
      <c r="G672" s="3" t="s">
        <v>36</v>
      </c>
      <c r="H672" s="3" t="s">
        <v>27</v>
      </c>
      <c r="I672" s="3">
        <v>5</v>
      </c>
      <c r="J672" s="3" t="s">
        <v>12</v>
      </c>
      <c r="K672" s="18">
        <v>100</v>
      </c>
      <c r="L672" s="16">
        <v>200</v>
      </c>
      <c r="M672" s="6" t="str" cm="1">
        <f t="array" ref="M672">_xlfn.IFS(L672&lt;100,"Economy",L672&lt;200,"Standard",L672&lt;350,"Powerful",L672&lt;500,"High Performance",L672&lt;800,"Sports Performance",L672&gt;=800,"Super Performance")</f>
        <v>Powerful</v>
      </c>
    </row>
    <row r="673" spans="1:13" x14ac:dyDescent="0.25">
      <c r="A673" s="5" t="s">
        <v>131</v>
      </c>
      <c r="B673" s="3" t="s">
        <v>844</v>
      </c>
      <c r="C673" s="3" t="s">
        <v>853</v>
      </c>
      <c r="D673" s="4">
        <v>845000</v>
      </c>
      <c r="E673" s="3">
        <v>1498</v>
      </c>
      <c r="F673" s="3">
        <v>4</v>
      </c>
      <c r="G673" s="3" t="s">
        <v>36</v>
      </c>
      <c r="H673" s="3" t="s">
        <v>27</v>
      </c>
      <c r="I673" s="3">
        <v>5</v>
      </c>
      <c r="J673" s="3" t="s">
        <v>12</v>
      </c>
      <c r="K673" s="18">
        <v>100</v>
      </c>
      <c r="L673" s="16">
        <v>200</v>
      </c>
      <c r="M673" s="6" t="str" cm="1">
        <f t="array" ref="M673">_xlfn.IFS(L673&lt;100,"Economy",L673&lt;200,"Standard",L673&lt;350,"Powerful",L673&lt;500,"High Performance",L673&lt;800,"Sports Performance",L673&gt;=800,"Super Performance")</f>
        <v>Powerful</v>
      </c>
    </row>
    <row r="674" spans="1:13" x14ac:dyDescent="0.25">
      <c r="A674" s="5" t="s">
        <v>131</v>
      </c>
      <c r="B674" s="3" t="s">
        <v>844</v>
      </c>
      <c r="C674" s="3" t="s">
        <v>397</v>
      </c>
      <c r="D674" s="4">
        <v>906000</v>
      </c>
      <c r="E674" s="3">
        <v>1498</v>
      </c>
      <c r="F674" s="3">
        <v>4</v>
      </c>
      <c r="G674" s="3" t="s">
        <v>36</v>
      </c>
      <c r="H674" s="3" t="s">
        <v>27</v>
      </c>
      <c r="I674" s="3">
        <v>5</v>
      </c>
      <c r="J674" s="3" t="s">
        <v>12</v>
      </c>
      <c r="K674" s="18">
        <v>100</v>
      </c>
      <c r="L674" s="16">
        <v>200</v>
      </c>
      <c r="M674" s="6" t="str" cm="1">
        <f t="array" ref="M674">_xlfn.IFS(L674&lt;100,"Economy",L674&lt;200,"Standard",L674&lt;350,"Powerful",L674&lt;500,"High Performance",L674&lt;800,"Sports Performance",L674&gt;=800,"Super Performance")</f>
        <v>Powerful</v>
      </c>
    </row>
    <row r="675" spans="1:13" x14ac:dyDescent="0.25">
      <c r="A675" s="5" t="s">
        <v>131</v>
      </c>
      <c r="B675" s="3" t="s">
        <v>844</v>
      </c>
      <c r="C675" s="3" t="s">
        <v>857</v>
      </c>
      <c r="D675" s="4">
        <v>966000</v>
      </c>
      <c r="E675" s="3">
        <v>1498</v>
      </c>
      <c r="F675" s="3">
        <v>4</v>
      </c>
      <c r="G675" s="3" t="s">
        <v>36</v>
      </c>
      <c r="H675" s="3" t="s">
        <v>27</v>
      </c>
      <c r="I675" s="3">
        <v>5</v>
      </c>
      <c r="J675" s="3" t="s">
        <v>30</v>
      </c>
      <c r="K675" s="18">
        <v>100</v>
      </c>
      <c r="L675" s="16">
        <v>200</v>
      </c>
      <c r="M675" s="6" t="str" cm="1">
        <f t="array" ref="M675">_xlfn.IFS(L675&lt;100,"Economy",L675&lt;200,"Standard",L675&lt;350,"Powerful",L675&lt;500,"High Performance",L675&lt;800,"Sports Performance",L675&gt;=800,"Super Performance")</f>
        <v>Powerful</v>
      </c>
    </row>
    <row r="676" spans="1:13" x14ac:dyDescent="0.25">
      <c r="A676" s="5" t="s">
        <v>131</v>
      </c>
      <c r="B676" s="3" t="s">
        <v>844</v>
      </c>
      <c r="C676" s="3" t="s">
        <v>859</v>
      </c>
      <c r="D676" s="4">
        <v>979300</v>
      </c>
      <c r="E676" s="3">
        <v>1498</v>
      </c>
      <c r="F676" s="3">
        <v>4</v>
      </c>
      <c r="G676" s="3" t="s">
        <v>36</v>
      </c>
      <c r="H676" s="3" t="s">
        <v>27</v>
      </c>
      <c r="I676" s="3">
        <v>5</v>
      </c>
      <c r="J676" s="3" t="s">
        <v>30</v>
      </c>
      <c r="K676" s="18">
        <v>100</v>
      </c>
      <c r="L676" s="16">
        <v>200</v>
      </c>
      <c r="M676" s="6" t="str" cm="1">
        <f t="array" ref="M676">_xlfn.IFS(L676&lt;100,"Economy",L676&lt;200,"Standard",L676&lt;350,"Powerful",L676&lt;500,"High Performance",L676&lt;800,"Sports Performance",L676&gt;=800,"Super Performance")</f>
        <v>Powerful</v>
      </c>
    </row>
    <row r="677" spans="1:13" x14ac:dyDescent="0.25">
      <c r="A677" s="5" t="s">
        <v>131</v>
      </c>
      <c r="B677" s="3" t="s">
        <v>844</v>
      </c>
      <c r="C677" s="3" t="s">
        <v>861</v>
      </c>
      <c r="D677" s="4">
        <v>906300</v>
      </c>
      <c r="E677" s="3">
        <v>1498</v>
      </c>
      <c r="F677" s="3">
        <v>4</v>
      </c>
      <c r="G677" s="3" t="s">
        <v>36</v>
      </c>
      <c r="H677" s="3" t="s">
        <v>27</v>
      </c>
      <c r="I677" s="3">
        <v>5</v>
      </c>
      <c r="J677" s="3" t="s">
        <v>12</v>
      </c>
      <c r="K677" s="18">
        <v>100</v>
      </c>
      <c r="L677" s="16">
        <v>200</v>
      </c>
      <c r="M677" s="6" t="str" cm="1">
        <f t="array" ref="M677">_xlfn.IFS(L677&lt;100,"Economy",L677&lt;200,"Standard",L677&lt;350,"Powerful",L677&lt;500,"High Performance",L677&lt;800,"Sports Performance",L677&gt;=800,"Super Performance")</f>
        <v>Powerful</v>
      </c>
    </row>
    <row r="678" spans="1:13" x14ac:dyDescent="0.25">
      <c r="A678" s="5" t="s">
        <v>202</v>
      </c>
      <c r="B678" s="3" t="s">
        <v>885</v>
      </c>
      <c r="C678" s="3" t="s">
        <v>886</v>
      </c>
      <c r="D678" s="4">
        <v>830127</v>
      </c>
      <c r="E678" s="3">
        <v>1197</v>
      </c>
      <c r="F678" s="3">
        <v>0</v>
      </c>
      <c r="G678" s="3" t="s">
        <v>10</v>
      </c>
      <c r="H678" s="3" t="s">
        <v>66</v>
      </c>
      <c r="I678" s="3">
        <v>5</v>
      </c>
      <c r="J678" s="3" t="s">
        <v>12</v>
      </c>
      <c r="K678" s="18">
        <v>109</v>
      </c>
      <c r="L678" s="16">
        <v>200</v>
      </c>
      <c r="M678" s="6" t="str" cm="1">
        <f t="array" ref="M678">_xlfn.IFS(L678&lt;100,"Economy",L678&lt;200,"Standard",L678&lt;350,"Powerful",L678&lt;500,"High Performance",L678&lt;800,"Sports Performance",L678&gt;=800,"Super Performance")</f>
        <v>Powerful</v>
      </c>
    </row>
    <row r="679" spans="1:13" x14ac:dyDescent="0.25">
      <c r="A679" s="5" t="s">
        <v>202</v>
      </c>
      <c r="B679" s="3" t="s">
        <v>885</v>
      </c>
      <c r="C679" s="3" t="s">
        <v>887</v>
      </c>
      <c r="D679" s="4">
        <v>915128</v>
      </c>
      <c r="E679" s="3">
        <v>1197</v>
      </c>
      <c r="F679" s="3">
        <v>0</v>
      </c>
      <c r="G679" s="3" t="s">
        <v>10</v>
      </c>
      <c r="H679" s="3" t="s">
        <v>66</v>
      </c>
      <c r="I679" s="3">
        <v>5</v>
      </c>
      <c r="J679" s="3" t="s">
        <v>12</v>
      </c>
      <c r="K679" s="18">
        <v>109</v>
      </c>
      <c r="L679" s="16">
        <v>200</v>
      </c>
      <c r="M679" s="6" t="str" cm="1">
        <f t="array" ref="M679">_xlfn.IFS(L679&lt;100,"Economy",L679&lt;200,"Standard",L679&lt;350,"Powerful",L679&lt;500,"High Performance",L679&lt;800,"Sports Performance",L679&gt;=800,"Super Performance")</f>
        <v>Powerful</v>
      </c>
    </row>
    <row r="680" spans="1:13" x14ac:dyDescent="0.25">
      <c r="A680" s="5" t="s">
        <v>202</v>
      </c>
      <c r="B680" s="3" t="s">
        <v>885</v>
      </c>
      <c r="C680" s="3" t="s">
        <v>888</v>
      </c>
      <c r="D680" s="4">
        <v>1060129</v>
      </c>
      <c r="E680" s="3">
        <v>1197</v>
      </c>
      <c r="F680" s="3">
        <v>0</v>
      </c>
      <c r="G680" s="3" t="s">
        <v>10</v>
      </c>
      <c r="H680" s="3" t="s">
        <v>66</v>
      </c>
      <c r="I680" s="3">
        <v>5</v>
      </c>
      <c r="J680" s="3" t="s">
        <v>12</v>
      </c>
      <c r="K680" s="18">
        <v>109</v>
      </c>
      <c r="L680" s="16">
        <v>200</v>
      </c>
      <c r="M680" s="6" t="str" cm="1">
        <f t="array" ref="M680">_xlfn.IFS(L680&lt;100,"Economy",L680&lt;200,"Standard",L680&lt;350,"Powerful",L680&lt;500,"High Performance",L680&lt;800,"Sports Performance",L680&gt;=800,"Super Performance")</f>
        <v>Powerful</v>
      </c>
    </row>
    <row r="681" spans="1:13" x14ac:dyDescent="0.25">
      <c r="A681" s="5" t="s">
        <v>202</v>
      </c>
      <c r="B681" s="3" t="s">
        <v>885</v>
      </c>
      <c r="C681" s="3" t="s">
        <v>889</v>
      </c>
      <c r="D681" s="4">
        <v>1184129</v>
      </c>
      <c r="E681" s="3">
        <v>1197</v>
      </c>
      <c r="F681" s="3">
        <v>0</v>
      </c>
      <c r="G681" s="3" t="s">
        <v>10</v>
      </c>
      <c r="H681" s="3" t="s">
        <v>66</v>
      </c>
      <c r="I681" s="3">
        <v>5</v>
      </c>
      <c r="J681" s="3" t="s">
        <v>12</v>
      </c>
      <c r="K681" s="18">
        <v>109</v>
      </c>
      <c r="L681" s="16">
        <v>200</v>
      </c>
      <c r="M681" s="6" t="str" cm="1">
        <f t="array" ref="M681">_xlfn.IFS(L681&lt;100,"Economy",L681&lt;200,"Standard",L681&lt;350,"Powerful",L681&lt;500,"High Performance",L681&lt;800,"Sports Performance",L681&gt;=800,"Super Performance")</f>
        <v>Powerful</v>
      </c>
    </row>
    <row r="682" spans="1:13" x14ac:dyDescent="0.25">
      <c r="A682" s="5" t="s">
        <v>131</v>
      </c>
      <c r="B682" s="3" t="s">
        <v>1065</v>
      </c>
      <c r="C682" s="3" t="s">
        <v>473</v>
      </c>
      <c r="D682" s="4">
        <v>1187900</v>
      </c>
      <c r="E682" s="3">
        <v>1498</v>
      </c>
      <c r="F682" s="3">
        <v>4</v>
      </c>
      <c r="G682" s="3" t="s">
        <v>36</v>
      </c>
      <c r="H682" s="3" t="s">
        <v>66</v>
      </c>
      <c r="I682" s="3">
        <v>7</v>
      </c>
      <c r="J682" s="3" t="s">
        <v>12</v>
      </c>
      <c r="K682" s="18">
        <v>100</v>
      </c>
      <c r="L682" s="16">
        <v>200</v>
      </c>
      <c r="M682" s="6" t="str" cm="1">
        <f t="array" ref="M682">_xlfn.IFS(L682&lt;100,"Economy",L682&lt;200,"Standard",L682&lt;350,"Powerful",L682&lt;500,"High Performance",L682&lt;800,"Sports Performance",L682&gt;=800,"Super Performance")</f>
        <v>Powerful</v>
      </c>
    </row>
    <row r="683" spans="1:13" x14ac:dyDescent="0.25">
      <c r="A683" s="5" t="s">
        <v>131</v>
      </c>
      <c r="B683" s="3" t="s">
        <v>1065</v>
      </c>
      <c r="C683" s="3" t="s">
        <v>398</v>
      </c>
      <c r="D683" s="4">
        <v>1273900</v>
      </c>
      <c r="E683" s="3">
        <v>1498</v>
      </c>
      <c r="F683" s="3">
        <v>4</v>
      </c>
      <c r="G683" s="3" t="s">
        <v>36</v>
      </c>
      <c r="H683" s="3" t="s">
        <v>66</v>
      </c>
      <c r="I683" s="3">
        <v>7</v>
      </c>
      <c r="J683" s="3" t="s">
        <v>12</v>
      </c>
      <c r="K683" s="18">
        <v>100</v>
      </c>
      <c r="L683" s="16">
        <v>200</v>
      </c>
      <c r="M683" s="6" t="str" cm="1">
        <f t="array" ref="M683">_xlfn.IFS(L683&lt;100,"Economy",L683&lt;200,"Standard",L683&lt;350,"Powerful",L683&lt;500,"High Performance",L683&lt;800,"Sports Performance",L683&gt;=800,"Super Performance")</f>
        <v>Powerful</v>
      </c>
    </row>
    <row r="684" spans="1:13" x14ac:dyDescent="0.25">
      <c r="A684" s="5" t="s">
        <v>131</v>
      </c>
      <c r="B684" s="3" t="s">
        <v>1065</v>
      </c>
      <c r="C684" s="3" t="s">
        <v>396</v>
      </c>
      <c r="D684" s="4">
        <v>1382900</v>
      </c>
      <c r="E684" s="3">
        <v>1498</v>
      </c>
      <c r="F684" s="3">
        <v>4</v>
      </c>
      <c r="G684" s="3" t="s">
        <v>36</v>
      </c>
      <c r="H684" s="3" t="s">
        <v>66</v>
      </c>
      <c r="I684" s="3">
        <v>7</v>
      </c>
      <c r="J684" s="3" t="s">
        <v>12</v>
      </c>
      <c r="K684" s="18">
        <v>100</v>
      </c>
      <c r="L684" s="16">
        <v>200</v>
      </c>
      <c r="M684" s="6" t="str" cm="1">
        <f t="array" ref="M684">_xlfn.IFS(L684&lt;100,"Economy",L684&lt;200,"Standard",L684&lt;350,"Powerful",L684&lt;500,"High Performance",L684&lt;800,"Sports Performance",L684&gt;=800,"Super Performance")</f>
        <v>Powerful</v>
      </c>
    </row>
    <row r="685" spans="1:13" x14ac:dyDescent="0.25">
      <c r="A685" s="5" t="s">
        <v>202</v>
      </c>
      <c r="B685" s="3" t="s">
        <v>1069</v>
      </c>
      <c r="C685" s="3" t="s">
        <v>1070</v>
      </c>
      <c r="D685" s="4">
        <v>999994</v>
      </c>
      <c r="E685" s="3">
        <v>2523</v>
      </c>
      <c r="F685" s="3">
        <v>4</v>
      </c>
      <c r="G685" s="3" t="s">
        <v>36</v>
      </c>
      <c r="H685" s="3" t="s">
        <v>66</v>
      </c>
      <c r="I685" s="3">
        <v>9</v>
      </c>
      <c r="J685" s="3" t="s">
        <v>12</v>
      </c>
      <c r="K685" s="18">
        <v>75</v>
      </c>
      <c r="L685" s="16">
        <v>200</v>
      </c>
      <c r="M685" s="6" t="str" cm="1">
        <f t="array" ref="M685">_xlfn.IFS(L685&lt;100,"Economy",L685&lt;200,"Standard",L685&lt;350,"Powerful",L685&lt;500,"High Performance",L685&lt;800,"Sports Performance",L685&gt;=800,"Super Performance")</f>
        <v>Powerful</v>
      </c>
    </row>
    <row r="686" spans="1:13" x14ac:dyDescent="0.25">
      <c r="A686" s="5" t="s">
        <v>90</v>
      </c>
      <c r="B686" s="3" t="s">
        <v>1195</v>
      </c>
      <c r="C686" s="3" t="s">
        <v>1196</v>
      </c>
      <c r="D686" s="4">
        <v>2988311</v>
      </c>
      <c r="E686" s="3">
        <v>1595</v>
      </c>
      <c r="F686" s="3">
        <v>4</v>
      </c>
      <c r="G686" s="3" t="s">
        <v>10</v>
      </c>
      <c r="H686" s="3" t="s">
        <v>226</v>
      </c>
      <c r="I686" s="3">
        <v>5</v>
      </c>
      <c r="J686" s="3" t="s">
        <v>30</v>
      </c>
      <c r="K686" s="18">
        <v>122</v>
      </c>
      <c r="L686" s="16">
        <v>200</v>
      </c>
      <c r="M686" s="6" t="str" cm="1">
        <f t="array" ref="M686">_xlfn.IFS(L686&lt;100,"Economy",L686&lt;200,"Standard",L686&lt;350,"Powerful",L686&lt;500,"High Performance",L686&lt;800,"Sports Performance",L686&gt;=800,"Super Performance")</f>
        <v>Powerful</v>
      </c>
    </row>
    <row r="687" spans="1:13" x14ac:dyDescent="0.25">
      <c r="A687" s="5" t="s">
        <v>90</v>
      </c>
      <c r="B687" s="3" t="s">
        <v>1195</v>
      </c>
      <c r="C687" s="3" t="s">
        <v>1197</v>
      </c>
      <c r="D687" s="4">
        <v>3198662</v>
      </c>
      <c r="E687" s="3">
        <v>1595</v>
      </c>
      <c r="F687" s="3">
        <v>4</v>
      </c>
      <c r="G687" s="3" t="s">
        <v>10</v>
      </c>
      <c r="H687" s="3" t="s">
        <v>226</v>
      </c>
      <c r="I687" s="3">
        <v>5</v>
      </c>
      <c r="J687" s="3" t="s">
        <v>30</v>
      </c>
      <c r="K687" s="18">
        <v>122</v>
      </c>
      <c r="L687" s="16">
        <v>200</v>
      </c>
      <c r="M687" s="6" t="str" cm="1">
        <f t="array" ref="M687">_xlfn.IFS(L687&lt;100,"Economy",L687&lt;200,"Standard",L687&lt;350,"Powerful",L687&lt;500,"High Performance",L687&lt;800,"Sports Performance",L687&gt;=800,"Super Performance")</f>
        <v>Powerful</v>
      </c>
    </row>
    <row r="688" spans="1:13" x14ac:dyDescent="0.25">
      <c r="A688" s="5" t="s">
        <v>93</v>
      </c>
      <c r="B688" s="3" t="s">
        <v>1222</v>
      </c>
      <c r="C688" s="3" t="s">
        <v>715</v>
      </c>
      <c r="D688" s="4">
        <v>762742</v>
      </c>
      <c r="E688" s="3">
        <v>1248</v>
      </c>
      <c r="F688" s="3">
        <v>4</v>
      </c>
      <c r="G688" s="3" t="s">
        <v>36</v>
      </c>
      <c r="H688" s="3" t="s">
        <v>66</v>
      </c>
      <c r="I688" s="3">
        <v>5</v>
      </c>
      <c r="J688" s="3" t="s">
        <v>12</v>
      </c>
      <c r="K688" s="18">
        <v>90</v>
      </c>
      <c r="L688" s="16">
        <v>200</v>
      </c>
      <c r="M688" s="6" t="str" cm="1">
        <f t="array" ref="M688">_xlfn.IFS(L688&lt;100,"Economy",L688&lt;200,"Standard",L688&lt;350,"Powerful",L688&lt;500,"High Performance",L688&lt;800,"Sports Performance",L688&gt;=800,"Super Performance")</f>
        <v>Powerful</v>
      </c>
    </row>
    <row r="689" spans="1:13" x14ac:dyDescent="0.25">
      <c r="A689" s="5" t="s">
        <v>93</v>
      </c>
      <c r="B689" s="3" t="s">
        <v>1222</v>
      </c>
      <c r="C689" s="3" t="s">
        <v>1226</v>
      </c>
      <c r="D689" s="4">
        <v>987743</v>
      </c>
      <c r="E689" s="3">
        <v>1248</v>
      </c>
      <c r="F689" s="3">
        <v>4</v>
      </c>
      <c r="G689" s="3" t="s">
        <v>36</v>
      </c>
      <c r="H689" s="3" t="s">
        <v>66</v>
      </c>
      <c r="I689" s="3">
        <v>5</v>
      </c>
      <c r="J689" s="3" t="s">
        <v>12</v>
      </c>
      <c r="K689" s="18">
        <v>90</v>
      </c>
      <c r="L689" s="16">
        <v>200</v>
      </c>
      <c r="M689" s="6" t="str" cm="1">
        <f t="array" ref="M689">_xlfn.IFS(L689&lt;100,"Economy",L689&lt;200,"Standard",L689&lt;350,"Powerful",L689&lt;500,"High Performance",L689&lt;800,"Sports Performance",L689&gt;=800,"Super Performance")</f>
        <v>Powerful</v>
      </c>
    </row>
    <row r="690" spans="1:13" x14ac:dyDescent="0.25">
      <c r="A690" s="5" t="s">
        <v>93</v>
      </c>
      <c r="B690" s="3" t="s">
        <v>1222</v>
      </c>
      <c r="C690" s="3" t="s">
        <v>716</v>
      </c>
      <c r="D690" s="4">
        <v>814742</v>
      </c>
      <c r="E690" s="3">
        <v>1248</v>
      </c>
      <c r="F690" s="3">
        <v>4</v>
      </c>
      <c r="G690" s="3" t="s">
        <v>36</v>
      </c>
      <c r="H690" s="3" t="s">
        <v>66</v>
      </c>
      <c r="I690" s="3">
        <v>5</v>
      </c>
      <c r="J690" s="3" t="s">
        <v>12</v>
      </c>
      <c r="K690" s="18">
        <v>90</v>
      </c>
      <c r="L690" s="16">
        <v>200</v>
      </c>
      <c r="M690" s="6" t="str" cm="1">
        <f t="array" ref="M690">_xlfn.IFS(L690&lt;100,"Economy",L690&lt;200,"Standard",L690&lt;350,"Powerful",L690&lt;500,"High Performance",L690&lt;800,"Sports Performance",L690&gt;=800,"Super Performance")</f>
        <v>Powerful</v>
      </c>
    </row>
    <row r="691" spans="1:13" x14ac:dyDescent="0.25">
      <c r="A691" s="5" t="s">
        <v>93</v>
      </c>
      <c r="B691" s="3" t="s">
        <v>1222</v>
      </c>
      <c r="C691" s="3" t="s">
        <v>1227</v>
      </c>
      <c r="D691" s="4">
        <v>1003552</v>
      </c>
      <c r="E691" s="3">
        <v>1248</v>
      </c>
      <c r="F691" s="3">
        <v>4</v>
      </c>
      <c r="G691" s="3" t="s">
        <v>36</v>
      </c>
      <c r="H691" s="3" t="s">
        <v>66</v>
      </c>
      <c r="I691" s="3">
        <v>5</v>
      </c>
      <c r="J691" s="3" t="s">
        <v>12</v>
      </c>
      <c r="K691" s="18">
        <v>90</v>
      </c>
      <c r="L691" s="16">
        <v>200</v>
      </c>
      <c r="M691" s="6" t="str" cm="1">
        <f t="array" ref="M691">_xlfn.IFS(L691&lt;100,"Economy",L691&lt;200,"Standard",L691&lt;350,"Powerful",L691&lt;500,"High Performance",L691&lt;800,"Sports Performance",L691&gt;=800,"Super Performance")</f>
        <v>Powerful</v>
      </c>
    </row>
    <row r="692" spans="1:13" x14ac:dyDescent="0.25">
      <c r="A692" s="5" t="s">
        <v>93</v>
      </c>
      <c r="B692" s="3" t="s">
        <v>1222</v>
      </c>
      <c r="C692" s="3" t="s">
        <v>718</v>
      </c>
      <c r="D692" s="4">
        <v>892243</v>
      </c>
      <c r="E692" s="3">
        <v>1248</v>
      </c>
      <c r="F692" s="3">
        <v>4</v>
      </c>
      <c r="G692" s="3" t="s">
        <v>36</v>
      </c>
      <c r="H692" s="3" t="s">
        <v>66</v>
      </c>
      <c r="I692" s="3">
        <v>5</v>
      </c>
      <c r="J692" s="3" t="s">
        <v>12</v>
      </c>
      <c r="K692" s="18">
        <v>90</v>
      </c>
      <c r="L692" s="16">
        <v>200</v>
      </c>
      <c r="M692" s="6" t="str" cm="1">
        <f t="array" ref="M692">_xlfn.IFS(L692&lt;100,"Economy",L692&lt;200,"Standard",L692&lt;350,"Powerful",L692&lt;500,"High Performance",L692&lt;800,"Sports Performance",L692&gt;=800,"Super Performance")</f>
        <v>Powerful</v>
      </c>
    </row>
    <row r="693" spans="1:13" x14ac:dyDescent="0.25">
      <c r="A693" s="5" t="s">
        <v>93</v>
      </c>
      <c r="B693" s="3" t="s">
        <v>1222</v>
      </c>
      <c r="C693" s="3" t="s">
        <v>1228</v>
      </c>
      <c r="D693" s="4">
        <v>942243</v>
      </c>
      <c r="E693" s="3">
        <v>1248</v>
      </c>
      <c r="F693" s="3">
        <v>4</v>
      </c>
      <c r="G693" s="3" t="s">
        <v>36</v>
      </c>
      <c r="H693" s="3" t="s">
        <v>66</v>
      </c>
      <c r="I693" s="3">
        <v>5</v>
      </c>
      <c r="J693" s="3" t="s">
        <v>30</v>
      </c>
      <c r="K693" s="18">
        <v>90</v>
      </c>
      <c r="L693" s="16">
        <v>200</v>
      </c>
      <c r="M693" s="6" t="str" cm="1">
        <f t="array" ref="M693">_xlfn.IFS(L693&lt;100,"Economy",L693&lt;200,"Standard",L693&lt;350,"Powerful",L693&lt;500,"High Performance",L693&lt;800,"Sports Performance",L693&gt;=800,"Super Performance")</f>
        <v>Powerful</v>
      </c>
    </row>
    <row r="694" spans="1:13" x14ac:dyDescent="0.25">
      <c r="A694" s="5" t="s">
        <v>93</v>
      </c>
      <c r="B694" s="3" t="s">
        <v>1222</v>
      </c>
      <c r="C694" s="3" t="s">
        <v>1229</v>
      </c>
      <c r="D694" s="4">
        <v>864742</v>
      </c>
      <c r="E694" s="3">
        <v>1248</v>
      </c>
      <c r="F694" s="3">
        <v>4</v>
      </c>
      <c r="G694" s="3" t="s">
        <v>36</v>
      </c>
      <c r="H694" s="3" t="s">
        <v>66</v>
      </c>
      <c r="I694" s="3">
        <v>5</v>
      </c>
      <c r="J694" s="3" t="s">
        <v>30</v>
      </c>
      <c r="K694" s="18">
        <v>90</v>
      </c>
      <c r="L694" s="16">
        <v>200</v>
      </c>
      <c r="M694" s="6" t="str" cm="1">
        <f t="array" ref="M694">_xlfn.IFS(L694&lt;100,"Economy",L694&lt;200,"Standard",L694&lt;350,"Powerful",L694&lt;500,"High Performance",L694&lt;800,"Sports Performance",L694&gt;=800,"Super Performance")</f>
        <v>Powerful</v>
      </c>
    </row>
    <row r="695" spans="1:13" x14ac:dyDescent="0.25">
      <c r="A695" s="5" t="s">
        <v>93</v>
      </c>
      <c r="B695" s="3" t="s">
        <v>1222</v>
      </c>
      <c r="C695" s="3" t="s">
        <v>1230</v>
      </c>
      <c r="D695" s="4">
        <v>1037742</v>
      </c>
      <c r="E695" s="3">
        <v>1248</v>
      </c>
      <c r="F695" s="3">
        <v>4</v>
      </c>
      <c r="G695" s="3" t="s">
        <v>36</v>
      </c>
      <c r="H695" s="3" t="s">
        <v>66</v>
      </c>
      <c r="I695" s="3">
        <v>5</v>
      </c>
      <c r="J695" s="3" t="s">
        <v>12</v>
      </c>
      <c r="K695" s="18">
        <v>90</v>
      </c>
      <c r="L695" s="16">
        <v>200</v>
      </c>
      <c r="M695" s="6" t="str" cm="1">
        <f t="array" ref="M695">_xlfn.IFS(L695&lt;100,"Economy",L695&lt;200,"Standard",L695&lt;350,"Powerful",L695&lt;500,"High Performance",L695&lt;800,"Sports Performance",L695&gt;=800,"Super Performance")</f>
        <v>Powerful</v>
      </c>
    </row>
    <row r="696" spans="1:13" x14ac:dyDescent="0.25">
      <c r="A696" s="5" t="s">
        <v>93</v>
      </c>
      <c r="B696" s="3" t="s">
        <v>1222</v>
      </c>
      <c r="C696" s="3" t="s">
        <v>1231</v>
      </c>
      <c r="D696" s="4">
        <v>1059742</v>
      </c>
      <c r="E696" s="3">
        <v>1248</v>
      </c>
      <c r="F696" s="3">
        <v>4</v>
      </c>
      <c r="G696" s="3" t="s">
        <v>36</v>
      </c>
      <c r="H696" s="3" t="s">
        <v>66</v>
      </c>
      <c r="I696" s="3">
        <v>5</v>
      </c>
      <c r="J696" s="3" t="s">
        <v>30</v>
      </c>
      <c r="K696" s="18">
        <v>90</v>
      </c>
      <c r="L696" s="16">
        <v>200</v>
      </c>
      <c r="M696" s="6" t="str" cm="1">
        <f t="array" ref="M696">_xlfn.IFS(L696&lt;100,"Economy",L696&lt;200,"Standard",L696&lt;350,"Powerful",L696&lt;500,"High Performance",L696&lt;800,"Sports Performance",L696&gt;=800,"Super Performance")</f>
        <v>Powerful</v>
      </c>
    </row>
    <row r="697" spans="1:13" x14ac:dyDescent="0.25">
      <c r="A697" s="5" t="s">
        <v>350</v>
      </c>
      <c r="B697" s="3" t="s">
        <v>1233</v>
      </c>
      <c r="C697" s="3" t="s">
        <v>1237</v>
      </c>
      <c r="D697" s="4">
        <v>929990</v>
      </c>
      <c r="E697" s="3">
        <v>1461</v>
      </c>
      <c r="F697" s="3">
        <v>4</v>
      </c>
      <c r="G697" s="3" t="s">
        <v>36</v>
      </c>
      <c r="H697" s="3" t="s">
        <v>66</v>
      </c>
      <c r="I697" s="3">
        <v>5</v>
      </c>
      <c r="J697" s="3" t="s">
        <v>12</v>
      </c>
      <c r="K697" s="18">
        <v>85</v>
      </c>
      <c r="L697" s="16">
        <v>200</v>
      </c>
      <c r="M697" s="6" t="str" cm="1">
        <f t="array" ref="M697">_xlfn.IFS(L697&lt;100,"Economy",L697&lt;200,"Standard",L697&lt;350,"Powerful",L697&lt;500,"High Performance",L697&lt;800,"Sports Performance",L697&gt;=800,"Super Performance")</f>
        <v>Powerful</v>
      </c>
    </row>
    <row r="698" spans="1:13" x14ac:dyDescent="0.25">
      <c r="A698" s="5" t="s">
        <v>350</v>
      </c>
      <c r="B698" s="3" t="s">
        <v>1233</v>
      </c>
      <c r="C698" s="3" t="s">
        <v>1238</v>
      </c>
      <c r="D698" s="4">
        <v>999990</v>
      </c>
      <c r="E698" s="3">
        <v>1461</v>
      </c>
      <c r="F698" s="3">
        <v>4</v>
      </c>
      <c r="G698" s="3" t="s">
        <v>36</v>
      </c>
      <c r="H698" s="3" t="s">
        <v>66</v>
      </c>
      <c r="I698" s="3">
        <v>5</v>
      </c>
      <c r="J698" s="3" t="s">
        <v>12</v>
      </c>
      <c r="K698" s="18">
        <v>85</v>
      </c>
      <c r="L698" s="16">
        <v>200</v>
      </c>
      <c r="M698" s="6" t="str" cm="1">
        <f t="array" ref="M698">_xlfn.IFS(L698&lt;100,"Economy",L698&lt;200,"Standard",L698&lt;350,"Powerful",L698&lt;500,"High Performance",L698&lt;800,"Sports Performance",L698&gt;=800,"Super Performance")</f>
        <v>Powerful</v>
      </c>
    </row>
    <row r="699" spans="1:13" x14ac:dyDescent="0.25">
      <c r="A699" s="5" t="s">
        <v>330</v>
      </c>
      <c r="B699" s="3" t="s">
        <v>1272</v>
      </c>
      <c r="C699" s="3" t="s">
        <v>1275</v>
      </c>
      <c r="D699" s="4">
        <v>999900</v>
      </c>
      <c r="E699" s="3">
        <v>1461</v>
      </c>
      <c r="F699" s="3">
        <v>4</v>
      </c>
      <c r="G699" s="3" t="s">
        <v>36</v>
      </c>
      <c r="H699" s="3" t="s">
        <v>66</v>
      </c>
      <c r="I699" s="3">
        <v>5</v>
      </c>
      <c r="J699" s="3" t="s">
        <v>12</v>
      </c>
      <c r="K699" s="18">
        <v>85</v>
      </c>
      <c r="L699" s="16">
        <v>200</v>
      </c>
      <c r="M699" s="6" t="str" cm="1">
        <f t="array" ref="M699">_xlfn.IFS(L699&lt;100,"Economy",L699&lt;200,"Standard",L699&lt;350,"Powerful",L699&lt;500,"High Performance",L699&lt;800,"Sports Performance",L699&gt;=800,"Super Performance")</f>
        <v>Powerful</v>
      </c>
    </row>
    <row r="700" spans="1:13" x14ac:dyDescent="0.25">
      <c r="A700" s="5" t="s">
        <v>330</v>
      </c>
      <c r="B700" s="3" t="s">
        <v>1272</v>
      </c>
      <c r="C700" s="3" t="s">
        <v>1277</v>
      </c>
      <c r="D700" s="4">
        <v>1235700</v>
      </c>
      <c r="E700" s="3">
        <v>1461</v>
      </c>
      <c r="F700" s="3">
        <v>4</v>
      </c>
      <c r="G700" s="3" t="s">
        <v>36</v>
      </c>
      <c r="H700" s="3" t="s">
        <v>66</v>
      </c>
      <c r="I700" s="3">
        <v>5</v>
      </c>
      <c r="J700" s="3" t="s">
        <v>12</v>
      </c>
      <c r="K700" s="18">
        <v>85</v>
      </c>
      <c r="L700" s="16">
        <v>200</v>
      </c>
      <c r="M700" s="6" t="str" cm="1">
        <f t="array" ref="M700">_xlfn.IFS(L700&lt;100,"Economy",L700&lt;200,"Standard",L700&lt;350,"Powerful",L700&lt;500,"High Performance",L700&lt;800,"Sports Performance",L700&gt;=800,"Super Performance")</f>
        <v>Powerful</v>
      </c>
    </row>
    <row r="701" spans="1:13" x14ac:dyDescent="0.25">
      <c r="A701" s="5" t="s">
        <v>330</v>
      </c>
      <c r="B701" s="3" t="s">
        <v>1272</v>
      </c>
      <c r="C701" s="3" t="s">
        <v>1278</v>
      </c>
      <c r="D701" s="4">
        <v>1235700</v>
      </c>
      <c r="E701" s="3">
        <v>1461</v>
      </c>
      <c r="F701" s="3">
        <v>4</v>
      </c>
      <c r="G701" s="3" t="s">
        <v>36</v>
      </c>
      <c r="H701" s="3" t="s">
        <v>66</v>
      </c>
      <c r="I701" s="3">
        <v>5</v>
      </c>
      <c r="J701" s="3" t="s">
        <v>12</v>
      </c>
      <c r="K701" s="18">
        <v>85</v>
      </c>
      <c r="L701" s="16">
        <v>200</v>
      </c>
      <c r="M701" s="6" t="str" cm="1">
        <f t="array" ref="M701">_xlfn.IFS(L701&lt;100,"Economy",L701&lt;200,"Standard",L701&lt;350,"Powerful",L701&lt;500,"High Performance",L701&lt;800,"Sports Performance",L701&gt;=800,"Super Performance")</f>
        <v>Powerful</v>
      </c>
    </row>
    <row r="702" spans="1:13" x14ac:dyDescent="0.25">
      <c r="A702" s="5" t="s">
        <v>90</v>
      </c>
      <c r="B702" s="3" t="s">
        <v>1292</v>
      </c>
      <c r="C702" s="3">
        <v>180</v>
      </c>
      <c r="D702" s="4">
        <v>2785288</v>
      </c>
      <c r="E702" s="3">
        <v>1595</v>
      </c>
      <c r="F702" s="3">
        <v>4</v>
      </c>
      <c r="G702" s="3" t="s">
        <v>10</v>
      </c>
      <c r="H702" s="3" t="s">
        <v>11</v>
      </c>
      <c r="I702" s="3">
        <v>5</v>
      </c>
      <c r="J702" s="3" t="s">
        <v>30</v>
      </c>
      <c r="K702" s="18">
        <v>122</v>
      </c>
      <c r="L702" s="16">
        <v>200</v>
      </c>
      <c r="M702" s="6" t="str" cm="1">
        <f t="array" ref="M702">_xlfn.IFS(L702&lt;100,"Economy",L702&lt;200,"Standard",L702&lt;350,"Powerful",L702&lt;500,"High Performance",L702&lt;800,"Sports Performance",L702&gt;=800,"Super Performance")</f>
        <v>Powerful</v>
      </c>
    </row>
    <row r="703" spans="1:13" x14ac:dyDescent="0.25">
      <c r="A703" s="5" t="s">
        <v>22</v>
      </c>
      <c r="B703" s="3" t="s">
        <v>631</v>
      </c>
      <c r="C703" s="3" t="s">
        <v>456</v>
      </c>
      <c r="D703" s="4">
        <v>775000</v>
      </c>
      <c r="E703" s="3">
        <v>1497</v>
      </c>
      <c r="F703" s="3">
        <v>4</v>
      </c>
      <c r="G703" s="3" t="s">
        <v>36</v>
      </c>
      <c r="H703" s="3" t="s">
        <v>11</v>
      </c>
      <c r="I703" s="3">
        <v>5</v>
      </c>
      <c r="J703" s="3" t="s">
        <v>12</v>
      </c>
      <c r="K703" s="18">
        <v>90</v>
      </c>
      <c r="L703" s="16">
        <v>200</v>
      </c>
      <c r="M703" s="6" t="str" cm="1">
        <f t="array" ref="M703">_xlfn.IFS(L703&lt;100,"Economy",L703&lt;200,"Standard",L703&lt;350,"Powerful",L703&lt;500,"High Performance",L703&lt;800,"Sports Performance",L703&gt;=800,"Super Performance")</f>
        <v>Powerful</v>
      </c>
    </row>
    <row r="704" spans="1:13" x14ac:dyDescent="0.25">
      <c r="A704" s="5" t="s">
        <v>22</v>
      </c>
      <c r="B704" s="3" t="s">
        <v>631</v>
      </c>
      <c r="C704" s="3" t="s">
        <v>723</v>
      </c>
      <c r="D704" s="4">
        <v>904000</v>
      </c>
      <c r="E704" s="3">
        <v>1497</v>
      </c>
      <c r="F704" s="3">
        <v>4</v>
      </c>
      <c r="G704" s="3" t="s">
        <v>36</v>
      </c>
      <c r="H704" s="3" t="s">
        <v>11</v>
      </c>
      <c r="I704" s="3">
        <v>5</v>
      </c>
      <c r="J704" s="3" t="s">
        <v>12</v>
      </c>
      <c r="K704" s="18">
        <v>90</v>
      </c>
      <c r="L704" s="16">
        <v>200</v>
      </c>
      <c r="M704" s="6" t="str" cm="1">
        <f t="array" ref="M704">_xlfn.IFS(L704&lt;100,"Economy",L704&lt;200,"Standard",L704&lt;350,"Powerful",L704&lt;500,"High Performance",L704&lt;800,"Sports Performance",L704&gt;=800,"Super Performance")</f>
        <v>Powerful</v>
      </c>
    </row>
    <row r="705" spans="1:13" x14ac:dyDescent="0.25">
      <c r="A705" s="5" t="s">
        <v>22</v>
      </c>
      <c r="B705" s="3" t="s">
        <v>631</v>
      </c>
      <c r="C705" s="3" t="s">
        <v>455</v>
      </c>
      <c r="D705" s="4">
        <v>844000</v>
      </c>
      <c r="E705" s="3">
        <v>1497</v>
      </c>
      <c r="F705" s="3">
        <v>4</v>
      </c>
      <c r="G705" s="3" t="s">
        <v>36</v>
      </c>
      <c r="H705" s="3" t="s">
        <v>11</v>
      </c>
      <c r="I705" s="3">
        <v>5</v>
      </c>
      <c r="J705" s="3" t="s">
        <v>12</v>
      </c>
      <c r="K705" s="18">
        <v>90</v>
      </c>
      <c r="L705" s="16">
        <v>200</v>
      </c>
      <c r="M705" s="6" t="str" cm="1">
        <f t="array" ref="M705">_xlfn.IFS(L705&lt;100,"Economy",L705&lt;200,"Standard",L705&lt;350,"Powerful",L705&lt;500,"High Performance",L705&lt;800,"Sports Performance",L705&gt;=800,"Super Performance")</f>
        <v>Powerful</v>
      </c>
    </row>
    <row r="706" spans="1:13" x14ac:dyDescent="0.25">
      <c r="A706" s="5" t="s">
        <v>22</v>
      </c>
      <c r="B706" s="3" t="s">
        <v>631</v>
      </c>
      <c r="C706" s="3" t="s">
        <v>1357</v>
      </c>
      <c r="D706" s="4">
        <v>929000</v>
      </c>
      <c r="E706" s="3">
        <v>1497</v>
      </c>
      <c r="F706" s="3">
        <v>4</v>
      </c>
      <c r="G706" s="3" t="s">
        <v>36</v>
      </c>
      <c r="H706" s="3" t="s">
        <v>11</v>
      </c>
      <c r="I706" s="3">
        <v>5</v>
      </c>
      <c r="J706" s="3" t="s">
        <v>12</v>
      </c>
      <c r="K706" s="18">
        <v>90</v>
      </c>
      <c r="L706" s="16">
        <v>200</v>
      </c>
      <c r="M706" s="6" t="str" cm="1">
        <f t="array" ref="M706">_xlfn.IFS(L706&lt;100,"Economy",L706&lt;200,"Standard",L706&lt;350,"Powerful",L706&lt;500,"High Performance",L706&lt;800,"Sports Performance",L706&gt;=800,"Super Performance")</f>
        <v>Powerful</v>
      </c>
    </row>
    <row r="707" spans="1:13" x14ac:dyDescent="0.25">
      <c r="A707" s="5" t="s">
        <v>22</v>
      </c>
      <c r="B707" s="3" t="s">
        <v>843</v>
      </c>
      <c r="C707" s="3" t="s">
        <v>455</v>
      </c>
      <c r="D707" s="4">
        <v>855362</v>
      </c>
      <c r="E707" s="3">
        <v>1248</v>
      </c>
      <c r="F707" s="3">
        <v>4</v>
      </c>
      <c r="G707" s="3" t="s">
        <v>36</v>
      </c>
      <c r="H707" s="3" t="s">
        <v>27</v>
      </c>
      <c r="I707" s="3">
        <v>5</v>
      </c>
      <c r="J707" s="3" t="s">
        <v>12</v>
      </c>
      <c r="K707" s="18">
        <v>90</v>
      </c>
      <c r="L707" s="16">
        <v>200</v>
      </c>
      <c r="M707" s="6" t="str" cm="1">
        <f t="array" ref="M707">_xlfn.IFS(L707&lt;100,"Economy",L707&lt;200,"Standard",L707&lt;350,"Powerful",L707&lt;500,"High Performance",L707&lt;800,"Sports Performance",L707&gt;=800,"Super Performance")</f>
        <v>Powerful</v>
      </c>
    </row>
    <row r="708" spans="1:13" x14ac:dyDescent="0.25">
      <c r="A708" s="5" t="s">
        <v>22</v>
      </c>
      <c r="B708" s="3" t="s">
        <v>843</v>
      </c>
      <c r="C708" s="3" t="s">
        <v>1359</v>
      </c>
      <c r="D708" s="4">
        <v>989000</v>
      </c>
      <c r="E708" s="3">
        <v>1248</v>
      </c>
      <c r="F708" s="3">
        <v>4</v>
      </c>
      <c r="G708" s="3" t="s">
        <v>36</v>
      </c>
      <c r="H708" s="3" t="s">
        <v>27</v>
      </c>
      <c r="I708" s="3">
        <v>5</v>
      </c>
      <c r="J708" s="3" t="s">
        <v>30</v>
      </c>
      <c r="K708" s="18">
        <v>90</v>
      </c>
      <c r="L708" s="16">
        <v>200</v>
      </c>
      <c r="M708" s="6" t="str" cm="1">
        <f t="array" ref="M708">_xlfn.IFS(L708&lt;100,"Economy",L708&lt;200,"Standard",L708&lt;350,"Powerful",L708&lt;500,"High Performance",L708&lt;800,"Sports Performance",L708&gt;=800,"Super Performance")</f>
        <v>Powerful</v>
      </c>
    </row>
    <row r="709" spans="1:13" x14ac:dyDescent="0.25">
      <c r="A709" s="5" t="s">
        <v>131</v>
      </c>
      <c r="B709" s="3" t="s">
        <v>1373</v>
      </c>
      <c r="C709" s="3" t="s">
        <v>853</v>
      </c>
      <c r="D709" s="4">
        <v>1191000</v>
      </c>
      <c r="E709" s="3">
        <v>1498</v>
      </c>
      <c r="F709" s="3">
        <v>4</v>
      </c>
      <c r="G709" s="3" t="s">
        <v>36</v>
      </c>
      <c r="H709" s="3" t="s">
        <v>27</v>
      </c>
      <c r="I709" s="3">
        <v>5</v>
      </c>
      <c r="J709" s="3" t="s">
        <v>12</v>
      </c>
      <c r="K709" s="18">
        <v>100</v>
      </c>
      <c r="L709" s="16">
        <v>200</v>
      </c>
      <c r="M709" s="6" t="str" cm="1">
        <f t="array" ref="M709">_xlfn.IFS(L709&lt;100,"Economy",L709&lt;200,"Standard",L709&lt;350,"Powerful",L709&lt;500,"High Performance",L709&lt;800,"Sports Performance",L709&gt;=800,"Super Performance")</f>
        <v>Powerful</v>
      </c>
    </row>
    <row r="710" spans="1:13" x14ac:dyDescent="0.25">
      <c r="A710" s="5" t="s">
        <v>131</v>
      </c>
      <c r="B710" s="3" t="s">
        <v>1373</v>
      </c>
      <c r="C710" s="3" t="s">
        <v>1378</v>
      </c>
      <c r="D710" s="4">
        <v>1111000</v>
      </c>
      <c r="E710" s="3">
        <v>1498</v>
      </c>
      <c r="F710" s="3">
        <v>4</v>
      </c>
      <c r="G710" s="3" t="s">
        <v>36</v>
      </c>
      <c r="H710" s="3" t="s">
        <v>27</v>
      </c>
      <c r="I710" s="3">
        <v>5</v>
      </c>
      <c r="J710" s="3" t="s">
        <v>12</v>
      </c>
      <c r="K710" s="18">
        <v>100</v>
      </c>
      <c r="L710" s="16">
        <v>200</v>
      </c>
      <c r="M710" s="6" t="str" cm="1">
        <f t="array" ref="M710">_xlfn.IFS(L710&lt;100,"Economy",L710&lt;200,"Standard",L710&lt;350,"Powerful",L710&lt;500,"High Performance",L710&lt;800,"Sports Performance",L710&gt;=800,"Super Performance")</f>
        <v>Powerful</v>
      </c>
    </row>
    <row r="711" spans="1:13" x14ac:dyDescent="0.25">
      <c r="A711" s="5" t="s">
        <v>131</v>
      </c>
      <c r="B711" s="3" t="s">
        <v>1373</v>
      </c>
      <c r="C711" s="3" t="s">
        <v>852</v>
      </c>
      <c r="D711" s="4">
        <v>1302000</v>
      </c>
      <c r="E711" s="3">
        <v>1498</v>
      </c>
      <c r="F711" s="3">
        <v>4</v>
      </c>
      <c r="G711" s="3" t="s">
        <v>36</v>
      </c>
      <c r="H711" s="3" t="s">
        <v>27</v>
      </c>
      <c r="I711" s="3">
        <v>5</v>
      </c>
      <c r="J711" s="3" t="s">
        <v>12</v>
      </c>
      <c r="K711" s="18">
        <v>100</v>
      </c>
      <c r="L711" s="16">
        <v>200</v>
      </c>
      <c r="M711" s="6" t="str" cm="1">
        <f t="array" ref="M711">_xlfn.IFS(L711&lt;100,"Economy",L711&lt;200,"Standard",L711&lt;350,"Powerful",L711&lt;500,"High Performance",L711&lt;800,"Sports Performance",L711&gt;=800,"Super Performance")</f>
        <v>Powerful</v>
      </c>
    </row>
    <row r="712" spans="1:13" x14ac:dyDescent="0.25">
      <c r="A712" s="5" t="s">
        <v>131</v>
      </c>
      <c r="B712" s="3" t="s">
        <v>1373</v>
      </c>
      <c r="C712" s="3" t="s">
        <v>1379</v>
      </c>
      <c r="D712" s="4">
        <v>1421000</v>
      </c>
      <c r="E712" s="3">
        <v>1498</v>
      </c>
      <c r="F712" s="3">
        <v>4</v>
      </c>
      <c r="G712" s="3" t="s">
        <v>36</v>
      </c>
      <c r="H712" s="3" t="s">
        <v>27</v>
      </c>
      <c r="I712" s="3">
        <v>5</v>
      </c>
      <c r="J712" s="3" t="s">
        <v>12</v>
      </c>
      <c r="K712" s="18">
        <v>100</v>
      </c>
      <c r="L712" s="16">
        <v>200</v>
      </c>
      <c r="M712" s="6" t="str" cm="1">
        <f t="array" ref="M712">_xlfn.IFS(L712&lt;100,"Economy",L712&lt;200,"Standard",L712&lt;350,"Powerful",L712&lt;500,"High Performance",L712&lt;800,"Sports Performance",L712&gt;=800,"Super Performance")</f>
        <v>Powerful</v>
      </c>
    </row>
    <row r="713" spans="1:13" x14ac:dyDescent="0.25">
      <c r="A713" s="5" t="s">
        <v>301</v>
      </c>
      <c r="B713" s="3" t="s">
        <v>538</v>
      </c>
      <c r="C713" s="3" t="s">
        <v>540</v>
      </c>
      <c r="D713" s="4">
        <v>631292</v>
      </c>
      <c r="E713" s="3">
        <v>1172</v>
      </c>
      <c r="F713" s="3">
        <v>4</v>
      </c>
      <c r="G713" s="3" t="s">
        <v>36</v>
      </c>
      <c r="H713" s="3" t="s">
        <v>11</v>
      </c>
      <c r="I713" s="3">
        <v>5</v>
      </c>
      <c r="J713" s="3" t="s">
        <v>12</v>
      </c>
      <c r="K713" s="18">
        <v>76</v>
      </c>
      <c r="L713" s="16">
        <v>197</v>
      </c>
      <c r="M713" s="6" t="str" cm="1">
        <f t="array" ref="M713">_xlfn.IFS(L713&lt;100,"Economy",L713&lt;200,"Standard",L713&lt;350,"Powerful",L713&lt;500,"High Performance",L713&lt;800,"Sports Performance",L713&gt;=800,"Super Performance")</f>
        <v>Standard</v>
      </c>
    </row>
    <row r="714" spans="1:13" x14ac:dyDescent="0.25">
      <c r="A714" s="5" t="s">
        <v>301</v>
      </c>
      <c r="B714" s="3" t="s">
        <v>538</v>
      </c>
      <c r="C714" s="3" t="s">
        <v>541</v>
      </c>
      <c r="D714" s="4">
        <v>692655</v>
      </c>
      <c r="E714" s="3">
        <v>1248</v>
      </c>
      <c r="F714" s="3">
        <v>4</v>
      </c>
      <c r="G714" s="3" t="s">
        <v>36</v>
      </c>
      <c r="H714" s="3" t="s">
        <v>11</v>
      </c>
      <c r="I714" s="3">
        <v>5</v>
      </c>
      <c r="J714" s="3" t="s">
        <v>12</v>
      </c>
      <c r="K714" s="18">
        <v>76</v>
      </c>
      <c r="L714" s="16">
        <v>197</v>
      </c>
      <c r="M714" s="6" t="str" cm="1">
        <f t="array" ref="M714">_xlfn.IFS(L714&lt;100,"Economy",L714&lt;200,"Standard",L714&lt;350,"Powerful",L714&lt;500,"High Performance",L714&lt;800,"Sports Performance",L714&gt;=800,"Super Performance")</f>
        <v>Standard</v>
      </c>
    </row>
    <row r="715" spans="1:13" x14ac:dyDescent="0.25">
      <c r="A715" s="5" t="s">
        <v>301</v>
      </c>
      <c r="B715" s="3" t="s">
        <v>538</v>
      </c>
      <c r="C715" s="3" t="s">
        <v>542</v>
      </c>
      <c r="D715" s="4">
        <v>747774</v>
      </c>
      <c r="E715" s="3">
        <v>1248</v>
      </c>
      <c r="F715" s="3">
        <v>4</v>
      </c>
      <c r="G715" s="3" t="s">
        <v>36</v>
      </c>
      <c r="H715" s="3" t="s">
        <v>11</v>
      </c>
      <c r="I715" s="3">
        <v>5</v>
      </c>
      <c r="J715" s="3" t="s">
        <v>12</v>
      </c>
      <c r="K715" s="18">
        <v>76</v>
      </c>
      <c r="L715" s="16">
        <v>197</v>
      </c>
      <c r="M715" s="6" t="str" cm="1">
        <f t="array" ref="M715">_xlfn.IFS(L715&lt;100,"Economy",L715&lt;200,"Standard",L715&lt;350,"Powerful",L715&lt;500,"High Performance",L715&lt;800,"Sports Performance",L715&gt;=800,"Super Performance")</f>
        <v>Standard</v>
      </c>
    </row>
    <row r="716" spans="1:13" x14ac:dyDescent="0.25">
      <c r="A716" s="5" t="s">
        <v>301</v>
      </c>
      <c r="B716" s="3" t="s">
        <v>762</v>
      </c>
      <c r="C716" s="3">
        <v>1.3</v>
      </c>
      <c r="D716" s="4">
        <v>575947</v>
      </c>
      <c r="E716" s="3">
        <v>1248</v>
      </c>
      <c r="F716" s="3">
        <v>4</v>
      </c>
      <c r="G716" s="3" t="s">
        <v>36</v>
      </c>
      <c r="H716" s="3" t="s">
        <v>11</v>
      </c>
      <c r="I716" s="3">
        <v>5</v>
      </c>
      <c r="J716" s="3" t="s">
        <v>12</v>
      </c>
      <c r="K716" s="18">
        <v>75</v>
      </c>
      <c r="L716" s="16">
        <v>197</v>
      </c>
      <c r="M716" s="6" t="str" cm="1">
        <f t="array" ref="M716">_xlfn.IFS(L716&lt;100,"Economy",L716&lt;200,"Standard",L716&lt;350,"Powerful",L716&lt;500,"High Performance",L716&lt;800,"Sports Performance",L716&gt;=800,"Super Performance")</f>
        <v>Standard</v>
      </c>
    </row>
    <row r="717" spans="1:13" x14ac:dyDescent="0.25">
      <c r="A717" s="5" t="s">
        <v>301</v>
      </c>
      <c r="B717" s="3" t="s">
        <v>1269</v>
      </c>
      <c r="C717" s="3" t="s">
        <v>1271</v>
      </c>
      <c r="D717" s="4">
        <v>751203</v>
      </c>
      <c r="E717" s="3">
        <v>1248</v>
      </c>
      <c r="F717" s="3">
        <v>4</v>
      </c>
      <c r="G717" s="3" t="s">
        <v>36</v>
      </c>
      <c r="H717" s="3" t="s">
        <v>27</v>
      </c>
      <c r="I717" s="3">
        <v>5</v>
      </c>
      <c r="J717" s="3" t="s">
        <v>12</v>
      </c>
      <c r="K717" s="18">
        <v>76</v>
      </c>
      <c r="L717" s="16">
        <v>197</v>
      </c>
      <c r="M717" s="6" t="str" cm="1">
        <f t="array" ref="M717">_xlfn.IFS(L717&lt;100,"Economy",L717&lt;200,"Standard",L717&lt;350,"Powerful",L717&lt;500,"High Performance",L717&lt;800,"Sports Performance",L717&gt;=800,"Super Performance")</f>
        <v>Standard</v>
      </c>
    </row>
    <row r="718" spans="1:13" x14ac:dyDescent="0.25">
      <c r="A718" s="5" t="s">
        <v>301</v>
      </c>
      <c r="B718" s="3" t="s">
        <v>1269</v>
      </c>
      <c r="C718" s="3" t="s">
        <v>1276</v>
      </c>
      <c r="D718" s="4">
        <v>808558</v>
      </c>
      <c r="E718" s="3">
        <v>1248</v>
      </c>
      <c r="F718" s="3">
        <v>4</v>
      </c>
      <c r="G718" s="3" t="s">
        <v>36</v>
      </c>
      <c r="H718" s="3" t="s">
        <v>27</v>
      </c>
      <c r="I718" s="3">
        <v>5</v>
      </c>
      <c r="J718" s="3" t="s">
        <v>12</v>
      </c>
      <c r="K718" s="18">
        <v>76</v>
      </c>
      <c r="L718" s="16">
        <v>197</v>
      </c>
      <c r="M718" s="6" t="str" cm="1">
        <f t="array" ref="M718">_xlfn.IFS(L718&lt;100,"Economy",L718&lt;200,"Standard",L718&lt;350,"Powerful",L718&lt;500,"High Performance",L718&lt;800,"Sports Performance",L718&gt;=800,"Super Performance")</f>
        <v>Standard</v>
      </c>
    </row>
    <row r="719" spans="1:13" x14ac:dyDescent="0.25">
      <c r="A719" s="5" t="s">
        <v>7</v>
      </c>
      <c r="B719" s="3" t="s">
        <v>1280</v>
      </c>
      <c r="C719" s="3" t="s">
        <v>1281</v>
      </c>
      <c r="D719" s="4">
        <v>1949000</v>
      </c>
      <c r="E719" s="3">
        <v>1999</v>
      </c>
      <c r="F719" s="3">
        <v>4</v>
      </c>
      <c r="G719" s="3" t="s">
        <v>10</v>
      </c>
      <c r="H719" s="3" t="s">
        <v>27</v>
      </c>
      <c r="I719" s="3">
        <v>5</v>
      </c>
      <c r="J719" s="3" t="s">
        <v>17</v>
      </c>
      <c r="K719" s="18">
        <v>152</v>
      </c>
      <c r="L719" s="16">
        <v>196</v>
      </c>
      <c r="M719" s="6" t="str" cm="1">
        <f t="array" ref="M719">_xlfn.IFS(L719&lt;100,"Economy",L719&lt;200,"Standard",L719&lt;350,"Powerful",L719&lt;500,"High Performance",L719&lt;800,"Sports Performance",L719&gt;=800,"Super Performance")</f>
        <v>Standard</v>
      </c>
    </row>
    <row r="720" spans="1:13" x14ac:dyDescent="0.25">
      <c r="A720" s="5" t="s">
        <v>7</v>
      </c>
      <c r="B720" s="3" t="s">
        <v>1280</v>
      </c>
      <c r="C720" s="3" t="s">
        <v>1282</v>
      </c>
      <c r="D720" s="4">
        <v>2039000</v>
      </c>
      <c r="E720" s="3">
        <v>1999</v>
      </c>
      <c r="F720" s="3">
        <v>4</v>
      </c>
      <c r="G720" s="3" t="s">
        <v>10</v>
      </c>
      <c r="H720" s="3" t="s">
        <v>27</v>
      </c>
      <c r="I720" s="3">
        <v>5</v>
      </c>
      <c r="J720" s="3" t="s">
        <v>17</v>
      </c>
      <c r="K720" s="18">
        <v>152</v>
      </c>
      <c r="L720" s="16">
        <v>196</v>
      </c>
      <c r="M720" s="6" t="str" cm="1">
        <f t="array" ref="M720">_xlfn.IFS(L720&lt;100,"Economy",L720&lt;200,"Standard",L720&lt;350,"Powerful",L720&lt;500,"High Performance",L720&lt;800,"Sports Performance",L720&gt;=800,"Super Performance")</f>
        <v>Standard</v>
      </c>
    </row>
    <row r="721" spans="1:13" x14ac:dyDescent="0.25">
      <c r="A721" s="5" t="s">
        <v>7</v>
      </c>
      <c r="B721" s="3" t="s">
        <v>1280</v>
      </c>
      <c r="C721" s="3" t="s">
        <v>1283</v>
      </c>
      <c r="D721" s="4">
        <v>1849000</v>
      </c>
      <c r="E721" s="3">
        <v>1999</v>
      </c>
      <c r="F721" s="3">
        <v>4</v>
      </c>
      <c r="G721" s="3" t="s">
        <v>10</v>
      </c>
      <c r="H721" s="3" t="s">
        <v>27</v>
      </c>
      <c r="I721" s="3">
        <v>5</v>
      </c>
      <c r="J721" s="3" t="s">
        <v>12</v>
      </c>
      <c r="K721" s="18">
        <v>152</v>
      </c>
      <c r="L721" s="16">
        <v>196</v>
      </c>
      <c r="M721" s="6" t="str" cm="1">
        <f t="array" ref="M721">_xlfn.IFS(L721&lt;100,"Economy",L721&lt;200,"Standard",L721&lt;350,"Powerful",L721&lt;500,"High Performance",L721&lt;800,"Sports Performance",L721&gt;=800,"Super Performance")</f>
        <v>Standard</v>
      </c>
    </row>
    <row r="722" spans="1:13" x14ac:dyDescent="0.25">
      <c r="A722" s="5" t="s">
        <v>7</v>
      </c>
      <c r="B722" s="3" t="s">
        <v>1280</v>
      </c>
      <c r="C722" s="3" t="s">
        <v>323</v>
      </c>
      <c r="D722" s="4">
        <v>1589000</v>
      </c>
      <c r="E722" s="3">
        <v>1999</v>
      </c>
      <c r="F722" s="3">
        <v>4</v>
      </c>
      <c r="G722" s="3" t="s">
        <v>10</v>
      </c>
      <c r="H722" s="3" t="s">
        <v>27</v>
      </c>
      <c r="I722" s="3">
        <v>5</v>
      </c>
      <c r="J722" s="3" t="s">
        <v>12</v>
      </c>
      <c r="K722" s="18">
        <v>152</v>
      </c>
      <c r="L722" s="16">
        <v>196</v>
      </c>
      <c r="M722" s="6" t="str" cm="1">
        <f t="array" ref="M722">_xlfn.IFS(L722&lt;100,"Economy",L722&lt;200,"Standard",L722&lt;350,"Powerful",L722&lt;500,"High Performance",L722&lt;800,"Sports Performance",L722&gt;=800,"Super Performance")</f>
        <v>Standard</v>
      </c>
    </row>
    <row r="723" spans="1:13" x14ac:dyDescent="0.25">
      <c r="A723" s="5" t="s">
        <v>202</v>
      </c>
      <c r="B723" s="3" t="s">
        <v>877</v>
      </c>
      <c r="C723" s="3" t="s">
        <v>878</v>
      </c>
      <c r="D723" s="4">
        <v>886398</v>
      </c>
      <c r="E723" s="3">
        <v>1493</v>
      </c>
      <c r="F723" s="3">
        <v>4</v>
      </c>
      <c r="G723" s="3" t="s">
        <v>36</v>
      </c>
      <c r="H723" s="3" t="s">
        <v>66</v>
      </c>
      <c r="I723" s="3">
        <v>7</v>
      </c>
      <c r="J723" s="3" t="s">
        <v>12</v>
      </c>
      <c r="K723" s="18">
        <v>70</v>
      </c>
      <c r="L723" s="16">
        <v>195</v>
      </c>
      <c r="M723" s="6" t="str" cm="1">
        <f t="array" ref="M723">_xlfn.IFS(L723&lt;100,"Economy",L723&lt;200,"Standard",L723&lt;350,"Powerful",L723&lt;500,"High Performance",L723&lt;800,"Sports Performance",L723&gt;=800,"Super Performance")</f>
        <v>Standard</v>
      </c>
    </row>
    <row r="724" spans="1:13" x14ac:dyDescent="0.25">
      <c r="A724" s="5" t="s">
        <v>202</v>
      </c>
      <c r="B724" s="3" t="s">
        <v>877</v>
      </c>
      <c r="C724" s="3" t="s">
        <v>879</v>
      </c>
      <c r="D724" s="4">
        <v>851302</v>
      </c>
      <c r="E724" s="3">
        <v>1493</v>
      </c>
      <c r="F724" s="3">
        <v>4</v>
      </c>
      <c r="G724" s="3" t="s">
        <v>36</v>
      </c>
      <c r="H724" s="3" t="s">
        <v>66</v>
      </c>
      <c r="I724" s="3">
        <v>7</v>
      </c>
      <c r="J724" s="3" t="s">
        <v>12</v>
      </c>
      <c r="K724" s="18">
        <v>70</v>
      </c>
      <c r="L724" s="16">
        <v>195</v>
      </c>
      <c r="M724" s="6" t="str" cm="1">
        <f t="array" ref="M724">_xlfn.IFS(L724&lt;100,"Economy",L724&lt;200,"Standard",L724&lt;350,"Powerful",L724&lt;500,"High Performance",L724&lt;800,"Sports Performance",L724&gt;=800,"Super Performance")</f>
        <v>Standard</v>
      </c>
    </row>
    <row r="725" spans="1:13" x14ac:dyDescent="0.25">
      <c r="A725" s="5" t="s">
        <v>202</v>
      </c>
      <c r="B725" s="3" t="s">
        <v>877</v>
      </c>
      <c r="C725" s="3" t="s">
        <v>880</v>
      </c>
      <c r="D725" s="4">
        <v>785656</v>
      </c>
      <c r="E725" s="3">
        <v>1493</v>
      </c>
      <c r="F725" s="3">
        <v>4</v>
      </c>
      <c r="G725" s="3" t="s">
        <v>36</v>
      </c>
      <c r="H725" s="3" t="s">
        <v>66</v>
      </c>
      <c r="I725" s="3">
        <v>7</v>
      </c>
      <c r="J725" s="3" t="s">
        <v>12</v>
      </c>
      <c r="K725" s="18">
        <v>70</v>
      </c>
      <c r="L725" s="16">
        <v>195</v>
      </c>
      <c r="M725" s="6" t="str" cm="1">
        <f t="array" ref="M725">_xlfn.IFS(L725&lt;100,"Economy",L725&lt;200,"Standard",L725&lt;350,"Powerful",L725&lt;500,"High Performance",L725&lt;800,"Sports Performance",L725&gt;=800,"Super Performance")</f>
        <v>Standard</v>
      </c>
    </row>
    <row r="726" spans="1:13" x14ac:dyDescent="0.25">
      <c r="A726" s="5" t="s">
        <v>202</v>
      </c>
      <c r="B726" s="3" t="s">
        <v>877</v>
      </c>
      <c r="C726" s="3" t="s">
        <v>881</v>
      </c>
      <c r="D726" s="4">
        <v>749192</v>
      </c>
      <c r="E726" s="3">
        <v>1493</v>
      </c>
      <c r="F726" s="3">
        <v>4</v>
      </c>
      <c r="G726" s="3" t="s">
        <v>36</v>
      </c>
      <c r="H726" s="3" t="s">
        <v>66</v>
      </c>
      <c r="I726" s="3">
        <v>7</v>
      </c>
      <c r="J726" s="3" t="s">
        <v>12</v>
      </c>
      <c r="K726" s="18">
        <v>70</v>
      </c>
      <c r="L726" s="16">
        <v>195</v>
      </c>
      <c r="M726" s="6" t="str" cm="1">
        <f t="array" ref="M726">_xlfn.IFS(L726&lt;100,"Economy",L726&lt;200,"Standard",L726&lt;350,"Powerful",L726&lt;500,"High Performance",L726&lt;800,"Sports Performance",L726&gt;=800,"Super Performance")</f>
        <v>Standard</v>
      </c>
    </row>
    <row r="727" spans="1:13" x14ac:dyDescent="0.25">
      <c r="A727" s="5" t="s">
        <v>202</v>
      </c>
      <c r="B727" s="3" t="s">
        <v>877</v>
      </c>
      <c r="C727" s="3" t="s">
        <v>1064</v>
      </c>
      <c r="D727" s="4">
        <v>819117</v>
      </c>
      <c r="E727" s="3">
        <v>2523</v>
      </c>
      <c r="F727" s="3">
        <v>4</v>
      </c>
      <c r="G727" s="3" t="s">
        <v>36</v>
      </c>
      <c r="H727" s="3" t="s">
        <v>66</v>
      </c>
      <c r="I727" s="3">
        <v>9</v>
      </c>
      <c r="J727" s="3" t="s">
        <v>12</v>
      </c>
      <c r="K727" s="18">
        <v>63.9</v>
      </c>
      <c r="L727" s="16">
        <v>195</v>
      </c>
      <c r="M727" s="6" t="str" cm="1">
        <f t="array" ref="M727">_xlfn.IFS(L727&lt;100,"Economy",L727&lt;200,"Standard",L727&lt;350,"Powerful",L727&lt;500,"High Performance",L727&lt;800,"Sports Performance",L727&gt;=800,"Super Performance")</f>
        <v>Standard</v>
      </c>
    </row>
    <row r="728" spans="1:13" x14ac:dyDescent="0.25">
      <c r="A728" s="5" t="s">
        <v>202</v>
      </c>
      <c r="B728" s="3" t="s">
        <v>1103</v>
      </c>
      <c r="C728" s="3" t="s">
        <v>878</v>
      </c>
      <c r="D728" s="4">
        <v>942263</v>
      </c>
      <c r="E728" s="3">
        <v>2523</v>
      </c>
      <c r="F728" s="3">
        <v>4</v>
      </c>
      <c r="G728" s="3" t="s">
        <v>36</v>
      </c>
      <c r="H728" s="3" t="s">
        <v>66</v>
      </c>
      <c r="I728" s="3">
        <v>7</v>
      </c>
      <c r="J728" s="3" t="s">
        <v>12</v>
      </c>
      <c r="K728" s="18">
        <v>63</v>
      </c>
      <c r="L728" s="16">
        <v>195</v>
      </c>
      <c r="M728" s="6" t="str" cm="1">
        <f t="array" ref="M728">_xlfn.IFS(L728&lt;100,"Economy",L728&lt;200,"Standard",L728&lt;350,"Powerful",L728&lt;500,"High Performance",L728&lt;800,"Sports Performance",L728&gt;=800,"Super Performance")</f>
        <v>Standard</v>
      </c>
    </row>
    <row r="729" spans="1:13" x14ac:dyDescent="0.25">
      <c r="A729" s="5" t="s">
        <v>202</v>
      </c>
      <c r="B729" s="3" t="s">
        <v>1103</v>
      </c>
      <c r="C729" s="3" t="s">
        <v>879</v>
      </c>
      <c r="D729" s="4">
        <v>917055</v>
      </c>
      <c r="E729" s="3">
        <v>2523</v>
      </c>
      <c r="F729" s="3">
        <v>4</v>
      </c>
      <c r="G729" s="3" t="s">
        <v>36</v>
      </c>
      <c r="H729" s="3" t="s">
        <v>66</v>
      </c>
      <c r="I729" s="3">
        <v>7</v>
      </c>
      <c r="J729" s="3" t="s">
        <v>12</v>
      </c>
      <c r="K729" s="18">
        <v>63</v>
      </c>
      <c r="L729" s="16">
        <v>195</v>
      </c>
      <c r="M729" s="6" t="str" cm="1">
        <f t="array" ref="M729">_xlfn.IFS(L729&lt;100,"Economy",L729&lt;200,"Standard",L729&lt;350,"Powerful",L729&lt;500,"High Performance",L729&lt;800,"Sports Performance",L729&gt;=800,"Super Performance")</f>
        <v>Standard</v>
      </c>
    </row>
    <row r="730" spans="1:13" x14ac:dyDescent="0.25">
      <c r="A730" s="5" t="s">
        <v>202</v>
      </c>
      <c r="B730" s="3" t="s">
        <v>1103</v>
      </c>
      <c r="C730" s="3" t="s">
        <v>880</v>
      </c>
      <c r="D730" s="4">
        <v>860720</v>
      </c>
      <c r="E730" s="3">
        <v>2523</v>
      </c>
      <c r="F730" s="3">
        <v>4</v>
      </c>
      <c r="G730" s="3" t="s">
        <v>36</v>
      </c>
      <c r="H730" s="3" t="s">
        <v>66</v>
      </c>
      <c r="I730" s="3">
        <v>7</v>
      </c>
      <c r="J730" s="3" t="s">
        <v>12</v>
      </c>
      <c r="K730" s="18">
        <v>63</v>
      </c>
      <c r="L730" s="16">
        <v>195</v>
      </c>
      <c r="M730" s="6" t="str" cm="1">
        <f t="array" ref="M730">_xlfn.IFS(L730&lt;100,"Economy",L730&lt;200,"Standard",L730&lt;350,"Powerful",L730&lt;500,"High Performance",L730&lt;800,"Sports Performance",L730&gt;=800,"Super Performance")</f>
        <v>Standard</v>
      </c>
    </row>
    <row r="731" spans="1:13" x14ac:dyDescent="0.25">
      <c r="A731" s="5" t="s">
        <v>202</v>
      </c>
      <c r="B731" s="3" t="s">
        <v>1103</v>
      </c>
      <c r="C731" s="3" t="s">
        <v>1104</v>
      </c>
      <c r="D731" s="4">
        <v>815883</v>
      </c>
      <c r="E731" s="3">
        <v>2523</v>
      </c>
      <c r="F731" s="3">
        <v>4</v>
      </c>
      <c r="G731" s="3" t="s">
        <v>36</v>
      </c>
      <c r="H731" s="3" t="s">
        <v>66</v>
      </c>
      <c r="I731" s="3">
        <v>7</v>
      </c>
      <c r="J731" s="3" t="s">
        <v>12</v>
      </c>
      <c r="K731" s="18">
        <v>63</v>
      </c>
      <c r="L731" s="16">
        <v>195</v>
      </c>
      <c r="M731" s="6" t="str" cm="1">
        <f t="array" ref="M731">_xlfn.IFS(L731&lt;100,"Economy",L731&lt;200,"Standard",L731&lt;350,"Powerful",L731&lt;500,"High Performance",L731&lt;800,"Sports Performance",L731&gt;=800,"Super Performance")</f>
        <v>Standard</v>
      </c>
    </row>
    <row r="732" spans="1:13" x14ac:dyDescent="0.25">
      <c r="A732" s="5" t="s">
        <v>202</v>
      </c>
      <c r="B732" s="3" t="s">
        <v>1103</v>
      </c>
      <c r="C732" s="3" t="s">
        <v>1105</v>
      </c>
      <c r="D732" s="4">
        <v>773678</v>
      </c>
      <c r="E732" s="3">
        <v>2523</v>
      </c>
      <c r="F732" s="3">
        <v>4</v>
      </c>
      <c r="G732" s="3" t="s">
        <v>36</v>
      </c>
      <c r="H732" s="3" t="s">
        <v>66</v>
      </c>
      <c r="I732" s="3">
        <v>7</v>
      </c>
      <c r="J732" s="3" t="s">
        <v>12</v>
      </c>
      <c r="K732" s="18">
        <v>63</v>
      </c>
      <c r="L732" s="16">
        <v>195</v>
      </c>
      <c r="M732" s="6" t="str" cm="1">
        <f t="array" ref="M732">_xlfn.IFS(L732&lt;100,"Economy",L732&lt;200,"Standard",L732&lt;350,"Powerful",L732&lt;500,"High Performance",L732&lt;800,"Sports Performance",L732&gt;=800,"Super Performance")</f>
        <v>Standard</v>
      </c>
    </row>
    <row r="733" spans="1:13" x14ac:dyDescent="0.25">
      <c r="A733" s="5" t="s">
        <v>7</v>
      </c>
      <c r="B733" s="3" t="s">
        <v>1284</v>
      </c>
      <c r="C733" s="3" t="s">
        <v>1285</v>
      </c>
      <c r="D733" s="4">
        <v>2187384</v>
      </c>
      <c r="E733" s="3">
        <v>1999</v>
      </c>
      <c r="F733" s="3">
        <v>4</v>
      </c>
      <c r="G733" s="3" t="s">
        <v>10</v>
      </c>
      <c r="H733" s="3" t="s">
        <v>66</v>
      </c>
      <c r="I733" s="3">
        <v>5</v>
      </c>
      <c r="J733" s="3" t="s">
        <v>30</v>
      </c>
      <c r="K733" s="18">
        <v>155</v>
      </c>
      <c r="L733" s="16">
        <v>192</v>
      </c>
      <c r="M733" s="6" t="str" cm="1">
        <f t="array" ref="M733">_xlfn.IFS(L733&lt;100,"Economy",L733&lt;200,"Standard",L733&lt;350,"Powerful",L733&lt;500,"High Performance",L733&lt;800,"Sports Performance",L733&gt;=800,"Super Performance")</f>
        <v>Standard</v>
      </c>
    </row>
    <row r="734" spans="1:13" x14ac:dyDescent="0.25">
      <c r="A734" s="5" t="s">
        <v>7</v>
      </c>
      <c r="B734" s="3" t="s">
        <v>1284</v>
      </c>
      <c r="C734" s="3" t="s">
        <v>1287</v>
      </c>
      <c r="D734" s="4">
        <v>1876656</v>
      </c>
      <c r="E734" s="3">
        <v>1999</v>
      </c>
      <c r="F734" s="3">
        <v>4</v>
      </c>
      <c r="G734" s="3" t="s">
        <v>10</v>
      </c>
      <c r="H734" s="3" t="s">
        <v>66</v>
      </c>
      <c r="I734" s="3">
        <v>5</v>
      </c>
      <c r="J734" s="3" t="s">
        <v>12</v>
      </c>
      <c r="K734" s="18">
        <v>155</v>
      </c>
      <c r="L734" s="16">
        <v>192</v>
      </c>
      <c r="M734" s="6" t="str" cm="1">
        <f t="array" ref="M734">_xlfn.IFS(L734&lt;100,"Economy",L734&lt;200,"Standard",L734&lt;350,"Powerful",L734&lt;500,"High Performance",L734&lt;800,"Sports Performance",L734&gt;=800,"Super Performance")</f>
        <v>Standard</v>
      </c>
    </row>
    <row r="735" spans="1:13" x14ac:dyDescent="0.25">
      <c r="A735" s="5" t="s">
        <v>7</v>
      </c>
      <c r="B735" s="3" t="s">
        <v>1284</v>
      </c>
      <c r="C735" s="3" t="s">
        <v>1289</v>
      </c>
      <c r="D735" s="4">
        <v>2246749</v>
      </c>
      <c r="E735" s="3">
        <v>1999</v>
      </c>
      <c r="F735" s="3">
        <v>4</v>
      </c>
      <c r="G735" s="3" t="s">
        <v>10</v>
      </c>
      <c r="H735" s="3" t="s">
        <v>66</v>
      </c>
      <c r="I735" s="3">
        <v>5</v>
      </c>
      <c r="J735" s="3" t="s">
        <v>30</v>
      </c>
      <c r="K735" s="18">
        <v>155</v>
      </c>
      <c r="L735" s="16">
        <v>192</v>
      </c>
      <c r="M735" s="6" t="str" cm="1">
        <f t="array" ref="M735">_xlfn.IFS(L735&lt;100,"Economy",L735&lt;200,"Standard",L735&lt;350,"Powerful",L735&lt;500,"High Performance",L735&lt;800,"Sports Performance",L735&gt;=800,"Super Performance")</f>
        <v>Standard</v>
      </c>
    </row>
    <row r="736" spans="1:13" x14ac:dyDescent="0.25">
      <c r="A736" s="5" t="s">
        <v>7</v>
      </c>
      <c r="B736" s="3" t="s">
        <v>1284</v>
      </c>
      <c r="C736" s="3" t="s">
        <v>1290</v>
      </c>
      <c r="D736" s="4">
        <v>2373522</v>
      </c>
      <c r="E736" s="3">
        <v>1999</v>
      </c>
      <c r="F736" s="3">
        <v>4</v>
      </c>
      <c r="G736" s="3" t="s">
        <v>10</v>
      </c>
      <c r="H736" s="3" t="s">
        <v>66</v>
      </c>
      <c r="I736" s="3">
        <v>5</v>
      </c>
      <c r="J736" s="3" t="s">
        <v>30</v>
      </c>
      <c r="K736" s="18">
        <v>155</v>
      </c>
      <c r="L736" s="16">
        <v>192</v>
      </c>
      <c r="M736" s="6" t="str" cm="1">
        <f t="array" ref="M736">_xlfn.IFS(L736&lt;100,"Economy",L736&lt;200,"Standard",L736&lt;350,"Powerful",L736&lt;500,"High Performance",L736&lt;800,"Sports Performance",L736&gt;=800,"Super Performance")</f>
        <v>Standard</v>
      </c>
    </row>
    <row r="737" spans="1:13" x14ac:dyDescent="0.25">
      <c r="A737" s="5" t="s">
        <v>7</v>
      </c>
      <c r="B737" s="3" t="s">
        <v>25</v>
      </c>
      <c r="C737" s="3" t="s">
        <v>35</v>
      </c>
      <c r="D737" s="4">
        <v>773800</v>
      </c>
      <c r="E737" s="3">
        <v>1186</v>
      </c>
      <c r="F737" s="3">
        <v>0</v>
      </c>
      <c r="G737" s="3" t="s">
        <v>36</v>
      </c>
      <c r="H737" s="3" t="s">
        <v>27</v>
      </c>
      <c r="I737" s="3">
        <v>5</v>
      </c>
      <c r="J737" s="3" t="s">
        <v>12</v>
      </c>
      <c r="K737" s="18">
        <v>75</v>
      </c>
      <c r="L737" s="16">
        <v>190</v>
      </c>
      <c r="M737" s="6" t="str" cm="1">
        <f t="array" ref="M737">_xlfn.IFS(L737&lt;100,"Economy",L737&lt;200,"Standard",L737&lt;350,"Powerful",L737&lt;500,"High Performance",L737&lt;800,"Sports Performance",L737&gt;=800,"Super Performance")</f>
        <v>Standard</v>
      </c>
    </row>
    <row r="738" spans="1:13" x14ac:dyDescent="0.25">
      <c r="A738" s="5" t="s">
        <v>7</v>
      </c>
      <c r="B738" s="3" t="s">
        <v>25</v>
      </c>
      <c r="C738" s="3" t="s">
        <v>37</v>
      </c>
      <c r="D738" s="4">
        <v>823700</v>
      </c>
      <c r="E738" s="3">
        <v>1186</v>
      </c>
      <c r="F738" s="3">
        <v>0</v>
      </c>
      <c r="G738" s="3" t="s">
        <v>36</v>
      </c>
      <c r="H738" s="3" t="s">
        <v>27</v>
      </c>
      <c r="I738" s="3">
        <v>5</v>
      </c>
      <c r="J738" s="3" t="s">
        <v>30</v>
      </c>
      <c r="K738" s="18">
        <v>75</v>
      </c>
      <c r="L738" s="16">
        <v>190</v>
      </c>
      <c r="M738" s="6" t="str" cm="1">
        <f t="array" ref="M738">_xlfn.IFS(L738&lt;100,"Economy",L738&lt;200,"Standard",L738&lt;350,"Powerful",L738&lt;500,"High Performance",L738&lt;800,"Sports Performance",L738&gt;=800,"Super Performance")</f>
        <v>Standard</v>
      </c>
    </row>
    <row r="739" spans="1:13" x14ac:dyDescent="0.25">
      <c r="A739" s="5" t="s">
        <v>7</v>
      </c>
      <c r="B739" s="3" t="s">
        <v>25</v>
      </c>
      <c r="C739" s="3" t="s">
        <v>38</v>
      </c>
      <c r="D739" s="4">
        <v>922700</v>
      </c>
      <c r="E739" s="3">
        <v>1186</v>
      </c>
      <c r="F739" s="3">
        <v>0</v>
      </c>
      <c r="G739" s="3" t="s">
        <v>36</v>
      </c>
      <c r="H739" s="3" t="s">
        <v>27</v>
      </c>
      <c r="I739" s="3">
        <v>5</v>
      </c>
      <c r="J739" s="3" t="s">
        <v>30</v>
      </c>
      <c r="K739" s="18">
        <v>75</v>
      </c>
      <c r="L739" s="16">
        <v>190</v>
      </c>
      <c r="M739" s="6" t="str" cm="1">
        <f t="array" ref="M739">_xlfn.IFS(L739&lt;100,"Economy",L739&lt;200,"Standard",L739&lt;350,"Powerful",L739&lt;500,"High Performance",L739&lt;800,"Sports Performance",L739&gt;=800,"Super Performance")</f>
        <v>Standard</v>
      </c>
    </row>
    <row r="740" spans="1:13" x14ac:dyDescent="0.25">
      <c r="A740" s="5" t="s">
        <v>7</v>
      </c>
      <c r="B740" s="3" t="s">
        <v>25</v>
      </c>
      <c r="C740" s="3" t="s">
        <v>39</v>
      </c>
      <c r="D740" s="4">
        <v>903800</v>
      </c>
      <c r="E740" s="3">
        <v>1186</v>
      </c>
      <c r="F740" s="3">
        <v>0</v>
      </c>
      <c r="G740" s="3" t="s">
        <v>36</v>
      </c>
      <c r="H740" s="3" t="s">
        <v>27</v>
      </c>
      <c r="I740" s="3">
        <v>5</v>
      </c>
      <c r="J740" s="3" t="s">
        <v>12</v>
      </c>
      <c r="K740" s="18">
        <v>75</v>
      </c>
      <c r="L740" s="16">
        <v>190</v>
      </c>
      <c r="M740" s="6" t="str" cm="1">
        <f t="array" ref="M740">_xlfn.IFS(L740&lt;100,"Economy",L740&lt;200,"Standard",L740&lt;350,"Powerful",L740&lt;500,"High Performance",L740&lt;800,"Sports Performance",L740&gt;=800,"Super Performance")</f>
        <v>Standard</v>
      </c>
    </row>
    <row r="741" spans="1:13" x14ac:dyDescent="0.25">
      <c r="A741" s="5" t="s">
        <v>7</v>
      </c>
      <c r="B741" s="3" t="s">
        <v>179</v>
      </c>
      <c r="C741" s="3" t="s">
        <v>180</v>
      </c>
      <c r="D741" s="4">
        <v>790350</v>
      </c>
      <c r="E741" s="3">
        <v>1186</v>
      </c>
      <c r="F741" s="3">
        <v>3</v>
      </c>
      <c r="G741" s="3" t="s">
        <v>36</v>
      </c>
      <c r="H741" s="3" t="s">
        <v>11</v>
      </c>
      <c r="I741" s="3">
        <v>5</v>
      </c>
      <c r="J741" s="3" t="s">
        <v>30</v>
      </c>
      <c r="K741" s="18">
        <v>75</v>
      </c>
      <c r="L741" s="16">
        <v>190</v>
      </c>
      <c r="M741" s="6" t="str" cm="1">
        <f t="array" ref="M741">_xlfn.IFS(L741&lt;100,"Economy",L741&lt;200,"Standard",L741&lt;350,"Powerful",L741&lt;500,"High Performance",L741&lt;800,"Sports Performance",L741&gt;=800,"Super Performance")</f>
        <v>Standard</v>
      </c>
    </row>
    <row r="742" spans="1:13" x14ac:dyDescent="0.25">
      <c r="A742" s="5" t="s">
        <v>7</v>
      </c>
      <c r="B742" s="3" t="s">
        <v>179</v>
      </c>
      <c r="C742" s="3" t="s">
        <v>181</v>
      </c>
      <c r="D742" s="4">
        <v>804450</v>
      </c>
      <c r="E742" s="3">
        <v>1186</v>
      </c>
      <c r="F742" s="3">
        <v>3</v>
      </c>
      <c r="G742" s="3" t="s">
        <v>36</v>
      </c>
      <c r="H742" s="3" t="s">
        <v>11</v>
      </c>
      <c r="I742" s="3">
        <v>5</v>
      </c>
      <c r="J742" s="3" t="s">
        <v>12</v>
      </c>
      <c r="K742" s="18">
        <v>75</v>
      </c>
      <c r="L742" s="16">
        <v>190</v>
      </c>
      <c r="M742" s="6" t="str" cm="1">
        <f t="array" ref="M742">_xlfn.IFS(L742&lt;100,"Economy",L742&lt;200,"Standard",L742&lt;350,"Powerful",L742&lt;500,"High Performance",L742&lt;800,"Sports Performance",L742&gt;=800,"Super Performance")</f>
        <v>Standard</v>
      </c>
    </row>
    <row r="743" spans="1:13" x14ac:dyDescent="0.25">
      <c r="A743" s="5" t="s">
        <v>7</v>
      </c>
      <c r="B743" s="3" t="s">
        <v>179</v>
      </c>
      <c r="C743" s="3" t="s">
        <v>341</v>
      </c>
      <c r="D743" s="4">
        <v>675090</v>
      </c>
      <c r="E743" s="3">
        <v>1186</v>
      </c>
      <c r="F743" s="3">
        <v>3</v>
      </c>
      <c r="G743" s="3" t="s">
        <v>36</v>
      </c>
      <c r="H743" s="3" t="s">
        <v>11</v>
      </c>
      <c r="I743" s="3">
        <v>5</v>
      </c>
      <c r="J743" s="3" t="s">
        <v>12</v>
      </c>
      <c r="K743" s="18">
        <v>75</v>
      </c>
      <c r="L743" s="16">
        <v>190</v>
      </c>
      <c r="M743" s="6" t="str" cm="1">
        <f t="array" ref="M743">_xlfn.IFS(L743&lt;100,"Economy",L743&lt;200,"Standard",L743&lt;350,"Powerful",L743&lt;500,"High Performance",L743&lt;800,"Sports Performance",L743&gt;=800,"Super Performance")</f>
        <v>Standard</v>
      </c>
    </row>
    <row r="744" spans="1:13" x14ac:dyDescent="0.25">
      <c r="A744" s="5" t="s">
        <v>22</v>
      </c>
      <c r="B744" s="3" t="s">
        <v>454</v>
      </c>
      <c r="C744" s="3" t="s">
        <v>455</v>
      </c>
      <c r="D744" s="4">
        <v>787980</v>
      </c>
      <c r="E744" s="3">
        <v>1248</v>
      </c>
      <c r="F744" s="3">
        <v>4</v>
      </c>
      <c r="G744" s="3" t="s">
        <v>36</v>
      </c>
      <c r="H744" s="3" t="s">
        <v>11</v>
      </c>
      <c r="I744" s="3">
        <v>5</v>
      </c>
      <c r="J744" s="3" t="s">
        <v>12</v>
      </c>
      <c r="K744" s="18">
        <v>75</v>
      </c>
      <c r="L744" s="16">
        <v>190</v>
      </c>
      <c r="M744" s="6" t="str" cm="1">
        <f t="array" ref="M744">_xlfn.IFS(L744&lt;100,"Economy",L744&lt;200,"Standard",L744&lt;350,"Powerful",L744&lt;500,"High Performance",L744&lt;800,"Sports Performance",L744&gt;=800,"Super Performance")</f>
        <v>Standard</v>
      </c>
    </row>
    <row r="745" spans="1:13" x14ac:dyDescent="0.25">
      <c r="A745" s="5" t="s">
        <v>22</v>
      </c>
      <c r="B745" s="3" t="s">
        <v>454</v>
      </c>
      <c r="C745" s="3" t="s">
        <v>336</v>
      </c>
      <c r="D745" s="4">
        <v>661111</v>
      </c>
      <c r="E745" s="3">
        <v>1248</v>
      </c>
      <c r="F745" s="3">
        <v>4</v>
      </c>
      <c r="G745" s="3" t="s">
        <v>36</v>
      </c>
      <c r="H745" s="3" t="s">
        <v>11</v>
      </c>
      <c r="I745" s="3">
        <v>5</v>
      </c>
      <c r="J745" s="3" t="s">
        <v>12</v>
      </c>
      <c r="K745" s="18">
        <v>75</v>
      </c>
      <c r="L745" s="16">
        <v>190</v>
      </c>
      <c r="M745" s="6" t="str" cm="1">
        <f t="array" ref="M745">_xlfn.IFS(L745&lt;100,"Economy",L745&lt;200,"Standard",L745&lt;350,"Powerful",L745&lt;500,"High Performance",L745&lt;800,"Sports Performance",L745&gt;=800,"Super Performance")</f>
        <v>Standard</v>
      </c>
    </row>
    <row r="746" spans="1:13" x14ac:dyDescent="0.25">
      <c r="A746" s="5" t="s">
        <v>22</v>
      </c>
      <c r="B746" s="3" t="s">
        <v>454</v>
      </c>
      <c r="C746" s="3" t="s">
        <v>456</v>
      </c>
      <c r="D746" s="4">
        <v>693798</v>
      </c>
      <c r="E746" s="3">
        <v>1248</v>
      </c>
      <c r="F746" s="3">
        <v>4</v>
      </c>
      <c r="G746" s="3" t="s">
        <v>36</v>
      </c>
      <c r="H746" s="3" t="s">
        <v>11</v>
      </c>
      <c r="I746" s="3">
        <v>5</v>
      </c>
      <c r="J746" s="3" t="s">
        <v>12</v>
      </c>
      <c r="K746" s="18">
        <v>75</v>
      </c>
      <c r="L746" s="16">
        <v>190</v>
      </c>
      <c r="M746" s="6" t="str" cm="1">
        <f t="array" ref="M746">_xlfn.IFS(L746&lt;100,"Economy",L746&lt;200,"Standard",L746&lt;350,"Powerful",L746&lt;500,"High Performance",L746&lt;800,"Sports Performance",L746&gt;=800,"Super Performance")</f>
        <v>Standard</v>
      </c>
    </row>
    <row r="747" spans="1:13" x14ac:dyDescent="0.25">
      <c r="A747" s="5" t="s">
        <v>22</v>
      </c>
      <c r="B747" s="3" t="s">
        <v>454</v>
      </c>
      <c r="C747" s="3" t="s">
        <v>457</v>
      </c>
      <c r="D747" s="4">
        <v>719661</v>
      </c>
      <c r="E747" s="3">
        <v>1248</v>
      </c>
      <c r="F747" s="3">
        <v>4</v>
      </c>
      <c r="G747" s="3" t="s">
        <v>36</v>
      </c>
      <c r="H747" s="3" t="s">
        <v>11</v>
      </c>
      <c r="I747" s="3">
        <v>5</v>
      </c>
      <c r="J747" s="3" t="s">
        <v>12</v>
      </c>
      <c r="K747" s="18">
        <v>75</v>
      </c>
      <c r="L747" s="16">
        <v>190</v>
      </c>
      <c r="M747" s="6" t="str" cm="1">
        <f t="array" ref="M747">_xlfn.IFS(L747&lt;100,"Economy",L747&lt;200,"Standard",L747&lt;350,"Powerful",L747&lt;500,"High Performance",L747&lt;800,"Sports Performance",L747&gt;=800,"Super Performance")</f>
        <v>Standard</v>
      </c>
    </row>
    <row r="748" spans="1:13" x14ac:dyDescent="0.25">
      <c r="A748" s="5" t="s">
        <v>22</v>
      </c>
      <c r="B748" s="3" t="s">
        <v>599</v>
      </c>
      <c r="C748" s="3" t="s">
        <v>600</v>
      </c>
      <c r="D748" s="4">
        <v>1205000</v>
      </c>
      <c r="E748" s="3">
        <v>2200</v>
      </c>
      <c r="F748" s="3">
        <v>4</v>
      </c>
      <c r="G748" s="3" t="s">
        <v>36</v>
      </c>
      <c r="H748" s="3" t="s">
        <v>242</v>
      </c>
      <c r="I748" s="3">
        <v>16</v>
      </c>
      <c r="J748" s="3" t="s">
        <v>12</v>
      </c>
      <c r="K748" s="18"/>
      <c r="L748" s="16">
        <v>190</v>
      </c>
      <c r="M748" s="6" t="str" cm="1">
        <f t="array" ref="M748">_xlfn.IFS(L748&lt;100,"Economy",L748&lt;200,"Standard",L748&lt;350,"Powerful",L748&lt;500,"High Performance",L748&lt;800,"Sports Performance",L748&gt;=800,"Super Performance")</f>
        <v>Standard</v>
      </c>
    </row>
    <row r="749" spans="1:13" x14ac:dyDescent="0.25">
      <c r="A749" s="5" t="s">
        <v>93</v>
      </c>
      <c r="B749" s="3" t="s">
        <v>712</v>
      </c>
      <c r="C749" s="3" t="s">
        <v>715</v>
      </c>
      <c r="D749" s="4">
        <v>599000</v>
      </c>
      <c r="E749" s="3">
        <v>1248</v>
      </c>
      <c r="F749" s="3">
        <v>4</v>
      </c>
      <c r="G749" s="3" t="s">
        <v>36</v>
      </c>
      <c r="H749" s="3" t="s">
        <v>11</v>
      </c>
      <c r="I749" s="3">
        <v>5</v>
      </c>
      <c r="J749" s="3" t="s">
        <v>12</v>
      </c>
      <c r="K749" s="18">
        <v>75</v>
      </c>
      <c r="L749" s="16">
        <v>190</v>
      </c>
      <c r="M749" s="6" t="str" cm="1">
        <f t="array" ref="M749">_xlfn.IFS(L749&lt;100,"Economy",L749&lt;200,"Standard",L749&lt;350,"Powerful",L749&lt;500,"High Performance",L749&lt;800,"Sports Performance",L749&gt;=800,"Super Performance")</f>
        <v>Standard</v>
      </c>
    </row>
    <row r="750" spans="1:13" x14ac:dyDescent="0.25">
      <c r="A750" s="5" t="s">
        <v>93</v>
      </c>
      <c r="B750" s="3" t="s">
        <v>712</v>
      </c>
      <c r="C750" s="3" t="s">
        <v>716</v>
      </c>
      <c r="D750" s="4">
        <v>698000</v>
      </c>
      <c r="E750" s="3">
        <v>1248</v>
      </c>
      <c r="F750" s="3">
        <v>4</v>
      </c>
      <c r="G750" s="3" t="s">
        <v>36</v>
      </c>
      <c r="H750" s="3" t="s">
        <v>11</v>
      </c>
      <c r="I750" s="3">
        <v>5</v>
      </c>
      <c r="J750" s="3" t="s">
        <v>12</v>
      </c>
      <c r="K750" s="18">
        <v>75</v>
      </c>
      <c r="L750" s="16">
        <v>190</v>
      </c>
      <c r="M750" s="6" t="str" cm="1">
        <f t="array" ref="M750">_xlfn.IFS(L750&lt;100,"Economy",L750&lt;200,"Standard",L750&lt;350,"Powerful",L750&lt;500,"High Performance",L750&lt;800,"Sports Performance",L750&gt;=800,"Super Performance")</f>
        <v>Standard</v>
      </c>
    </row>
    <row r="751" spans="1:13" x14ac:dyDescent="0.25">
      <c r="A751" s="5" t="s">
        <v>93</v>
      </c>
      <c r="B751" s="3" t="s">
        <v>712</v>
      </c>
      <c r="C751" s="3" t="s">
        <v>717</v>
      </c>
      <c r="D751" s="4">
        <v>745000</v>
      </c>
      <c r="E751" s="3">
        <v>1248</v>
      </c>
      <c r="F751" s="3">
        <v>4</v>
      </c>
      <c r="G751" s="3" t="s">
        <v>36</v>
      </c>
      <c r="H751" s="3" t="s">
        <v>11</v>
      </c>
      <c r="I751" s="3">
        <v>5</v>
      </c>
      <c r="J751" s="3" t="s">
        <v>30</v>
      </c>
      <c r="K751" s="18">
        <v>75</v>
      </c>
      <c r="L751" s="16">
        <v>190</v>
      </c>
      <c r="M751" s="6" t="str" cm="1">
        <f t="array" ref="M751">_xlfn.IFS(L751&lt;100,"Economy",L751&lt;200,"Standard",L751&lt;350,"Powerful",L751&lt;500,"High Performance",L751&lt;800,"Sports Performance",L751&gt;=800,"Super Performance")</f>
        <v>Standard</v>
      </c>
    </row>
    <row r="752" spans="1:13" x14ac:dyDescent="0.25">
      <c r="A752" s="5" t="s">
        <v>93</v>
      </c>
      <c r="B752" s="3" t="s">
        <v>712</v>
      </c>
      <c r="C752" s="3" t="s">
        <v>718</v>
      </c>
      <c r="D752" s="4">
        <v>757000</v>
      </c>
      <c r="E752" s="3">
        <v>1248</v>
      </c>
      <c r="F752" s="3">
        <v>4</v>
      </c>
      <c r="G752" s="3" t="s">
        <v>36</v>
      </c>
      <c r="H752" s="3" t="s">
        <v>11</v>
      </c>
      <c r="I752" s="3">
        <v>5</v>
      </c>
      <c r="J752" s="3" t="s">
        <v>12</v>
      </c>
      <c r="K752" s="18">
        <v>75</v>
      </c>
      <c r="L752" s="16">
        <v>190</v>
      </c>
      <c r="M752" s="6" t="str" cm="1">
        <f t="array" ref="M752">_xlfn.IFS(L752&lt;100,"Economy",L752&lt;200,"Standard",L752&lt;350,"Powerful",L752&lt;500,"High Performance",L752&lt;800,"Sports Performance",L752&gt;=800,"Super Performance")</f>
        <v>Standard</v>
      </c>
    </row>
    <row r="753" spans="1:13" x14ac:dyDescent="0.25">
      <c r="A753" s="5" t="s">
        <v>93</v>
      </c>
      <c r="B753" s="3" t="s">
        <v>712</v>
      </c>
      <c r="C753" s="3" t="s">
        <v>719</v>
      </c>
      <c r="D753" s="4">
        <v>804000</v>
      </c>
      <c r="E753" s="3">
        <v>1248</v>
      </c>
      <c r="F753" s="3">
        <v>4</v>
      </c>
      <c r="G753" s="3" t="s">
        <v>36</v>
      </c>
      <c r="H753" s="3" t="s">
        <v>11</v>
      </c>
      <c r="I753" s="3">
        <v>5</v>
      </c>
      <c r="J753" s="3" t="s">
        <v>30</v>
      </c>
      <c r="K753" s="18">
        <v>75</v>
      </c>
      <c r="L753" s="16">
        <v>190</v>
      </c>
      <c r="M753" s="6" t="str" cm="1">
        <f t="array" ref="M753">_xlfn.IFS(L753&lt;100,"Economy",L753&lt;200,"Standard",L753&lt;350,"Powerful",L753&lt;500,"High Performance",L753&lt;800,"Sports Performance",L753&gt;=800,"Super Performance")</f>
        <v>Standard</v>
      </c>
    </row>
    <row r="754" spans="1:13" x14ac:dyDescent="0.25">
      <c r="A754" s="5" t="s">
        <v>93</v>
      </c>
      <c r="B754" s="3" t="s">
        <v>712</v>
      </c>
      <c r="C754" s="3" t="s">
        <v>720</v>
      </c>
      <c r="D754" s="4">
        <v>838000</v>
      </c>
      <c r="E754" s="3">
        <v>1248</v>
      </c>
      <c r="F754" s="3">
        <v>4</v>
      </c>
      <c r="G754" s="3" t="s">
        <v>36</v>
      </c>
      <c r="H754" s="3" t="s">
        <v>11</v>
      </c>
      <c r="I754" s="3">
        <v>5</v>
      </c>
      <c r="J754" s="3" t="s">
        <v>12</v>
      </c>
      <c r="K754" s="18">
        <v>75</v>
      </c>
      <c r="L754" s="16">
        <v>190</v>
      </c>
      <c r="M754" s="6" t="str" cm="1">
        <f t="array" ref="M754">_xlfn.IFS(L754&lt;100,"Economy",L754&lt;200,"Standard",L754&lt;350,"Powerful",L754&lt;500,"High Performance",L754&lt;800,"Sports Performance",L754&gt;=800,"Super Performance")</f>
        <v>Standard</v>
      </c>
    </row>
    <row r="755" spans="1:13" x14ac:dyDescent="0.25">
      <c r="A755" s="5" t="s">
        <v>93</v>
      </c>
      <c r="B755" s="3" t="s">
        <v>712</v>
      </c>
      <c r="C755" s="3" t="s">
        <v>722</v>
      </c>
      <c r="D755" s="4">
        <v>884000</v>
      </c>
      <c r="E755" s="3">
        <v>1248</v>
      </c>
      <c r="F755" s="3">
        <v>4</v>
      </c>
      <c r="G755" s="3" t="s">
        <v>36</v>
      </c>
      <c r="H755" s="3" t="s">
        <v>11</v>
      </c>
      <c r="I755" s="3">
        <v>5</v>
      </c>
      <c r="J755" s="3" t="s">
        <v>30</v>
      </c>
      <c r="K755" s="18">
        <v>75</v>
      </c>
      <c r="L755" s="16">
        <v>190</v>
      </c>
      <c r="M755" s="6" t="str" cm="1">
        <f t="array" ref="M755">_xlfn.IFS(L755&lt;100,"Economy",L755&lt;200,"Standard",L755&lt;350,"Powerful",L755&lt;500,"High Performance",L755&lt;800,"Sports Performance",L755&gt;=800,"Super Performance")</f>
        <v>Standard</v>
      </c>
    </row>
    <row r="756" spans="1:13" x14ac:dyDescent="0.25">
      <c r="A756" s="5" t="s">
        <v>93</v>
      </c>
      <c r="B756" s="3" t="s">
        <v>838</v>
      </c>
      <c r="C756" s="3" t="s">
        <v>715</v>
      </c>
      <c r="D756" s="4">
        <v>666622</v>
      </c>
      <c r="E756" s="3">
        <v>1248</v>
      </c>
      <c r="F756" s="3">
        <v>4</v>
      </c>
      <c r="G756" s="3" t="s">
        <v>36</v>
      </c>
      <c r="H756" s="3" t="s">
        <v>27</v>
      </c>
      <c r="I756" s="3">
        <v>5</v>
      </c>
      <c r="J756" s="3" t="s">
        <v>12</v>
      </c>
      <c r="K756" s="18">
        <v>75</v>
      </c>
      <c r="L756" s="16">
        <v>190</v>
      </c>
      <c r="M756" s="6" t="str" cm="1">
        <f t="array" ref="M756">_xlfn.IFS(L756&lt;100,"Economy",L756&lt;200,"Standard",L756&lt;350,"Powerful",L756&lt;500,"High Performance",L756&lt;800,"Sports Performance",L756&gt;=800,"Super Performance")</f>
        <v>Standard</v>
      </c>
    </row>
    <row r="757" spans="1:13" x14ac:dyDescent="0.25">
      <c r="A757" s="5" t="s">
        <v>93</v>
      </c>
      <c r="B757" s="3" t="s">
        <v>838</v>
      </c>
      <c r="C757" s="3" t="s">
        <v>716</v>
      </c>
      <c r="D757" s="4">
        <v>757622</v>
      </c>
      <c r="E757" s="3">
        <v>1248</v>
      </c>
      <c r="F757" s="3">
        <v>4</v>
      </c>
      <c r="G757" s="3" t="s">
        <v>36</v>
      </c>
      <c r="H757" s="3" t="s">
        <v>27</v>
      </c>
      <c r="I757" s="3">
        <v>5</v>
      </c>
      <c r="J757" s="3" t="s">
        <v>12</v>
      </c>
      <c r="K757" s="18">
        <v>75</v>
      </c>
      <c r="L757" s="16">
        <v>190</v>
      </c>
      <c r="M757" s="6" t="str" cm="1">
        <f t="array" ref="M757">_xlfn.IFS(L757&lt;100,"Economy",L757&lt;200,"Standard",L757&lt;350,"Powerful",L757&lt;500,"High Performance",L757&lt;800,"Sports Performance",L757&gt;=800,"Super Performance")</f>
        <v>Standard</v>
      </c>
    </row>
    <row r="758" spans="1:13" x14ac:dyDescent="0.25">
      <c r="A758" s="5" t="s">
        <v>93</v>
      </c>
      <c r="B758" s="3" t="s">
        <v>838</v>
      </c>
      <c r="C758" s="3" t="s">
        <v>719</v>
      </c>
      <c r="D758" s="4">
        <v>863122</v>
      </c>
      <c r="E758" s="3">
        <v>1248</v>
      </c>
      <c r="F758" s="3">
        <v>4</v>
      </c>
      <c r="G758" s="3" t="s">
        <v>36</v>
      </c>
      <c r="H758" s="3" t="s">
        <v>27</v>
      </c>
      <c r="I758" s="3">
        <v>5</v>
      </c>
      <c r="J758" s="3" t="s">
        <v>30</v>
      </c>
      <c r="K758" s="18">
        <v>75</v>
      </c>
      <c r="L758" s="16">
        <v>190</v>
      </c>
      <c r="M758" s="6" t="str" cm="1">
        <f t="array" ref="M758">_xlfn.IFS(L758&lt;100,"Economy",L758&lt;200,"Standard",L758&lt;350,"Powerful",L758&lt;500,"High Performance",L758&lt;800,"Sports Performance",L758&gt;=800,"Super Performance")</f>
        <v>Standard</v>
      </c>
    </row>
    <row r="759" spans="1:13" x14ac:dyDescent="0.25">
      <c r="A759" s="5" t="s">
        <v>93</v>
      </c>
      <c r="B759" s="3" t="s">
        <v>838</v>
      </c>
      <c r="C759" s="3" t="s">
        <v>718</v>
      </c>
      <c r="D759" s="4">
        <v>816622</v>
      </c>
      <c r="E759" s="3">
        <v>1248</v>
      </c>
      <c r="F759" s="3">
        <v>4</v>
      </c>
      <c r="G759" s="3" t="s">
        <v>36</v>
      </c>
      <c r="H759" s="3" t="s">
        <v>27</v>
      </c>
      <c r="I759" s="3">
        <v>5</v>
      </c>
      <c r="J759" s="3" t="s">
        <v>12</v>
      </c>
      <c r="K759" s="18">
        <v>75</v>
      </c>
      <c r="L759" s="16">
        <v>190</v>
      </c>
      <c r="M759" s="6" t="str" cm="1">
        <f t="array" ref="M759">_xlfn.IFS(L759&lt;100,"Economy",L759&lt;200,"Standard",L759&lt;350,"Powerful",L759&lt;500,"High Performance",L759&lt;800,"Sports Performance",L759&gt;=800,"Super Performance")</f>
        <v>Standard</v>
      </c>
    </row>
    <row r="760" spans="1:13" x14ac:dyDescent="0.25">
      <c r="A760" s="5" t="s">
        <v>93</v>
      </c>
      <c r="B760" s="3" t="s">
        <v>838</v>
      </c>
      <c r="C760" s="3" t="s">
        <v>720</v>
      </c>
      <c r="D760" s="4">
        <v>906122</v>
      </c>
      <c r="E760" s="3">
        <v>1248</v>
      </c>
      <c r="F760" s="3">
        <v>4</v>
      </c>
      <c r="G760" s="3" t="s">
        <v>36</v>
      </c>
      <c r="H760" s="3" t="s">
        <v>27</v>
      </c>
      <c r="I760" s="3">
        <v>5</v>
      </c>
      <c r="J760" s="3" t="s">
        <v>12</v>
      </c>
      <c r="K760" s="18">
        <v>75</v>
      </c>
      <c r="L760" s="16">
        <v>190</v>
      </c>
      <c r="M760" s="6" t="str" cm="1">
        <f t="array" ref="M760">_xlfn.IFS(L760&lt;100,"Economy",L760&lt;200,"Standard",L760&lt;350,"Powerful",L760&lt;500,"High Performance",L760&lt;800,"Sports Performance",L760&gt;=800,"Super Performance")</f>
        <v>Standard</v>
      </c>
    </row>
    <row r="761" spans="1:13" x14ac:dyDescent="0.25">
      <c r="A761" s="5" t="s">
        <v>93</v>
      </c>
      <c r="B761" s="3" t="s">
        <v>838</v>
      </c>
      <c r="C761" s="3" t="s">
        <v>717</v>
      </c>
      <c r="D761" s="4">
        <v>804622</v>
      </c>
      <c r="E761" s="3">
        <v>1248</v>
      </c>
      <c r="F761" s="3">
        <v>4</v>
      </c>
      <c r="G761" s="3" t="s">
        <v>36</v>
      </c>
      <c r="H761" s="3" t="s">
        <v>27</v>
      </c>
      <c r="I761" s="3">
        <v>5</v>
      </c>
      <c r="J761" s="3" t="s">
        <v>30</v>
      </c>
      <c r="K761" s="18">
        <v>75</v>
      </c>
      <c r="L761" s="16">
        <v>190</v>
      </c>
      <c r="M761" s="6" t="str" cm="1">
        <f t="array" ref="M761">_xlfn.IFS(L761&lt;100,"Economy",L761&lt;200,"Standard",L761&lt;350,"Powerful",L761&lt;500,"High Performance",L761&lt;800,"Sports Performance",L761&gt;=800,"Super Performance")</f>
        <v>Standard</v>
      </c>
    </row>
    <row r="762" spans="1:13" x14ac:dyDescent="0.25">
      <c r="A762" s="5" t="s">
        <v>93</v>
      </c>
      <c r="B762" s="3" t="s">
        <v>838</v>
      </c>
      <c r="C762" s="3" t="s">
        <v>722</v>
      </c>
      <c r="D762" s="4">
        <v>952622</v>
      </c>
      <c r="E762" s="3">
        <v>1248</v>
      </c>
      <c r="F762" s="3">
        <v>4</v>
      </c>
      <c r="G762" s="3" t="s">
        <v>36</v>
      </c>
      <c r="H762" s="3" t="s">
        <v>27</v>
      </c>
      <c r="I762" s="3">
        <v>5</v>
      </c>
      <c r="J762" s="3" t="s">
        <v>30</v>
      </c>
      <c r="K762" s="18">
        <v>75</v>
      </c>
      <c r="L762" s="16">
        <v>190</v>
      </c>
      <c r="M762" s="6" t="str" cm="1">
        <f t="array" ref="M762">_xlfn.IFS(L762&lt;100,"Economy",L762&lt;200,"Standard",L762&lt;350,"Powerful",L762&lt;500,"High Performance",L762&lt;800,"Sports Performance",L762&gt;=800,"Super Performance")</f>
        <v>Standard</v>
      </c>
    </row>
    <row r="763" spans="1:13" x14ac:dyDescent="0.25">
      <c r="A763" s="5" t="s">
        <v>22</v>
      </c>
      <c r="B763" s="3" t="s">
        <v>843</v>
      </c>
      <c r="C763" s="3" t="s">
        <v>728</v>
      </c>
      <c r="D763" s="4">
        <v>836320</v>
      </c>
      <c r="E763" s="3">
        <v>1248</v>
      </c>
      <c r="F763" s="3">
        <v>4</v>
      </c>
      <c r="G763" s="3" t="s">
        <v>36</v>
      </c>
      <c r="H763" s="3" t="s">
        <v>27</v>
      </c>
      <c r="I763" s="3">
        <v>5</v>
      </c>
      <c r="J763" s="3" t="s">
        <v>17</v>
      </c>
      <c r="K763" s="18">
        <v>75</v>
      </c>
      <c r="L763" s="16">
        <v>190</v>
      </c>
      <c r="M763" s="6" t="str" cm="1">
        <f t="array" ref="M763">_xlfn.IFS(L763&lt;100,"Economy",L763&lt;200,"Standard",L763&lt;350,"Powerful",L763&lt;500,"High Performance",L763&lt;800,"Sports Performance",L763&gt;=800,"Super Performance")</f>
        <v>Standard</v>
      </c>
    </row>
    <row r="764" spans="1:13" x14ac:dyDescent="0.25">
      <c r="A764" s="5" t="s">
        <v>93</v>
      </c>
      <c r="B764" s="3" t="s">
        <v>900</v>
      </c>
      <c r="C764" s="3" t="s">
        <v>901</v>
      </c>
      <c r="D764" s="4">
        <v>746621</v>
      </c>
      <c r="E764" s="3">
        <v>1248</v>
      </c>
      <c r="F764" s="3">
        <v>4</v>
      </c>
      <c r="G764" s="3" t="s">
        <v>36</v>
      </c>
      <c r="H764" s="3" t="s">
        <v>11</v>
      </c>
      <c r="I764" s="3">
        <v>5</v>
      </c>
      <c r="J764" s="3" t="s">
        <v>12</v>
      </c>
      <c r="K764" s="18">
        <v>75</v>
      </c>
      <c r="L764" s="16">
        <v>190</v>
      </c>
      <c r="M764" s="6" t="str" cm="1">
        <f t="array" ref="M764">_xlfn.IFS(L764&lt;100,"Economy",L764&lt;200,"Standard",L764&lt;350,"Powerful",L764&lt;500,"High Performance",L764&lt;800,"Sports Performance",L764&gt;=800,"Super Performance")</f>
        <v>Standard</v>
      </c>
    </row>
    <row r="765" spans="1:13" x14ac:dyDescent="0.25">
      <c r="A765" s="5" t="s">
        <v>93</v>
      </c>
      <c r="B765" s="3" t="s">
        <v>900</v>
      </c>
      <c r="C765" s="3" t="s">
        <v>902</v>
      </c>
      <c r="D765" s="4">
        <v>868221</v>
      </c>
      <c r="E765" s="3">
        <v>1248</v>
      </c>
      <c r="F765" s="3">
        <v>4</v>
      </c>
      <c r="G765" s="3" t="s">
        <v>36</v>
      </c>
      <c r="H765" s="3" t="s">
        <v>11</v>
      </c>
      <c r="I765" s="3">
        <v>5</v>
      </c>
      <c r="J765" s="3" t="s">
        <v>12</v>
      </c>
      <c r="K765" s="18">
        <v>75</v>
      </c>
      <c r="L765" s="16">
        <v>190</v>
      </c>
      <c r="M765" s="6" t="str" cm="1">
        <f t="array" ref="M765">_xlfn.IFS(L765&lt;100,"Economy",L765&lt;200,"Standard",L765&lt;350,"Powerful",L765&lt;500,"High Performance",L765&lt;800,"Sports Performance",L765&gt;=800,"Super Performance")</f>
        <v>Standard</v>
      </c>
    </row>
    <row r="766" spans="1:13" x14ac:dyDescent="0.25">
      <c r="A766" s="5" t="s">
        <v>93</v>
      </c>
      <c r="B766" s="3" t="s">
        <v>900</v>
      </c>
      <c r="C766" s="3" t="s">
        <v>903</v>
      </c>
      <c r="D766" s="4">
        <v>668611</v>
      </c>
      <c r="E766" s="3">
        <v>1248</v>
      </c>
      <c r="F766" s="3">
        <v>4</v>
      </c>
      <c r="G766" s="3" t="s">
        <v>36</v>
      </c>
      <c r="H766" s="3" t="s">
        <v>11</v>
      </c>
      <c r="I766" s="3">
        <v>5</v>
      </c>
      <c r="J766" s="3" t="s">
        <v>12</v>
      </c>
      <c r="K766" s="18">
        <v>75</v>
      </c>
      <c r="L766" s="16">
        <v>190</v>
      </c>
      <c r="M766" s="6" t="str" cm="1">
        <f t="array" ref="M766">_xlfn.IFS(L766&lt;100,"Economy",L766&lt;200,"Standard",L766&lt;350,"Powerful",L766&lt;500,"High Performance",L766&lt;800,"Sports Performance",L766&gt;=800,"Super Performance")</f>
        <v>Standard</v>
      </c>
    </row>
    <row r="767" spans="1:13" x14ac:dyDescent="0.25">
      <c r="A767" s="5" t="s">
        <v>93</v>
      </c>
      <c r="B767" s="3" t="s">
        <v>900</v>
      </c>
      <c r="C767" s="3" t="s">
        <v>904</v>
      </c>
      <c r="D767" s="4">
        <v>807921</v>
      </c>
      <c r="E767" s="3">
        <v>1248</v>
      </c>
      <c r="F767" s="3">
        <v>4</v>
      </c>
      <c r="G767" s="3" t="s">
        <v>36</v>
      </c>
      <c r="H767" s="3" t="s">
        <v>11</v>
      </c>
      <c r="I767" s="3">
        <v>5</v>
      </c>
      <c r="J767" s="3" t="s">
        <v>12</v>
      </c>
      <c r="K767" s="18">
        <v>75</v>
      </c>
      <c r="L767" s="16">
        <v>190</v>
      </c>
      <c r="M767" s="6" t="str" cm="1">
        <f t="array" ref="M767">_xlfn.IFS(L767&lt;100,"Economy",L767&lt;200,"Standard",L767&lt;350,"Powerful",L767&lt;500,"High Performance",L767&lt;800,"Sports Performance",L767&gt;=800,"Super Performance")</f>
        <v>Standard</v>
      </c>
    </row>
    <row r="768" spans="1:13" x14ac:dyDescent="0.25">
      <c r="A768" s="5" t="s">
        <v>7</v>
      </c>
      <c r="B768" s="3" t="s">
        <v>924</v>
      </c>
      <c r="C768" s="3" t="s">
        <v>931</v>
      </c>
      <c r="D768" s="4">
        <v>798558</v>
      </c>
      <c r="E768" s="3">
        <v>1120</v>
      </c>
      <c r="F768" s="3">
        <v>3</v>
      </c>
      <c r="G768" s="3" t="s">
        <v>36</v>
      </c>
      <c r="H768" s="3" t="s">
        <v>27</v>
      </c>
      <c r="I768" s="3">
        <v>5</v>
      </c>
      <c r="J768" s="3" t="s">
        <v>12</v>
      </c>
      <c r="K768" s="18">
        <v>75</v>
      </c>
      <c r="L768" s="16">
        <v>190</v>
      </c>
      <c r="M768" s="6" t="str" cm="1">
        <f t="array" ref="M768">_xlfn.IFS(L768&lt;100,"Economy",L768&lt;200,"Standard",L768&lt;350,"Powerful",L768&lt;500,"High Performance",L768&lt;800,"Sports Performance",L768&gt;=800,"Super Performance")</f>
        <v>Standard</v>
      </c>
    </row>
    <row r="769" spans="1:13" x14ac:dyDescent="0.25">
      <c r="A769" s="5" t="s">
        <v>7</v>
      </c>
      <c r="B769" s="3" t="s">
        <v>924</v>
      </c>
      <c r="C769" s="3" t="s">
        <v>932</v>
      </c>
      <c r="D769" s="4">
        <v>875358</v>
      </c>
      <c r="E769" s="3">
        <v>1120</v>
      </c>
      <c r="F769" s="3">
        <v>3</v>
      </c>
      <c r="G769" s="3" t="s">
        <v>36</v>
      </c>
      <c r="H769" s="3" t="s">
        <v>27</v>
      </c>
      <c r="I769" s="3">
        <v>5</v>
      </c>
      <c r="J769" s="3" t="s">
        <v>12</v>
      </c>
      <c r="K769" s="18">
        <v>72</v>
      </c>
      <c r="L769" s="16">
        <v>190</v>
      </c>
      <c r="M769" s="6" t="str" cm="1">
        <f t="array" ref="M769">_xlfn.IFS(L769&lt;100,"Economy",L769&lt;200,"Standard",L769&lt;350,"Powerful",L769&lt;500,"High Performance",L769&lt;800,"Sports Performance",L769&gt;=800,"Super Performance")</f>
        <v>Standard</v>
      </c>
    </row>
    <row r="770" spans="1:13" x14ac:dyDescent="0.25">
      <c r="A770" s="5" t="s">
        <v>7</v>
      </c>
      <c r="B770" s="3" t="s">
        <v>924</v>
      </c>
      <c r="C770" s="3" t="s">
        <v>933</v>
      </c>
      <c r="D770" s="4">
        <v>673261</v>
      </c>
      <c r="E770" s="3">
        <v>1197</v>
      </c>
      <c r="F770" s="3">
        <v>4</v>
      </c>
      <c r="G770" s="3" t="s">
        <v>36</v>
      </c>
      <c r="H770" s="3" t="s">
        <v>27</v>
      </c>
      <c r="I770" s="3">
        <v>5</v>
      </c>
      <c r="J770" s="3" t="s">
        <v>12</v>
      </c>
      <c r="K770" s="18">
        <v>75</v>
      </c>
      <c r="L770" s="16">
        <v>190</v>
      </c>
      <c r="M770" s="6" t="str" cm="1">
        <f t="array" ref="M770">_xlfn.IFS(L770&lt;100,"Economy",L770&lt;200,"Standard",L770&lt;350,"Powerful",L770&lt;500,"High Performance",L770&lt;800,"Sports Performance",L770&gt;=800,"Super Performance")</f>
        <v>Standard</v>
      </c>
    </row>
    <row r="771" spans="1:13" x14ac:dyDescent="0.25">
      <c r="A771" s="5" t="s">
        <v>202</v>
      </c>
      <c r="B771" s="3" t="s">
        <v>968</v>
      </c>
      <c r="C771" s="3" t="s">
        <v>971</v>
      </c>
      <c r="D771" s="4">
        <v>590798</v>
      </c>
      <c r="E771" s="3">
        <v>1198</v>
      </c>
      <c r="F771" s="3">
        <v>3</v>
      </c>
      <c r="G771" s="3" t="s">
        <v>36</v>
      </c>
      <c r="H771" s="3" t="s">
        <v>11</v>
      </c>
      <c r="I771" s="3">
        <v>6</v>
      </c>
      <c r="J771" s="3" t="s">
        <v>12</v>
      </c>
      <c r="K771" s="18">
        <v>77</v>
      </c>
      <c r="L771" s="16">
        <v>190</v>
      </c>
      <c r="M771" s="6" t="str" cm="1">
        <f t="array" ref="M771">_xlfn.IFS(L771&lt;100,"Economy",L771&lt;200,"Standard",L771&lt;350,"Powerful",L771&lt;500,"High Performance",L771&lt;800,"Sports Performance",L771&gt;=800,"Super Performance")</f>
        <v>Standard</v>
      </c>
    </row>
    <row r="772" spans="1:13" x14ac:dyDescent="0.25">
      <c r="A772" s="5" t="s">
        <v>202</v>
      </c>
      <c r="B772" s="3" t="s">
        <v>968</v>
      </c>
      <c r="C772" s="3" t="s">
        <v>972</v>
      </c>
      <c r="D772" s="4">
        <v>619243</v>
      </c>
      <c r="E772" s="3">
        <v>1198</v>
      </c>
      <c r="F772" s="3">
        <v>3</v>
      </c>
      <c r="G772" s="3" t="s">
        <v>36</v>
      </c>
      <c r="H772" s="3" t="s">
        <v>11</v>
      </c>
      <c r="I772" s="3">
        <v>6</v>
      </c>
      <c r="J772" s="3" t="s">
        <v>12</v>
      </c>
      <c r="K772" s="18">
        <v>77</v>
      </c>
      <c r="L772" s="16">
        <v>190</v>
      </c>
      <c r="M772" s="6" t="str" cm="1">
        <f t="array" ref="M772">_xlfn.IFS(L772&lt;100,"Economy",L772&lt;200,"Standard",L772&lt;350,"Powerful",L772&lt;500,"High Performance",L772&lt;800,"Sports Performance",L772&gt;=800,"Super Performance")</f>
        <v>Standard</v>
      </c>
    </row>
    <row r="773" spans="1:13" x14ac:dyDescent="0.25">
      <c r="A773" s="5" t="s">
        <v>202</v>
      </c>
      <c r="B773" s="3" t="s">
        <v>968</v>
      </c>
      <c r="C773" s="3" t="s">
        <v>973</v>
      </c>
      <c r="D773" s="4">
        <v>667273</v>
      </c>
      <c r="E773" s="3">
        <v>1198</v>
      </c>
      <c r="F773" s="3">
        <v>3</v>
      </c>
      <c r="G773" s="3" t="s">
        <v>36</v>
      </c>
      <c r="H773" s="3" t="s">
        <v>11</v>
      </c>
      <c r="I773" s="3">
        <v>6</v>
      </c>
      <c r="J773" s="3" t="s">
        <v>12</v>
      </c>
      <c r="K773" s="18">
        <v>77</v>
      </c>
      <c r="L773" s="16">
        <v>190</v>
      </c>
      <c r="M773" s="6" t="str" cm="1">
        <f t="array" ref="M773">_xlfn.IFS(L773&lt;100,"Economy",L773&lt;200,"Standard",L773&lt;350,"Powerful",L773&lt;500,"High Performance",L773&lt;800,"Sports Performance",L773&gt;=800,"Super Performance")</f>
        <v>Standard</v>
      </c>
    </row>
    <row r="774" spans="1:13" x14ac:dyDescent="0.25">
      <c r="A774" s="5" t="s">
        <v>202</v>
      </c>
      <c r="B774" s="3" t="s">
        <v>968</v>
      </c>
      <c r="C774" s="3" t="s">
        <v>976</v>
      </c>
      <c r="D774" s="4">
        <v>754548</v>
      </c>
      <c r="E774" s="3">
        <v>1198</v>
      </c>
      <c r="F774" s="3">
        <v>3</v>
      </c>
      <c r="G774" s="3" t="s">
        <v>36</v>
      </c>
      <c r="H774" s="3" t="s">
        <v>11</v>
      </c>
      <c r="I774" s="3">
        <v>6</v>
      </c>
      <c r="J774" s="3" t="s">
        <v>12</v>
      </c>
      <c r="K774" s="18">
        <v>77</v>
      </c>
      <c r="L774" s="16">
        <v>190</v>
      </c>
      <c r="M774" s="6" t="str" cm="1">
        <f t="array" ref="M774">_xlfn.IFS(L774&lt;100,"Economy",L774&lt;200,"Standard",L774&lt;350,"Powerful",L774&lt;500,"High Performance",L774&lt;800,"Sports Performance",L774&gt;=800,"Super Performance")</f>
        <v>Standard</v>
      </c>
    </row>
    <row r="775" spans="1:13" x14ac:dyDescent="0.25">
      <c r="A775" s="5" t="s">
        <v>202</v>
      </c>
      <c r="B775" s="3" t="s">
        <v>968</v>
      </c>
      <c r="C775" s="3" t="s">
        <v>978</v>
      </c>
      <c r="D775" s="4">
        <v>787304</v>
      </c>
      <c r="E775" s="3">
        <v>1198</v>
      </c>
      <c r="F775" s="3">
        <v>3</v>
      </c>
      <c r="G775" s="3" t="s">
        <v>36</v>
      </c>
      <c r="H775" s="3" t="s">
        <v>11</v>
      </c>
      <c r="I775" s="3">
        <v>6</v>
      </c>
      <c r="J775" s="3" t="s">
        <v>12</v>
      </c>
      <c r="K775" s="18">
        <v>77</v>
      </c>
      <c r="L775" s="16">
        <v>190</v>
      </c>
      <c r="M775" s="6" t="str" cm="1">
        <f t="array" ref="M775">_xlfn.IFS(L775&lt;100,"Economy",L775&lt;200,"Standard",L775&lt;350,"Powerful",L775&lt;500,"High Performance",L775&lt;800,"Sports Performance",L775&gt;=800,"Super Performance")</f>
        <v>Standard</v>
      </c>
    </row>
    <row r="776" spans="1:13" x14ac:dyDescent="0.25">
      <c r="A776" s="5" t="s">
        <v>202</v>
      </c>
      <c r="B776" s="3" t="s">
        <v>968</v>
      </c>
      <c r="C776" s="3" t="s">
        <v>980</v>
      </c>
      <c r="D776" s="4">
        <v>794800</v>
      </c>
      <c r="E776" s="3">
        <v>1198</v>
      </c>
      <c r="F776" s="3">
        <v>3</v>
      </c>
      <c r="G776" s="3" t="s">
        <v>36</v>
      </c>
      <c r="H776" s="3" t="s">
        <v>11</v>
      </c>
      <c r="I776" s="3">
        <v>6</v>
      </c>
      <c r="J776" s="3" t="s">
        <v>12</v>
      </c>
      <c r="K776" s="18">
        <v>77</v>
      </c>
      <c r="L776" s="16">
        <v>190</v>
      </c>
      <c r="M776" s="6" t="str" cm="1">
        <f t="array" ref="M776">_xlfn.IFS(L776&lt;100,"Economy",L776&lt;200,"Standard",L776&lt;350,"Powerful",L776&lt;500,"High Performance",L776&lt;800,"Sports Performance",L776&gt;=800,"Super Performance")</f>
        <v>Standard</v>
      </c>
    </row>
    <row r="777" spans="1:13" x14ac:dyDescent="0.25">
      <c r="A777" s="5" t="s">
        <v>202</v>
      </c>
      <c r="B777" s="3" t="s">
        <v>968</v>
      </c>
      <c r="C777" s="3" t="s">
        <v>981</v>
      </c>
      <c r="D777" s="4">
        <v>559741</v>
      </c>
      <c r="E777" s="3">
        <v>1198</v>
      </c>
      <c r="F777" s="3">
        <v>3</v>
      </c>
      <c r="G777" s="3" t="s">
        <v>36</v>
      </c>
      <c r="H777" s="3" t="s">
        <v>11</v>
      </c>
      <c r="I777" s="3">
        <v>6</v>
      </c>
      <c r="J777" s="3" t="s">
        <v>12</v>
      </c>
      <c r="K777" s="18">
        <v>77</v>
      </c>
      <c r="L777" s="16">
        <v>190</v>
      </c>
      <c r="M777" s="6" t="str" cm="1">
        <f t="array" ref="M777">_xlfn.IFS(L777&lt;100,"Economy",L777&lt;200,"Standard",L777&lt;350,"Powerful",L777&lt;500,"High Performance",L777&lt;800,"Sports Performance",L777&gt;=800,"Super Performance")</f>
        <v>Standard</v>
      </c>
    </row>
    <row r="778" spans="1:13" x14ac:dyDescent="0.25">
      <c r="A778" s="5" t="s">
        <v>202</v>
      </c>
      <c r="B778" s="3" t="s">
        <v>968</v>
      </c>
      <c r="C778" s="3" t="s">
        <v>1132</v>
      </c>
      <c r="D778" s="4">
        <v>660832</v>
      </c>
      <c r="E778" s="3">
        <v>1198</v>
      </c>
      <c r="F778" s="3">
        <v>3</v>
      </c>
      <c r="G778" s="3" t="s">
        <v>36</v>
      </c>
      <c r="H778" s="3" t="s">
        <v>11</v>
      </c>
      <c r="I778" s="3">
        <v>5</v>
      </c>
      <c r="J778" s="3" t="s">
        <v>12</v>
      </c>
      <c r="K778" s="18">
        <v>77</v>
      </c>
      <c r="L778" s="16">
        <v>190</v>
      </c>
      <c r="M778" s="6" t="str" cm="1">
        <f t="array" ref="M778">_xlfn.IFS(L778&lt;100,"Economy",L778&lt;200,"Standard",L778&lt;350,"Powerful",L778&lt;500,"High Performance",L778&lt;800,"Sports Performance",L778&gt;=800,"Super Performance")</f>
        <v>Standard</v>
      </c>
    </row>
    <row r="779" spans="1:13" x14ac:dyDescent="0.25">
      <c r="A779" s="5" t="s">
        <v>202</v>
      </c>
      <c r="B779" s="3" t="s">
        <v>968</v>
      </c>
      <c r="C779" s="3" t="s">
        <v>1133</v>
      </c>
      <c r="D779" s="4">
        <v>748128</v>
      </c>
      <c r="E779" s="3">
        <v>1198</v>
      </c>
      <c r="F779" s="3">
        <v>3</v>
      </c>
      <c r="G779" s="3" t="s">
        <v>36</v>
      </c>
      <c r="H779" s="3" t="s">
        <v>11</v>
      </c>
      <c r="I779" s="3">
        <v>5</v>
      </c>
      <c r="J779" s="3" t="s">
        <v>12</v>
      </c>
      <c r="K779" s="18">
        <v>77</v>
      </c>
      <c r="L779" s="16">
        <v>190</v>
      </c>
      <c r="M779" s="6" t="str" cm="1">
        <f t="array" ref="M779">_xlfn.IFS(L779&lt;100,"Economy",L779&lt;200,"Standard",L779&lt;350,"Powerful",L779&lt;500,"High Performance",L779&lt;800,"Sports Performance",L779&gt;=800,"Super Performance")</f>
        <v>Standard</v>
      </c>
    </row>
    <row r="780" spans="1:13" x14ac:dyDescent="0.25">
      <c r="A780" s="5" t="s">
        <v>202</v>
      </c>
      <c r="B780" s="3" t="s">
        <v>968</v>
      </c>
      <c r="C780" s="3" t="s">
        <v>1134</v>
      </c>
      <c r="D780" s="4">
        <v>780884</v>
      </c>
      <c r="E780" s="3">
        <v>1198</v>
      </c>
      <c r="F780" s="3">
        <v>3</v>
      </c>
      <c r="G780" s="3" t="s">
        <v>36</v>
      </c>
      <c r="H780" s="3" t="s">
        <v>11</v>
      </c>
      <c r="I780" s="3">
        <v>5</v>
      </c>
      <c r="J780" s="3" t="s">
        <v>12</v>
      </c>
      <c r="K780" s="18">
        <v>77</v>
      </c>
      <c r="L780" s="16">
        <v>190</v>
      </c>
      <c r="M780" s="6" t="str" cm="1">
        <f t="array" ref="M780">_xlfn.IFS(L780&lt;100,"Economy",L780&lt;200,"Standard",L780&lt;350,"Powerful",L780&lt;500,"High Performance",L780&lt;800,"Sports Performance",L780&gt;=800,"Super Performance")</f>
        <v>Standard</v>
      </c>
    </row>
    <row r="781" spans="1:13" x14ac:dyDescent="0.25">
      <c r="A781" s="5" t="s">
        <v>202</v>
      </c>
      <c r="B781" s="3" t="s">
        <v>968</v>
      </c>
      <c r="C781" s="3" t="s">
        <v>1135</v>
      </c>
      <c r="D781" s="4">
        <v>550155</v>
      </c>
      <c r="E781" s="3">
        <v>1198</v>
      </c>
      <c r="F781" s="3">
        <v>3</v>
      </c>
      <c r="G781" s="3" t="s">
        <v>36</v>
      </c>
      <c r="H781" s="3" t="s">
        <v>11</v>
      </c>
      <c r="I781" s="3">
        <v>5</v>
      </c>
      <c r="J781" s="3" t="s">
        <v>12</v>
      </c>
      <c r="K781" s="18">
        <v>77</v>
      </c>
      <c r="L781" s="16">
        <v>190</v>
      </c>
      <c r="M781" s="6" t="str" cm="1">
        <f t="array" ref="M781">_xlfn.IFS(L781&lt;100,"Economy",L781&lt;200,"Standard",L781&lt;350,"Powerful",L781&lt;500,"High Performance",L781&lt;800,"Sports Performance",L781&gt;=800,"Super Performance")</f>
        <v>Standard</v>
      </c>
    </row>
    <row r="782" spans="1:13" x14ac:dyDescent="0.25">
      <c r="A782" s="5" t="s">
        <v>93</v>
      </c>
      <c r="B782" s="3" t="s">
        <v>837</v>
      </c>
      <c r="C782" s="3" t="s">
        <v>715</v>
      </c>
      <c r="D782" s="4">
        <v>653523</v>
      </c>
      <c r="E782" s="3">
        <v>1248</v>
      </c>
      <c r="F782" s="3">
        <v>4</v>
      </c>
      <c r="G782" s="3" t="s">
        <v>36</v>
      </c>
      <c r="H782" s="3" t="s">
        <v>27</v>
      </c>
      <c r="I782" s="3">
        <v>5</v>
      </c>
      <c r="J782" s="3" t="s">
        <v>12</v>
      </c>
      <c r="K782" s="18">
        <v>75</v>
      </c>
      <c r="L782" s="16">
        <v>190</v>
      </c>
      <c r="M782" s="6" t="str" cm="1">
        <f t="array" ref="M782">_xlfn.IFS(L782&lt;100,"Economy",L782&lt;200,"Standard",L782&lt;350,"Powerful",L782&lt;500,"High Performance",L782&lt;800,"Sports Performance",L782&gt;=800,"Super Performance")</f>
        <v>Standard</v>
      </c>
    </row>
    <row r="783" spans="1:13" x14ac:dyDescent="0.25">
      <c r="A783" s="5" t="s">
        <v>22</v>
      </c>
      <c r="B783" s="3" t="s">
        <v>843</v>
      </c>
      <c r="C783" s="3" t="s">
        <v>456</v>
      </c>
      <c r="D783" s="4">
        <v>767317</v>
      </c>
      <c r="E783" s="3">
        <v>1248</v>
      </c>
      <c r="F783" s="3">
        <v>4</v>
      </c>
      <c r="G783" s="3" t="s">
        <v>36</v>
      </c>
      <c r="H783" s="3" t="s">
        <v>27</v>
      </c>
      <c r="I783" s="3">
        <v>5</v>
      </c>
      <c r="J783" s="3" t="s">
        <v>12</v>
      </c>
      <c r="K783" s="18">
        <v>75</v>
      </c>
      <c r="L783" s="16">
        <v>190</v>
      </c>
      <c r="M783" s="6" t="str" cm="1">
        <f t="array" ref="M783">_xlfn.IFS(L783&lt;100,"Economy",L783&lt;200,"Standard",L783&lt;350,"Powerful",L783&lt;500,"High Performance",L783&lt;800,"Sports Performance",L783&gt;=800,"Super Performance")</f>
        <v>Standard</v>
      </c>
    </row>
    <row r="784" spans="1:13" x14ac:dyDescent="0.25">
      <c r="A784" s="5" t="s">
        <v>22</v>
      </c>
      <c r="B784" s="3" t="s">
        <v>843</v>
      </c>
      <c r="C784" s="3" t="s">
        <v>336</v>
      </c>
      <c r="D784" s="4">
        <v>702946</v>
      </c>
      <c r="E784" s="3">
        <v>1248</v>
      </c>
      <c r="F784" s="3">
        <v>4</v>
      </c>
      <c r="G784" s="3" t="s">
        <v>36</v>
      </c>
      <c r="H784" s="3" t="s">
        <v>27</v>
      </c>
      <c r="I784" s="3">
        <v>5</v>
      </c>
      <c r="J784" s="3" t="s">
        <v>12</v>
      </c>
      <c r="K784" s="18">
        <v>75</v>
      </c>
      <c r="L784" s="16">
        <v>190</v>
      </c>
      <c r="M784" s="6" t="str" cm="1">
        <f t="array" ref="M784">_xlfn.IFS(L784&lt;100,"Economy",L784&lt;200,"Standard",L784&lt;350,"Powerful",L784&lt;500,"High Performance",L784&lt;800,"Sports Performance",L784&gt;=800,"Super Performance")</f>
        <v>Standard</v>
      </c>
    </row>
    <row r="785" spans="1:13" x14ac:dyDescent="0.25">
      <c r="A785" s="5" t="s">
        <v>22</v>
      </c>
      <c r="B785" s="3" t="s">
        <v>843</v>
      </c>
      <c r="C785" s="3" t="s">
        <v>457</v>
      </c>
      <c r="D785" s="4">
        <v>793898</v>
      </c>
      <c r="E785" s="3">
        <v>1248</v>
      </c>
      <c r="F785" s="3">
        <v>4</v>
      </c>
      <c r="G785" s="3" t="s">
        <v>36</v>
      </c>
      <c r="H785" s="3" t="s">
        <v>27</v>
      </c>
      <c r="I785" s="3">
        <v>5</v>
      </c>
      <c r="J785" s="3" t="s">
        <v>12</v>
      </c>
      <c r="K785" s="18">
        <v>75</v>
      </c>
      <c r="L785" s="16">
        <v>190</v>
      </c>
      <c r="M785" s="6" t="str" cm="1">
        <f t="array" ref="M785">_xlfn.IFS(L785&lt;100,"Economy",L785&lt;200,"Standard",L785&lt;350,"Powerful",L785&lt;500,"High Performance",L785&lt;800,"Sports Performance",L785&gt;=800,"Super Performance")</f>
        <v>Standard</v>
      </c>
    </row>
    <row r="786" spans="1:13" x14ac:dyDescent="0.25">
      <c r="A786" s="5" t="s">
        <v>22</v>
      </c>
      <c r="B786" s="3" t="s">
        <v>843</v>
      </c>
      <c r="C786" s="3" t="s">
        <v>1360</v>
      </c>
      <c r="D786" s="4">
        <v>788797</v>
      </c>
      <c r="E786" s="3">
        <v>1248</v>
      </c>
      <c r="F786" s="3">
        <v>4</v>
      </c>
      <c r="G786" s="3" t="s">
        <v>36</v>
      </c>
      <c r="H786" s="3" t="s">
        <v>27</v>
      </c>
      <c r="I786" s="3">
        <v>5</v>
      </c>
      <c r="J786" s="3" t="s">
        <v>12</v>
      </c>
      <c r="K786" s="18">
        <v>75</v>
      </c>
      <c r="L786" s="16">
        <v>190</v>
      </c>
      <c r="M786" s="6" t="str" cm="1">
        <f t="array" ref="M786">_xlfn.IFS(L786&lt;100,"Economy",L786&lt;200,"Standard",L786&lt;350,"Powerful",L786&lt;500,"High Performance",L786&lt;800,"Sports Performance",L786&gt;=800,"Super Performance")</f>
        <v>Standard</v>
      </c>
    </row>
    <row r="787" spans="1:13" x14ac:dyDescent="0.25">
      <c r="A787" s="5" t="s">
        <v>131</v>
      </c>
      <c r="B787" s="3" t="s">
        <v>551</v>
      </c>
      <c r="C787" s="3" t="s">
        <v>707</v>
      </c>
      <c r="D787" s="4">
        <v>2827001</v>
      </c>
      <c r="E787" s="3">
        <v>1997</v>
      </c>
      <c r="F787" s="3">
        <v>4</v>
      </c>
      <c r="G787" s="3" t="s">
        <v>10</v>
      </c>
      <c r="H787" s="3" t="s">
        <v>66</v>
      </c>
      <c r="I787" s="3">
        <v>5</v>
      </c>
      <c r="J787" s="3" t="s">
        <v>30</v>
      </c>
      <c r="K787" s="18">
        <v>154</v>
      </c>
      <c r="L787" s="16">
        <v>189</v>
      </c>
      <c r="M787" s="6" t="str" cm="1">
        <f t="array" ref="M787">_xlfn.IFS(L787&lt;100,"Economy",L787&lt;200,"Standard",L787&lt;350,"Powerful",L787&lt;500,"High Performance",L787&lt;800,"Sports Performance",L787&gt;=800,"Super Performance")</f>
        <v>Standard</v>
      </c>
    </row>
    <row r="788" spans="1:13" x14ac:dyDescent="0.25">
      <c r="A788" s="5" t="s">
        <v>220</v>
      </c>
      <c r="B788" s="3" t="s">
        <v>221</v>
      </c>
      <c r="C788" s="3" t="s">
        <v>222</v>
      </c>
      <c r="D788" s="4">
        <v>263000</v>
      </c>
      <c r="E788" s="3">
        <v>216</v>
      </c>
      <c r="F788" s="3">
        <v>0</v>
      </c>
      <c r="G788" s="3" t="s">
        <v>10</v>
      </c>
      <c r="H788" s="3" t="s">
        <v>11</v>
      </c>
      <c r="I788" s="3">
        <v>4</v>
      </c>
      <c r="J788" s="3" t="s">
        <v>12</v>
      </c>
      <c r="K788" s="18">
        <v>13</v>
      </c>
      <c r="L788" s="16">
        <v>185.34568499999997</v>
      </c>
      <c r="M788" s="6" t="str" cm="1">
        <f t="array" ref="M788">_xlfn.IFS(L788&lt;100,"Economy",L788&lt;200,"Standard",L788&lt;350,"Powerful",L788&lt;500,"High Performance",L788&lt;800,"Sports Performance",L788&gt;=800,"Super Performance")</f>
        <v>Standard</v>
      </c>
    </row>
    <row r="789" spans="1:13" x14ac:dyDescent="0.25">
      <c r="A789" s="5" t="s">
        <v>1156</v>
      </c>
      <c r="B789" s="3" t="s">
        <v>1157</v>
      </c>
      <c r="C789" s="3" t="s">
        <v>1163</v>
      </c>
      <c r="D789" s="4">
        <v>739000</v>
      </c>
      <c r="E789" s="3">
        <v>1248</v>
      </c>
      <c r="F789" s="3">
        <v>4</v>
      </c>
      <c r="G789" s="3" t="s">
        <v>36</v>
      </c>
      <c r="H789" s="3" t="s">
        <v>66</v>
      </c>
      <c r="I789" s="3">
        <v>5</v>
      </c>
      <c r="J789" s="3" t="s">
        <v>12</v>
      </c>
      <c r="K789" s="18">
        <v>72</v>
      </c>
      <c r="L789" s="16">
        <v>183</v>
      </c>
      <c r="M789" s="6" t="str" cm="1">
        <f t="array" ref="M789">_xlfn.IFS(L789&lt;100,"Economy",L789&lt;200,"Standard",L789&lt;350,"Powerful",L789&lt;500,"High Performance",L789&lt;800,"Sports Performance",L789&gt;=800,"Super Performance")</f>
        <v>Standard</v>
      </c>
    </row>
    <row r="790" spans="1:13" x14ac:dyDescent="0.25">
      <c r="A790" s="5" t="s">
        <v>93</v>
      </c>
      <c r="B790" s="3" t="s">
        <v>263</v>
      </c>
      <c r="C790" s="3" t="s">
        <v>99</v>
      </c>
      <c r="D790" s="4">
        <v>834000</v>
      </c>
      <c r="E790" s="3">
        <v>1462</v>
      </c>
      <c r="F790" s="3">
        <v>4</v>
      </c>
      <c r="G790" s="3" t="s">
        <v>10</v>
      </c>
      <c r="H790" s="3" t="s">
        <v>242</v>
      </c>
      <c r="I790" s="3">
        <v>7</v>
      </c>
      <c r="J790" s="3" t="s">
        <v>12</v>
      </c>
      <c r="K790" s="18">
        <v>103</v>
      </c>
      <c r="L790" s="16">
        <v>180</v>
      </c>
      <c r="M790" s="6" t="str" cm="1">
        <f t="array" ref="M790">_xlfn.IFS(L790&lt;100,"Economy",L790&lt;200,"Standard",L790&lt;350,"Powerful",L790&lt;500,"High Performance",L790&lt;800,"Sports Performance",L790&gt;=800,"Super Performance")</f>
        <v>Standard</v>
      </c>
    </row>
    <row r="791" spans="1:13" x14ac:dyDescent="0.25">
      <c r="A791" s="5" t="s">
        <v>93</v>
      </c>
      <c r="B791" s="3" t="s">
        <v>263</v>
      </c>
      <c r="C791" s="3" t="s">
        <v>271</v>
      </c>
      <c r="D791" s="4">
        <v>887689</v>
      </c>
      <c r="E791" s="3">
        <v>1462</v>
      </c>
      <c r="F791" s="3">
        <v>4</v>
      </c>
      <c r="G791" s="3" t="s">
        <v>272</v>
      </c>
      <c r="H791" s="3" t="s">
        <v>242</v>
      </c>
      <c r="I791" s="3">
        <v>7</v>
      </c>
      <c r="J791" s="3" t="s">
        <v>12</v>
      </c>
      <c r="K791" s="18">
        <v>103</v>
      </c>
      <c r="L791" s="16">
        <v>180</v>
      </c>
      <c r="M791" s="6" t="str" cm="1">
        <f t="array" ref="M791">_xlfn.IFS(L791&lt;100,"Economy",L791&lt;200,"Standard",L791&lt;350,"Powerful",L791&lt;500,"High Performance",L791&lt;800,"Sports Performance",L791&gt;=800,"Super Performance")</f>
        <v>Standard</v>
      </c>
    </row>
    <row r="792" spans="1:13" x14ac:dyDescent="0.25">
      <c r="A792" s="5" t="s">
        <v>7</v>
      </c>
      <c r="B792" s="3" t="s">
        <v>924</v>
      </c>
      <c r="C792" s="3" t="s">
        <v>929</v>
      </c>
      <c r="D792" s="4">
        <v>742033</v>
      </c>
      <c r="E792" s="3">
        <v>1120</v>
      </c>
      <c r="F792" s="3">
        <v>3</v>
      </c>
      <c r="G792" s="3" t="s">
        <v>36</v>
      </c>
      <c r="H792" s="3" t="s">
        <v>27</v>
      </c>
      <c r="I792" s="3">
        <v>5</v>
      </c>
      <c r="J792" s="3" t="s">
        <v>12</v>
      </c>
      <c r="K792" s="18">
        <v>72</v>
      </c>
      <c r="L792" s="16">
        <v>180</v>
      </c>
      <c r="M792" s="6" t="str" cm="1">
        <f t="array" ref="M792">_xlfn.IFS(L792&lt;100,"Economy",L792&lt;200,"Standard",L792&lt;350,"Powerful",L792&lt;500,"High Performance",L792&lt;800,"Sports Performance",L792&gt;=800,"Super Performance")</f>
        <v>Standard</v>
      </c>
    </row>
    <row r="793" spans="1:13" x14ac:dyDescent="0.25">
      <c r="A793" s="5" t="s">
        <v>160</v>
      </c>
      <c r="B793" s="3" t="s">
        <v>484</v>
      </c>
      <c r="C793" s="3" t="s">
        <v>746</v>
      </c>
      <c r="D793" s="4">
        <v>1197500</v>
      </c>
      <c r="E793" s="3">
        <v>1197</v>
      </c>
      <c r="F793" s="3">
        <v>4</v>
      </c>
      <c r="G793" s="3" t="s">
        <v>10</v>
      </c>
      <c r="H793" s="3" t="s">
        <v>27</v>
      </c>
      <c r="I793" s="3">
        <v>5</v>
      </c>
      <c r="J793" s="3" t="s">
        <v>30</v>
      </c>
      <c r="K793" s="18">
        <v>105</v>
      </c>
      <c r="L793" s="16">
        <v>175</v>
      </c>
      <c r="M793" s="6" t="str" cm="1">
        <f t="array" ref="M793">_xlfn.IFS(L793&lt;100,"Economy",L793&lt;200,"Standard",L793&lt;350,"Powerful",L793&lt;500,"High Performance",L793&lt;800,"Sports Performance",L793&gt;=800,"Super Performance")</f>
        <v>Standard</v>
      </c>
    </row>
    <row r="794" spans="1:13" x14ac:dyDescent="0.25">
      <c r="A794" s="5" t="s">
        <v>160</v>
      </c>
      <c r="B794" s="3" t="s">
        <v>484</v>
      </c>
      <c r="C794" s="3" t="s">
        <v>747</v>
      </c>
      <c r="D794" s="4">
        <v>1449500</v>
      </c>
      <c r="E794" s="3">
        <v>1197</v>
      </c>
      <c r="F794" s="3">
        <v>4</v>
      </c>
      <c r="G794" s="3" t="s">
        <v>10</v>
      </c>
      <c r="H794" s="3" t="s">
        <v>27</v>
      </c>
      <c r="I794" s="3">
        <v>5</v>
      </c>
      <c r="J794" s="3" t="s">
        <v>30</v>
      </c>
      <c r="K794" s="18">
        <v>105</v>
      </c>
      <c r="L794" s="16">
        <v>175</v>
      </c>
      <c r="M794" s="6" t="str" cm="1">
        <f t="array" ref="M794">_xlfn.IFS(L794&lt;100,"Economy",L794&lt;200,"Standard",L794&lt;350,"Powerful",L794&lt;500,"High Performance",L794&lt;800,"Sports Performance",L794&gt;=800,"Super Performance")</f>
        <v>Standard</v>
      </c>
    </row>
    <row r="795" spans="1:13" x14ac:dyDescent="0.25">
      <c r="A795" s="5" t="s">
        <v>131</v>
      </c>
      <c r="B795" s="3" t="s">
        <v>1320</v>
      </c>
      <c r="C795" s="3" t="s">
        <v>1321</v>
      </c>
      <c r="D795" s="4">
        <v>4321237</v>
      </c>
      <c r="E795" s="3">
        <v>1993</v>
      </c>
      <c r="F795" s="3">
        <v>4</v>
      </c>
      <c r="G795" s="3" t="s">
        <v>194</v>
      </c>
      <c r="H795" s="3" t="s">
        <v>27</v>
      </c>
      <c r="I795" s="3">
        <v>5</v>
      </c>
      <c r="J795" s="3" t="s">
        <v>30</v>
      </c>
      <c r="K795" s="18">
        <v>145</v>
      </c>
      <c r="L795" s="16">
        <v>175</v>
      </c>
      <c r="M795" s="6" t="str" cm="1">
        <f t="array" ref="M795">_xlfn.IFS(L795&lt;100,"Economy",L795&lt;200,"Standard",L795&lt;350,"Powerful",L795&lt;500,"High Performance",L795&lt;800,"Sports Performance",L795&gt;=800,"Super Performance")</f>
        <v>Standard</v>
      </c>
    </row>
    <row r="796" spans="1:13" x14ac:dyDescent="0.25">
      <c r="A796" s="5" t="s">
        <v>160</v>
      </c>
      <c r="B796" s="3" t="s">
        <v>1334</v>
      </c>
      <c r="C796" s="3" t="s">
        <v>1343</v>
      </c>
      <c r="D796" s="4">
        <v>976000</v>
      </c>
      <c r="E796" s="3">
        <v>1197</v>
      </c>
      <c r="F796" s="3">
        <v>4</v>
      </c>
      <c r="G796" s="3" t="s">
        <v>10</v>
      </c>
      <c r="H796" s="3" t="s">
        <v>11</v>
      </c>
      <c r="I796" s="3">
        <v>5</v>
      </c>
      <c r="J796" s="3" t="s">
        <v>30</v>
      </c>
      <c r="K796" s="18">
        <v>105</v>
      </c>
      <c r="L796" s="16">
        <v>175</v>
      </c>
      <c r="M796" s="6" t="str" cm="1">
        <f t="array" ref="M796">_xlfn.IFS(L796&lt;100,"Economy",L796&lt;200,"Standard",L796&lt;350,"Powerful",L796&lt;500,"High Performance",L796&lt;800,"Sports Performance",L796&gt;=800,"Super Performance")</f>
        <v>Standard</v>
      </c>
    </row>
    <row r="797" spans="1:13" x14ac:dyDescent="0.25">
      <c r="A797" s="5" t="s">
        <v>160</v>
      </c>
      <c r="B797" s="3" t="s">
        <v>484</v>
      </c>
      <c r="C797" s="3" t="s">
        <v>1365</v>
      </c>
      <c r="D797" s="4">
        <v>1317500</v>
      </c>
      <c r="E797" s="3">
        <v>1197</v>
      </c>
      <c r="F797" s="3">
        <v>4</v>
      </c>
      <c r="G797" s="3" t="s">
        <v>10</v>
      </c>
      <c r="H797" s="3" t="s">
        <v>11</v>
      </c>
      <c r="I797" s="3">
        <v>5</v>
      </c>
      <c r="J797" s="3" t="s">
        <v>30</v>
      </c>
      <c r="K797" s="18">
        <v>105</v>
      </c>
      <c r="L797" s="16">
        <v>175</v>
      </c>
      <c r="M797" s="6" t="str" cm="1">
        <f t="array" ref="M797">_xlfn.IFS(L797&lt;100,"Economy",L797&lt;200,"Standard",L797&lt;350,"Powerful",L797&lt;500,"High Performance",L797&lt;800,"Sports Performance",L797&gt;=800,"Super Performance")</f>
        <v>Standard</v>
      </c>
    </row>
    <row r="798" spans="1:13" x14ac:dyDescent="0.25">
      <c r="A798" s="5" t="s">
        <v>131</v>
      </c>
      <c r="B798" s="3" t="s">
        <v>132</v>
      </c>
      <c r="C798" s="3" t="s">
        <v>133</v>
      </c>
      <c r="D798" s="4">
        <v>1793900</v>
      </c>
      <c r="E798" s="3">
        <v>1799</v>
      </c>
      <c r="F798" s="3">
        <v>4</v>
      </c>
      <c r="G798" s="3" t="s">
        <v>10</v>
      </c>
      <c r="H798" s="3" t="s">
        <v>27</v>
      </c>
      <c r="I798" s="3">
        <v>5</v>
      </c>
      <c r="J798" s="3" t="s">
        <v>30</v>
      </c>
      <c r="K798" s="18">
        <v>141</v>
      </c>
      <c r="L798" s="16">
        <v>174</v>
      </c>
      <c r="M798" s="6" t="str" cm="1">
        <f t="array" ref="M798">_xlfn.IFS(L798&lt;100,"Economy",L798&lt;200,"Standard",L798&lt;350,"Powerful",L798&lt;500,"High Performance",L798&lt;800,"Sports Performance",L798&gt;=800,"Super Performance")</f>
        <v>Standard</v>
      </c>
    </row>
    <row r="799" spans="1:13" x14ac:dyDescent="0.25">
      <c r="A799" s="5" t="s">
        <v>131</v>
      </c>
      <c r="B799" s="3" t="s">
        <v>132</v>
      </c>
      <c r="C799" s="3" t="s">
        <v>134</v>
      </c>
      <c r="D799" s="4">
        <v>1944900</v>
      </c>
      <c r="E799" s="3">
        <v>1799</v>
      </c>
      <c r="F799" s="3">
        <v>4</v>
      </c>
      <c r="G799" s="3" t="s">
        <v>10</v>
      </c>
      <c r="H799" s="3" t="s">
        <v>27</v>
      </c>
      <c r="I799" s="3">
        <v>5</v>
      </c>
      <c r="J799" s="3" t="s">
        <v>30</v>
      </c>
      <c r="K799" s="18">
        <v>141</v>
      </c>
      <c r="L799" s="16">
        <v>174</v>
      </c>
      <c r="M799" s="6" t="str" cm="1">
        <f t="array" ref="M799">_xlfn.IFS(L799&lt;100,"Economy",L799&lt;200,"Standard",L799&lt;350,"Powerful",L799&lt;500,"High Performance",L799&lt;800,"Sports Performance",L799&gt;=800,"Super Performance")</f>
        <v>Standard</v>
      </c>
    </row>
    <row r="800" spans="1:13" x14ac:dyDescent="0.25">
      <c r="A800" s="5" t="s">
        <v>131</v>
      </c>
      <c r="B800" s="3" t="s">
        <v>132</v>
      </c>
      <c r="C800" s="3" t="s">
        <v>135</v>
      </c>
      <c r="D800" s="4">
        <v>2124900</v>
      </c>
      <c r="E800" s="3">
        <v>1799</v>
      </c>
      <c r="F800" s="3">
        <v>4</v>
      </c>
      <c r="G800" s="3" t="s">
        <v>10</v>
      </c>
      <c r="H800" s="3" t="s">
        <v>27</v>
      </c>
      <c r="I800" s="3">
        <v>5</v>
      </c>
      <c r="J800" s="3" t="s">
        <v>30</v>
      </c>
      <c r="K800" s="18">
        <v>141</v>
      </c>
      <c r="L800" s="16">
        <v>174</v>
      </c>
      <c r="M800" s="6" t="str" cm="1">
        <f t="array" ref="M800">_xlfn.IFS(L800&lt;100,"Economy",L800&lt;200,"Standard",L800&lt;350,"Powerful",L800&lt;500,"High Performance",L800&lt;800,"Sports Performance",L800&gt;=800,"Super Performance")</f>
        <v>Standard</v>
      </c>
    </row>
    <row r="801" spans="1:13" x14ac:dyDescent="0.25">
      <c r="A801" s="5" t="s">
        <v>55</v>
      </c>
      <c r="B801" s="3" t="s">
        <v>488</v>
      </c>
      <c r="C801" s="3" t="s">
        <v>489</v>
      </c>
      <c r="D801" s="4">
        <v>1645000</v>
      </c>
      <c r="E801" s="3">
        <v>1798</v>
      </c>
      <c r="F801" s="3">
        <v>4</v>
      </c>
      <c r="G801" s="3" t="s">
        <v>10</v>
      </c>
      <c r="H801" s="3" t="s">
        <v>27</v>
      </c>
      <c r="I801" s="3">
        <v>5</v>
      </c>
      <c r="J801" s="3" t="s">
        <v>12</v>
      </c>
      <c r="K801" s="18">
        <v>140</v>
      </c>
      <c r="L801" s="16">
        <v>173</v>
      </c>
      <c r="M801" s="6" t="str" cm="1">
        <f t="array" ref="M801">_xlfn.IFS(L801&lt;100,"Economy",L801&lt;200,"Standard",L801&lt;350,"Powerful",L801&lt;500,"High Performance",L801&lt;800,"Sports Performance",L801&gt;=800,"Super Performance")</f>
        <v>Standard</v>
      </c>
    </row>
    <row r="802" spans="1:13" x14ac:dyDescent="0.25">
      <c r="A802" s="5" t="s">
        <v>55</v>
      </c>
      <c r="B802" s="3" t="s">
        <v>488</v>
      </c>
      <c r="C802" s="3" t="s">
        <v>490</v>
      </c>
      <c r="D802" s="4">
        <v>1806000</v>
      </c>
      <c r="E802" s="3">
        <v>1798</v>
      </c>
      <c r="F802" s="3">
        <v>4</v>
      </c>
      <c r="G802" s="3" t="s">
        <v>10</v>
      </c>
      <c r="H802" s="3" t="s">
        <v>27</v>
      </c>
      <c r="I802" s="3">
        <v>5</v>
      </c>
      <c r="J802" s="3" t="s">
        <v>30</v>
      </c>
      <c r="K802" s="18">
        <v>140</v>
      </c>
      <c r="L802" s="16">
        <v>173</v>
      </c>
      <c r="M802" s="6" t="str" cm="1">
        <f t="array" ref="M802">_xlfn.IFS(L802&lt;100,"Economy",L802&lt;200,"Standard",L802&lt;350,"Powerful",L802&lt;500,"High Performance",L802&lt;800,"Sports Performance",L802&gt;=800,"Super Performance")</f>
        <v>Standard</v>
      </c>
    </row>
    <row r="803" spans="1:13" x14ac:dyDescent="0.25">
      <c r="A803" s="5" t="s">
        <v>55</v>
      </c>
      <c r="B803" s="3" t="s">
        <v>488</v>
      </c>
      <c r="C803" s="3" t="s">
        <v>491</v>
      </c>
      <c r="D803" s="4">
        <v>1882000</v>
      </c>
      <c r="E803" s="3">
        <v>1798</v>
      </c>
      <c r="F803" s="3">
        <v>4</v>
      </c>
      <c r="G803" s="3" t="s">
        <v>10</v>
      </c>
      <c r="H803" s="3" t="s">
        <v>27</v>
      </c>
      <c r="I803" s="3">
        <v>5</v>
      </c>
      <c r="J803" s="3" t="s">
        <v>12</v>
      </c>
      <c r="K803" s="18">
        <v>140</v>
      </c>
      <c r="L803" s="16">
        <v>173</v>
      </c>
      <c r="M803" s="6" t="str" cm="1">
        <f t="array" ref="M803">_xlfn.IFS(L803&lt;100,"Economy",L803&lt;200,"Standard",L803&lt;350,"Powerful",L803&lt;500,"High Performance",L803&lt;800,"Sports Performance",L803&gt;=800,"Super Performance")</f>
        <v>Standard</v>
      </c>
    </row>
    <row r="804" spans="1:13" x14ac:dyDescent="0.25">
      <c r="A804" s="5" t="s">
        <v>55</v>
      </c>
      <c r="B804" s="3" t="s">
        <v>488</v>
      </c>
      <c r="C804" s="3" t="s">
        <v>492</v>
      </c>
      <c r="D804" s="4">
        <v>2019000</v>
      </c>
      <c r="E804" s="3">
        <v>1798</v>
      </c>
      <c r="F804" s="3">
        <v>4</v>
      </c>
      <c r="G804" s="3" t="s">
        <v>10</v>
      </c>
      <c r="H804" s="3" t="s">
        <v>27</v>
      </c>
      <c r="I804" s="3">
        <v>5</v>
      </c>
      <c r="J804" s="3" t="s">
        <v>30</v>
      </c>
      <c r="K804" s="18">
        <v>140</v>
      </c>
      <c r="L804" s="16">
        <v>173</v>
      </c>
      <c r="M804" s="6" t="str" cm="1">
        <f t="array" ref="M804">_xlfn.IFS(L804&lt;100,"Economy",L804&lt;200,"Standard",L804&lt;350,"Powerful",L804&lt;500,"High Performance",L804&lt;800,"Sports Performance",L804&gt;=800,"Super Performance")</f>
        <v>Standard</v>
      </c>
    </row>
    <row r="805" spans="1:13" x14ac:dyDescent="0.25">
      <c r="A805" s="5" t="s">
        <v>7</v>
      </c>
      <c r="B805" s="3" t="s">
        <v>25</v>
      </c>
      <c r="C805" s="3" t="s">
        <v>34</v>
      </c>
      <c r="D805" s="4">
        <v>854900</v>
      </c>
      <c r="E805" s="3">
        <v>998</v>
      </c>
      <c r="F805" s="3">
        <v>0</v>
      </c>
      <c r="G805" s="3" t="s">
        <v>10</v>
      </c>
      <c r="H805" s="3" t="s">
        <v>27</v>
      </c>
      <c r="I805" s="3">
        <v>5</v>
      </c>
      <c r="J805" s="3" t="s">
        <v>12</v>
      </c>
      <c r="K805" s="18">
        <v>100</v>
      </c>
      <c r="L805" s="16">
        <v>172</v>
      </c>
      <c r="M805" s="6" t="str" cm="1">
        <f t="array" ref="M805">_xlfn.IFS(L805&lt;100,"Economy",L805&lt;200,"Standard",L805&lt;350,"Powerful",L805&lt;500,"High Performance",L805&lt;800,"Sports Performance",L805&gt;=800,"Super Performance")</f>
        <v>Standard</v>
      </c>
    </row>
    <row r="806" spans="1:13" x14ac:dyDescent="0.25">
      <c r="A806" s="5" t="s">
        <v>7</v>
      </c>
      <c r="B806" s="3" t="s">
        <v>863</v>
      </c>
      <c r="C806" s="3" t="s">
        <v>865</v>
      </c>
      <c r="D806" s="4">
        <v>826000</v>
      </c>
      <c r="E806" s="3">
        <v>998</v>
      </c>
      <c r="F806" s="3">
        <v>4</v>
      </c>
      <c r="G806" s="3" t="s">
        <v>10</v>
      </c>
      <c r="H806" s="3" t="s">
        <v>66</v>
      </c>
      <c r="I806" s="3">
        <v>5</v>
      </c>
      <c r="J806" s="3" t="s">
        <v>12</v>
      </c>
      <c r="K806" s="18">
        <v>117</v>
      </c>
      <c r="L806" s="16">
        <v>172</v>
      </c>
      <c r="M806" s="6" t="str" cm="1">
        <f t="array" ref="M806">_xlfn.IFS(L806&lt;100,"Economy",L806&lt;200,"Standard",L806&lt;350,"Powerful",L806&lt;500,"High Performance",L806&lt;800,"Sports Performance",L806&gt;=800,"Super Performance")</f>
        <v>Standard</v>
      </c>
    </row>
    <row r="807" spans="1:13" x14ac:dyDescent="0.25">
      <c r="A807" s="5" t="s">
        <v>7</v>
      </c>
      <c r="B807" s="3" t="s">
        <v>863</v>
      </c>
      <c r="C807" s="3" t="s">
        <v>867</v>
      </c>
      <c r="D807" s="4">
        <v>959000</v>
      </c>
      <c r="E807" s="3">
        <v>998</v>
      </c>
      <c r="F807" s="3">
        <v>4</v>
      </c>
      <c r="G807" s="3" t="s">
        <v>10</v>
      </c>
      <c r="H807" s="3" t="s">
        <v>66</v>
      </c>
      <c r="I807" s="3">
        <v>5</v>
      </c>
      <c r="J807" s="3" t="s">
        <v>12</v>
      </c>
      <c r="K807" s="18">
        <v>117</v>
      </c>
      <c r="L807" s="16">
        <v>172</v>
      </c>
      <c r="M807" s="6" t="str" cm="1">
        <f t="array" ref="M807">_xlfn.IFS(L807&lt;100,"Economy",L807&lt;200,"Standard",L807&lt;350,"Powerful",L807&lt;500,"High Performance",L807&lt;800,"Sports Performance",L807&gt;=800,"Super Performance")</f>
        <v>Standard</v>
      </c>
    </row>
    <row r="808" spans="1:13" x14ac:dyDescent="0.25">
      <c r="A808" s="5" t="s">
        <v>7</v>
      </c>
      <c r="B808" s="3" t="s">
        <v>863</v>
      </c>
      <c r="C808" s="3" t="s">
        <v>868</v>
      </c>
      <c r="D808" s="4">
        <v>974000</v>
      </c>
      <c r="E808" s="3">
        <v>998</v>
      </c>
      <c r="F808" s="3">
        <v>4</v>
      </c>
      <c r="G808" s="3" t="s">
        <v>10</v>
      </c>
      <c r="H808" s="3" t="s">
        <v>66</v>
      </c>
      <c r="I808" s="3">
        <v>5</v>
      </c>
      <c r="J808" s="3" t="s">
        <v>12</v>
      </c>
      <c r="K808" s="18">
        <v>117</v>
      </c>
      <c r="L808" s="16">
        <v>172</v>
      </c>
      <c r="M808" s="6" t="str" cm="1">
        <f t="array" ref="M808">_xlfn.IFS(L808&lt;100,"Economy",L808&lt;200,"Standard",L808&lt;350,"Powerful",L808&lt;500,"High Performance",L808&lt;800,"Sports Performance",L808&gt;=800,"Super Performance")</f>
        <v>Standard</v>
      </c>
    </row>
    <row r="809" spans="1:13" x14ac:dyDescent="0.25">
      <c r="A809" s="5" t="s">
        <v>7</v>
      </c>
      <c r="B809" s="3" t="s">
        <v>863</v>
      </c>
      <c r="C809" s="3" t="s">
        <v>870</v>
      </c>
      <c r="D809" s="4">
        <v>940000</v>
      </c>
      <c r="E809" s="3">
        <v>998</v>
      </c>
      <c r="F809" s="3">
        <v>4</v>
      </c>
      <c r="G809" s="3" t="s">
        <v>10</v>
      </c>
      <c r="H809" s="3" t="s">
        <v>66</v>
      </c>
      <c r="I809" s="3">
        <v>5</v>
      </c>
      <c r="J809" s="3" t="s">
        <v>71</v>
      </c>
      <c r="K809" s="18">
        <v>118</v>
      </c>
      <c r="L809" s="16">
        <v>172</v>
      </c>
      <c r="M809" s="6" t="str" cm="1">
        <f t="array" ref="M809">_xlfn.IFS(L809&lt;100,"Economy",L809&lt;200,"Standard",L809&lt;350,"Powerful",L809&lt;500,"High Performance",L809&lt;800,"Sports Performance",L809&gt;=800,"Super Performance")</f>
        <v>Standard</v>
      </c>
    </row>
    <row r="810" spans="1:13" x14ac:dyDescent="0.25">
      <c r="A810" s="5" t="s">
        <v>7</v>
      </c>
      <c r="B810" s="3" t="s">
        <v>863</v>
      </c>
      <c r="C810" s="3" t="s">
        <v>871</v>
      </c>
      <c r="D810" s="4">
        <v>1115500</v>
      </c>
      <c r="E810" s="3">
        <v>998</v>
      </c>
      <c r="F810" s="3">
        <v>4</v>
      </c>
      <c r="G810" s="3" t="s">
        <v>10</v>
      </c>
      <c r="H810" s="3" t="s">
        <v>66</v>
      </c>
      <c r="I810" s="3">
        <v>5</v>
      </c>
      <c r="J810" s="3" t="s">
        <v>71</v>
      </c>
      <c r="K810" s="18">
        <v>118</v>
      </c>
      <c r="L810" s="16">
        <v>172</v>
      </c>
      <c r="M810" s="6" t="str" cm="1">
        <f t="array" ref="M810">_xlfn.IFS(L810&lt;100,"Economy",L810&lt;200,"Standard",L810&lt;350,"Powerful",L810&lt;500,"High Performance",L810&lt;800,"Sports Performance",L810&gt;=800,"Super Performance")</f>
        <v>Standard</v>
      </c>
    </row>
    <row r="811" spans="1:13" x14ac:dyDescent="0.25">
      <c r="A811" s="5" t="s">
        <v>22</v>
      </c>
      <c r="B811" s="3" t="s">
        <v>632</v>
      </c>
      <c r="C811" s="3" t="s">
        <v>346</v>
      </c>
      <c r="D811" s="4">
        <v>695000</v>
      </c>
      <c r="E811" s="3">
        <v>1198</v>
      </c>
      <c r="F811" s="3">
        <v>3</v>
      </c>
      <c r="G811" s="3" t="s">
        <v>10</v>
      </c>
      <c r="H811" s="3" t="s">
        <v>66</v>
      </c>
      <c r="I811" s="3">
        <v>5</v>
      </c>
      <c r="J811" s="3" t="s">
        <v>12</v>
      </c>
      <c r="K811" s="18">
        <v>110</v>
      </c>
      <c r="L811" s="16">
        <v>170</v>
      </c>
      <c r="M811" s="6" t="str" cm="1">
        <f t="array" ref="M811">_xlfn.IFS(L811&lt;100,"Economy",L811&lt;200,"Standard",L811&lt;350,"Powerful",L811&lt;500,"High Performance",L811&lt;800,"Sports Performance",L811&gt;=800,"Super Performance")</f>
        <v>Standard</v>
      </c>
    </row>
    <row r="812" spans="1:13" x14ac:dyDescent="0.25">
      <c r="A812" s="5" t="s">
        <v>22</v>
      </c>
      <c r="B812" s="3" t="s">
        <v>632</v>
      </c>
      <c r="C812" s="3" t="s">
        <v>348</v>
      </c>
      <c r="D812" s="4">
        <v>770000</v>
      </c>
      <c r="E812" s="3">
        <v>1198</v>
      </c>
      <c r="F812" s="3">
        <v>3</v>
      </c>
      <c r="G812" s="3" t="s">
        <v>10</v>
      </c>
      <c r="H812" s="3" t="s">
        <v>66</v>
      </c>
      <c r="I812" s="3">
        <v>5</v>
      </c>
      <c r="J812" s="3" t="s">
        <v>12</v>
      </c>
      <c r="K812" s="18">
        <v>110</v>
      </c>
      <c r="L812" s="16">
        <v>170</v>
      </c>
      <c r="M812" s="6" t="str" cm="1">
        <f t="array" ref="M812">_xlfn.IFS(L812&lt;100,"Economy",L812&lt;200,"Standard",L812&lt;350,"Powerful",L812&lt;500,"High Performance",L812&lt;800,"Sports Performance",L812&gt;=800,"Super Performance")</f>
        <v>Standard</v>
      </c>
    </row>
    <row r="813" spans="1:13" x14ac:dyDescent="0.25">
      <c r="A813" s="5" t="s">
        <v>22</v>
      </c>
      <c r="B813" s="3" t="s">
        <v>632</v>
      </c>
      <c r="C813" s="3" t="s">
        <v>633</v>
      </c>
      <c r="D813" s="4">
        <v>870000</v>
      </c>
      <c r="E813" s="3">
        <v>1198</v>
      </c>
      <c r="F813" s="3">
        <v>3</v>
      </c>
      <c r="G813" s="3" t="s">
        <v>10</v>
      </c>
      <c r="H813" s="3" t="s">
        <v>66</v>
      </c>
      <c r="I813" s="3">
        <v>5</v>
      </c>
      <c r="J813" s="3" t="s">
        <v>12</v>
      </c>
      <c r="K813" s="18">
        <v>110</v>
      </c>
      <c r="L813" s="16">
        <v>170</v>
      </c>
      <c r="M813" s="6" t="str" cm="1">
        <f t="array" ref="M813">_xlfn.IFS(L813&lt;100,"Economy",L813&lt;200,"Standard",L813&lt;350,"Powerful",L813&lt;500,"High Performance",L813&lt;800,"Sports Performance",L813&gt;=800,"Super Performance")</f>
        <v>Standard</v>
      </c>
    </row>
    <row r="814" spans="1:13" x14ac:dyDescent="0.25">
      <c r="A814" s="5" t="s">
        <v>22</v>
      </c>
      <c r="B814" s="3" t="s">
        <v>632</v>
      </c>
      <c r="C814" s="3" t="s">
        <v>634</v>
      </c>
      <c r="D814" s="4">
        <v>950000</v>
      </c>
      <c r="E814" s="3">
        <v>1198</v>
      </c>
      <c r="F814" s="3">
        <v>3</v>
      </c>
      <c r="G814" s="3" t="s">
        <v>10</v>
      </c>
      <c r="H814" s="3" t="s">
        <v>66</v>
      </c>
      <c r="I814" s="3">
        <v>5</v>
      </c>
      <c r="J814" s="3" t="s">
        <v>12</v>
      </c>
      <c r="K814" s="18">
        <v>110</v>
      </c>
      <c r="L814" s="16">
        <v>170</v>
      </c>
      <c r="M814" s="6" t="str" cm="1">
        <f t="array" ref="M814">_xlfn.IFS(L814&lt;100,"Economy",L814&lt;200,"Standard",L814&lt;350,"Powerful",L814&lt;500,"High Performance",L814&lt;800,"Sports Performance",L814&gt;=800,"Super Performance")</f>
        <v>Standard</v>
      </c>
    </row>
    <row r="815" spans="1:13" x14ac:dyDescent="0.25">
      <c r="A815" s="5" t="s">
        <v>22</v>
      </c>
      <c r="B815" s="3" t="s">
        <v>632</v>
      </c>
      <c r="C815" s="3" t="s">
        <v>635</v>
      </c>
      <c r="D815" s="4">
        <v>970000</v>
      </c>
      <c r="E815" s="3">
        <v>1198</v>
      </c>
      <c r="F815" s="3">
        <v>3</v>
      </c>
      <c r="G815" s="3" t="s">
        <v>10</v>
      </c>
      <c r="H815" s="3" t="s">
        <v>66</v>
      </c>
      <c r="I815" s="3">
        <v>5</v>
      </c>
      <c r="J815" s="3" t="s">
        <v>12</v>
      </c>
      <c r="K815" s="18">
        <v>110</v>
      </c>
      <c r="L815" s="16">
        <v>170</v>
      </c>
      <c r="M815" s="6" t="str" cm="1">
        <f t="array" ref="M815">_xlfn.IFS(L815&lt;100,"Economy",L815&lt;200,"Standard",L815&lt;350,"Powerful",L815&lt;500,"High Performance",L815&lt;800,"Sports Performance",L815&gt;=800,"Super Performance")</f>
        <v>Standard</v>
      </c>
    </row>
    <row r="816" spans="1:13" x14ac:dyDescent="0.25">
      <c r="A816" s="5" t="s">
        <v>22</v>
      </c>
      <c r="B816" s="3" t="s">
        <v>632</v>
      </c>
      <c r="C816" s="3" t="s">
        <v>636</v>
      </c>
      <c r="D816" s="4">
        <v>1040000</v>
      </c>
      <c r="E816" s="3">
        <v>1198</v>
      </c>
      <c r="F816" s="3">
        <v>3</v>
      </c>
      <c r="G816" s="3" t="s">
        <v>10</v>
      </c>
      <c r="H816" s="3" t="s">
        <v>66</v>
      </c>
      <c r="I816" s="3">
        <v>5</v>
      </c>
      <c r="J816" s="3" t="s">
        <v>12</v>
      </c>
      <c r="K816" s="18">
        <v>110</v>
      </c>
      <c r="L816" s="16">
        <v>170</v>
      </c>
      <c r="M816" s="6" t="str" cm="1">
        <f t="array" ref="M816">_xlfn.IFS(L816&lt;100,"Economy",L816&lt;200,"Standard",L816&lt;350,"Powerful",L816&lt;500,"High Performance",L816&lt;800,"Sports Performance",L816&gt;=800,"Super Performance")</f>
        <v>Standard</v>
      </c>
    </row>
    <row r="817" spans="1:13" x14ac:dyDescent="0.25">
      <c r="A817" s="5" t="s">
        <v>22</v>
      </c>
      <c r="B817" s="3" t="s">
        <v>632</v>
      </c>
      <c r="C817" s="3" t="s">
        <v>637</v>
      </c>
      <c r="D817" s="4">
        <v>1060000</v>
      </c>
      <c r="E817" s="3">
        <v>1198</v>
      </c>
      <c r="F817" s="3">
        <v>3</v>
      </c>
      <c r="G817" s="3" t="s">
        <v>10</v>
      </c>
      <c r="H817" s="3" t="s">
        <v>66</v>
      </c>
      <c r="I817" s="3">
        <v>5</v>
      </c>
      <c r="J817" s="3" t="s">
        <v>30</v>
      </c>
      <c r="K817" s="18">
        <v>110</v>
      </c>
      <c r="L817" s="16">
        <v>170</v>
      </c>
      <c r="M817" s="6" t="str" cm="1">
        <f t="array" ref="M817">_xlfn.IFS(L817&lt;100,"Economy",L817&lt;200,"Standard",L817&lt;350,"Powerful",L817&lt;500,"High Performance",L817&lt;800,"Sports Performance",L817&gt;=800,"Super Performance")</f>
        <v>Standard</v>
      </c>
    </row>
    <row r="818" spans="1:13" x14ac:dyDescent="0.25">
      <c r="A818" s="5" t="s">
        <v>22</v>
      </c>
      <c r="B818" s="3" t="s">
        <v>632</v>
      </c>
      <c r="C818" s="3" t="s">
        <v>349</v>
      </c>
      <c r="D818" s="4">
        <v>830000</v>
      </c>
      <c r="E818" s="3">
        <v>1198</v>
      </c>
      <c r="F818" s="3">
        <v>3</v>
      </c>
      <c r="G818" s="3" t="s">
        <v>10</v>
      </c>
      <c r="H818" s="3" t="s">
        <v>66</v>
      </c>
      <c r="I818" s="3">
        <v>5</v>
      </c>
      <c r="J818" s="3" t="s">
        <v>30</v>
      </c>
      <c r="K818" s="18">
        <v>110</v>
      </c>
      <c r="L818" s="16">
        <v>170</v>
      </c>
      <c r="M818" s="6" t="str" cm="1">
        <f t="array" ref="M818">_xlfn.IFS(L818&lt;100,"Economy",L818&lt;200,"Standard",L818&lt;350,"Powerful",L818&lt;500,"High Performance",L818&lt;800,"Sports Performance",L818&gt;=800,"Super Performance")</f>
        <v>Standard</v>
      </c>
    </row>
    <row r="819" spans="1:13" x14ac:dyDescent="0.25">
      <c r="A819" s="5" t="s">
        <v>22</v>
      </c>
      <c r="B819" s="3" t="s">
        <v>632</v>
      </c>
      <c r="C819" s="3" t="s">
        <v>638</v>
      </c>
      <c r="D819" s="4">
        <v>1010000</v>
      </c>
      <c r="E819" s="3">
        <v>1198</v>
      </c>
      <c r="F819" s="3">
        <v>3</v>
      </c>
      <c r="G819" s="3" t="s">
        <v>10</v>
      </c>
      <c r="H819" s="3" t="s">
        <v>66</v>
      </c>
      <c r="I819" s="3">
        <v>5</v>
      </c>
      <c r="J819" s="3" t="s">
        <v>30</v>
      </c>
      <c r="K819" s="18">
        <v>110</v>
      </c>
      <c r="L819" s="16">
        <v>170</v>
      </c>
      <c r="M819" s="6" t="str" cm="1">
        <f t="array" ref="M819">_xlfn.IFS(L819&lt;100,"Economy",L819&lt;200,"Standard",L819&lt;350,"Powerful",L819&lt;500,"High Performance",L819&lt;800,"Sports Performance",L819&gt;=800,"Super Performance")</f>
        <v>Standard</v>
      </c>
    </row>
    <row r="820" spans="1:13" x14ac:dyDescent="0.25">
      <c r="A820" s="5" t="s">
        <v>22</v>
      </c>
      <c r="B820" s="3" t="s">
        <v>632</v>
      </c>
      <c r="C820" s="3" t="s">
        <v>639</v>
      </c>
      <c r="D820" s="4">
        <v>1030000</v>
      </c>
      <c r="E820" s="3">
        <v>1198</v>
      </c>
      <c r="F820" s="3">
        <v>3</v>
      </c>
      <c r="G820" s="3" t="s">
        <v>10</v>
      </c>
      <c r="H820" s="3" t="s">
        <v>66</v>
      </c>
      <c r="I820" s="3">
        <v>5</v>
      </c>
      <c r="J820" s="3" t="s">
        <v>30</v>
      </c>
      <c r="K820" s="18">
        <v>110</v>
      </c>
      <c r="L820" s="16">
        <v>170</v>
      </c>
      <c r="M820" s="6" t="str" cm="1">
        <f t="array" ref="M820">_xlfn.IFS(L820&lt;100,"Economy",L820&lt;200,"Standard",L820&lt;350,"Powerful",L820&lt;500,"High Performance",L820&lt;800,"Sports Performance",L820&gt;=800,"Super Performance")</f>
        <v>Standard</v>
      </c>
    </row>
    <row r="821" spans="1:13" x14ac:dyDescent="0.25">
      <c r="A821" s="5" t="s">
        <v>22</v>
      </c>
      <c r="B821" s="3" t="s">
        <v>632</v>
      </c>
      <c r="C821" s="3" t="s">
        <v>640</v>
      </c>
      <c r="D821" s="4">
        <v>1100000</v>
      </c>
      <c r="E821" s="3">
        <v>1198</v>
      </c>
      <c r="F821" s="3">
        <v>3</v>
      </c>
      <c r="G821" s="3" t="s">
        <v>10</v>
      </c>
      <c r="H821" s="3" t="s">
        <v>66</v>
      </c>
      <c r="I821" s="3">
        <v>5</v>
      </c>
      <c r="J821" s="3" t="s">
        <v>30</v>
      </c>
      <c r="K821" s="18">
        <v>110</v>
      </c>
      <c r="L821" s="16">
        <v>170</v>
      </c>
      <c r="M821" s="6" t="str" cm="1">
        <f t="array" ref="M821">_xlfn.IFS(L821&lt;100,"Economy",L821&lt;200,"Standard",L821&lt;350,"Powerful",L821&lt;500,"High Performance",L821&lt;800,"Sports Performance",L821&gt;=800,"Super Performance")</f>
        <v>Standard</v>
      </c>
    </row>
    <row r="822" spans="1:13" x14ac:dyDescent="0.25">
      <c r="A822" s="5" t="s">
        <v>22</v>
      </c>
      <c r="B822" s="3" t="s">
        <v>632</v>
      </c>
      <c r="C822" s="3" t="s">
        <v>641</v>
      </c>
      <c r="D822" s="4">
        <v>1120000</v>
      </c>
      <c r="E822" s="3">
        <v>1198</v>
      </c>
      <c r="F822" s="3">
        <v>3</v>
      </c>
      <c r="G822" s="3" t="s">
        <v>10</v>
      </c>
      <c r="H822" s="3" t="s">
        <v>66</v>
      </c>
      <c r="I822" s="3">
        <v>5</v>
      </c>
      <c r="J822" s="3" t="s">
        <v>30</v>
      </c>
      <c r="K822" s="18">
        <v>110</v>
      </c>
      <c r="L822" s="16">
        <v>170</v>
      </c>
      <c r="M822" s="6" t="str" cm="1">
        <f t="array" ref="M822">_xlfn.IFS(L822&lt;100,"Economy",L822&lt;200,"Standard",L822&lt;350,"Powerful",L822&lt;500,"High Performance",L822&lt;800,"Sports Performance",L822&gt;=800,"Super Performance")</f>
        <v>Standard</v>
      </c>
    </row>
    <row r="823" spans="1:13" x14ac:dyDescent="0.25">
      <c r="A823" s="5" t="s">
        <v>55</v>
      </c>
      <c r="B823" s="3" t="s">
        <v>1161</v>
      </c>
      <c r="C823" s="3" t="s">
        <v>1162</v>
      </c>
      <c r="D823" s="4">
        <v>647800</v>
      </c>
      <c r="E823" s="3">
        <v>1364</v>
      </c>
      <c r="F823" s="3">
        <v>4</v>
      </c>
      <c r="G823" s="3" t="s">
        <v>36</v>
      </c>
      <c r="H823" s="3" t="s">
        <v>11</v>
      </c>
      <c r="I823" s="3">
        <v>5</v>
      </c>
      <c r="J823" s="3" t="s">
        <v>12</v>
      </c>
      <c r="K823" s="18">
        <v>68</v>
      </c>
      <c r="L823" s="16">
        <v>170</v>
      </c>
      <c r="M823" s="6" t="str" cm="1">
        <f t="array" ref="M823">_xlfn.IFS(L823&lt;100,"Economy",L823&lt;200,"Standard",L823&lt;350,"Powerful",L823&lt;500,"High Performance",L823&lt;800,"Sports Performance",L823&gt;=800,"Super Performance")</f>
        <v>Standard</v>
      </c>
    </row>
    <row r="824" spans="1:13" x14ac:dyDescent="0.25">
      <c r="A824" s="5" t="s">
        <v>55</v>
      </c>
      <c r="B824" s="3" t="s">
        <v>1161</v>
      </c>
      <c r="C824" s="3" t="s">
        <v>1164</v>
      </c>
      <c r="D824" s="4">
        <v>704000</v>
      </c>
      <c r="E824" s="3">
        <v>1364</v>
      </c>
      <c r="F824" s="3">
        <v>4</v>
      </c>
      <c r="G824" s="3" t="s">
        <v>36</v>
      </c>
      <c r="H824" s="3" t="s">
        <v>11</v>
      </c>
      <c r="I824" s="3">
        <v>5</v>
      </c>
      <c r="J824" s="3" t="s">
        <v>12</v>
      </c>
      <c r="K824" s="18">
        <v>68</v>
      </c>
      <c r="L824" s="16">
        <v>170</v>
      </c>
      <c r="M824" s="6" t="str" cm="1">
        <f t="array" ref="M824">_xlfn.IFS(L824&lt;100,"Economy",L824&lt;200,"Standard",L824&lt;350,"Powerful",L824&lt;500,"High Performance",L824&lt;800,"Sports Performance",L824&gt;=800,"Super Performance")</f>
        <v>Standard</v>
      </c>
    </row>
    <row r="825" spans="1:13" x14ac:dyDescent="0.25">
      <c r="A825" s="5" t="s">
        <v>55</v>
      </c>
      <c r="B825" s="3" t="s">
        <v>1161</v>
      </c>
      <c r="C825" s="3" t="s">
        <v>1165</v>
      </c>
      <c r="D825" s="4">
        <v>745000</v>
      </c>
      <c r="E825" s="3">
        <v>1364</v>
      </c>
      <c r="F825" s="3">
        <v>4</v>
      </c>
      <c r="G825" s="3" t="s">
        <v>36</v>
      </c>
      <c r="H825" s="3" t="s">
        <v>11</v>
      </c>
      <c r="I825" s="3">
        <v>5</v>
      </c>
      <c r="J825" s="3" t="s">
        <v>12</v>
      </c>
      <c r="K825" s="18">
        <v>68</v>
      </c>
      <c r="L825" s="16">
        <v>170</v>
      </c>
      <c r="M825" s="6" t="str" cm="1">
        <f t="array" ref="M825">_xlfn.IFS(L825&lt;100,"Economy",L825&lt;200,"Standard",L825&lt;350,"Powerful",L825&lt;500,"High Performance",L825&lt;800,"Sports Performance",L825&gt;=800,"Super Performance")</f>
        <v>Standard</v>
      </c>
    </row>
    <row r="826" spans="1:13" x14ac:dyDescent="0.25">
      <c r="A826" s="5" t="s">
        <v>55</v>
      </c>
      <c r="B826" s="3" t="s">
        <v>1161</v>
      </c>
      <c r="C826" s="3" t="s">
        <v>1166</v>
      </c>
      <c r="D826" s="4">
        <v>756700</v>
      </c>
      <c r="E826" s="3">
        <v>1364</v>
      </c>
      <c r="F826" s="3">
        <v>4</v>
      </c>
      <c r="G826" s="3" t="s">
        <v>36</v>
      </c>
      <c r="H826" s="3" t="s">
        <v>11</v>
      </c>
      <c r="I826" s="3">
        <v>5</v>
      </c>
      <c r="J826" s="3" t="s">
        <v>12</v>
      </c>
      <c r="K826" s="18">
        <v>68</v>
      </c>
      <c r="L826" s="16">
        <v>170</v>
      </c>
      <c r="M826" s="6" t="str" cm="1">
        <f t="array" ref="M826">_xlfn.IFS(L826&lt;100,"Economy",L826&lt;200,"Standard",L826&lt;350,"Powerful",L826&lt;500,"High Performance",L826&lt;800,"Sports Performance",L826&gt;=800,"Super Performance")</f>
        <v>Standard</v>
      </c>
    </row>
    <row r="827" spans="1:13" x14ac:dyDescent="0.25">
      <c r="A827" s="5" t="s">
        <v>55</v>
      </c>
      <c r="B827" s="3" t="s">
        <v>1161</v>
      </c>
      <c r="C827" s="3" t="s">
        <v>1167</v>
      </c>
      <c r="D827" s="4">
        <v>720700</v>
      </c>
      <c r="E827" s="3">
        <v>1364</v>
      </c>
      <c r="F827" s="3">
        <v>4</v>
      </c>
      <c r="G827" s="3" t="s">
        <v>36</v>
      </c>
      <c r="H827" s="3" t="s">
        <v>11</v>
      </c>
      <c r="I827" s="3">
        <v>5</v>
      </c>
      <c r="J827" s="3" t="s">
        <v>12</v>
      </c>
      <c r="K827" s="18">
        <v>68</v>
      </c>
      <c r="L827" s="16">
        <v>170</v>
      </c>
      <c r="M827" s="6" t="str" cm="1">
        <f t="array" ref="M827">_xlfn.IFS(L827&lt;100,"Economy",L827&lt;200,"Standard",L827&lt;350,"Powerful",L827&lt;500,"High Performance",L827&lt;800,"Sports Performance",L827&gt;=800,"Super Performance")</f>
        <v>Standard</v>
      </c>
    </row>
    <row r="828" spans="1:13" x14ac:dyDescent="0.25">
      <c r="A828" s="5" t="s">
        <v>55</v>
      </c>
      <c r="B828" s="3" t="s">
        <v>1161</v>
      </c>
      <c r="C828" s="3" t="s">
        <v>1170</v>
      </c>
      <c r="D828" s="4">
        <v>686000</v>
      </c>
      <c r="E828" s="3">
        <v>1364</v>
      </c>
      <c r="F828" s="3">
        <v>4</v>
      </c>
      <c r="G828" s="3" t="s">
        <v>36</v>
      </c>
      <c r="H828" s="3" t="s">
        <v>11</v>
      </c>
      <c r="I828" s="3">
        <v>5</v>
      </c>
      <c r="J828" s="3" t="s">
        <v>12</v>
      </c>
      <c r="K828" s="18">
        <v>68</v>
      </c>
      <c r="L828" s="16">
        <v>170</v>
      </c>
      <c r="M828" s="6" t="str" cm="1">
        <f t="array" ref="M828">_xlfn.IFS(L828&lt;100,"Economy",L828&lt;200,"Standard",L828&lt;350,"Powerful",L828&lt;500,"High Performance",L828&lt;800,"Sports Performance",L828&gt;=800,"Super Performance")</f>
        <v>Standard</v>
      </c>
    </row>
    <row r="829" spans="1:13" x14ac:dyDescent="0.25">
      <c r="A829" s="5" t="s">
        <v>55</v>
      </c>
      <c r="B829" s="3" t="s">
        <v>1161</v>
      </c>
      <c r="C829" s="3" t="s">
        <v>1172</v>
      </c>
      <c r="D829" s="4">
        <v>777700</v>
      </c>
      <c r="E829" s="3">
        <v>1364</v>
      </c>
      <c r="F829" s="3">
        <v>4</v>
      </c>
      <c r="G829" s="3" t="s">
        <v>36</v>
      </c>
      <c r="H829" s="3" t="s">
        <v>11</v>
      </c>
      <c r="I829" s="3">
        <v>5</v>
      </c>
      <c r="J829" s="3" t="s">
        <v>12</v>
      </c>
      <c r="K829" s="18">
        <v>68</v>
      </c>
      <c r="L829" s="16">
        <v>170</v>
      </c>
      <c r="M829" s="6" t="str" cm="1">
        <f t="array" ref="M829">_xlfn.IFS(L829&lt;100,"Economy",L829&lt;200,"Standard",L829&lt;350,"Powerful",L829&lt;500,"High Performance",L829&lt;800,"Sports Performance",L829&gt;=800,"Super Performance")</f>
        <v>Standard</v>
      </c>
    </row>
    <row r="830" spans="1:13" x14ac:dyDescent="0.25">
      <c r="A830" s="5" t="s">
        <v>55</v>
      </c>
      <c r="B830" s="3" t="s">
        <v>1185</v>
      </c>
      <c r="C830" s="3" t="s">
        <v>1162</v>
      </c>
      <c r="D830" s="4">
        <v>734700</v>
      </c>
      <c r="E830" s="3">
        <v>1364</v>
      </c>
      <c r="F830" s="3">
        <v>4</v>
      </c>
      <c r="G830" s="3" t="s">
        <v>36</v>
      </c>
      <c r="H830" s="3" t="s">
        <v>27</v>
      </c>
      <c r="I830" s="3">
        <v>5</v>
      </c>
      <c r="J830" s="3" t="s">
        <v>12</v>
      </c>
      <c r="K830" s="18">
        <v>68</v>
      </c>
      <c r="L830" s="16">
        <v>170</v>
      </c>
      <c r="M830" s="6" t="str" cm="1">
        <f t="array" ref="M830">_xlfn.IFS(L830&lt;100,"Economy",L830&lt;200,"Standard",L830&lt;350,"Powerful",L830&lt;500,"High Performance",L830&lt;800,"Sports Performance",L830&gt;=800,"Super Performance")</f>
        <v>Standard</v>
      </c>
    </row>
    <row r="831" spans="1:13" x14ac:dyDescent="0.25">
      <c r="A831" s="5" t="s">
        <v>55</v>
      </c>
      <c r="B831" s="3" t="s">
        <v>1185</v>
      </c>
      <c r="C831" s="3" t="s">
        <v>1164</v>
      </c>
      <c r="D831" s="4">
        <v>828600</v>
      </c>
      <c r="E831" s="3">
        <v>1364</v>
      </c>
      <c r="F831" s="3">
        <v>4</v>
      </c>
      <c r="G831" s="3" t="s">
        <v>36</v>
      </c>
      <c r="H831" s="3" t="s">
        <v>27</v>
      </c>
      <c r="I831" s="3">
        <v>5</v>
      </c>
      <c r="J831" s="3" t="s">
        <v>12</v>
      </c>
      <c r="K831" s="18">
        <v>68</v>
      </c>
      <c r="L831" s="16">
        <v>170</v>
      </c>
      <c r="M831" s="6" t="str" cm="1">
        <f t="array" ref="M831">_xlfn.IFS(L831&lt;100,"Economy",L831&lt;200,"Standard",L831&lt;350,"Powerful",L831&lt;500,"High Performance",L831&lt;800,"Sports Performance",L831&gt;=800,"Super Performance")</f>
        <v>Standard</v>
      </c>
    </row>
    <row r="832" spans="1:13" x14ac:dyDescent="0.25">
      <c r="A832" s="5" t="s">
        <v>55</v>
      </c>
      <c r="B832" s="3" t="s">
        <v>1185</v>
      </c>
      <c r="C832" s="3" t="s">
        <v>1165</v>
      </c>
      <c r="D832" s="4">
        <v>888400</v>
      </c>
      <c r="E832" s="3">
        <v>1364</v>
      </c>
      <c r="F832" s="3">
        <v>4</v>
      </c>
      <c r="G832" s="3" t="s">
        <v>36</v>
      </c>
      <c r="H832" s="3" t="s">
        <v>27</v>
      </c>
      <c r="I832" s="3">
        <v>5</v>
      </c>
      <c r="J832" s="3" t="s">
        <v>12</v>
      </c>
      <c r="K832" s="18">
        <v>68</v>
      </c>
      <c r="L832" s="16">
        <v>170</v>
      </c>
      <c r="M832" s="6" t="str" cm="1">
        <f t="array" ref="M832">_xlfn.IFS(L832&lt;100,"Economy",L832&lt;200,"Standard",L832&lt;350,"Powerful",L832&lt;500,"High Performance",L832&lt;800,"Sports Performance",L832&gt;=800,"Super Performance")</f>
        <v>Standard</v>
      </c>
    </row>
    <row r="833" spans="1:13" x14ac:dyDescent="0.25">
      <c r="A833" s="5" t="s">
        <v>55</v>
      </c>
      <c r="B833" s="3" t="s">
        <v>1185</v>
      </c>
      <c r="C833" s="3" t="s">
        <v>1170</v>
      </c>
      <c r="D833" s="4">
        <v>799600</v>
      </c>
      <c r="E833" s="3">
        <v>1364</v>
      </c>
      <c r="F833" s="3">
        <v>4</v>
      </c>
      <c r="G833" s="3" t="s">
        <v>36</v>
      </c>
      <c r="H833" s="3" t="s">
        <v>27</v>
      </c>
      <c r="I833" s="3">
        <v>5</v>
      </c>
      <c r="J833" s="3" t="s">
        <v>12</v>
      </c>
      <c r="K833" s="18">
        <v>68</v>
      </c>
      <c r="L833" s="16">
        <v>170</v>
      </c>
      <c r="M833" s="6" t="str" cm="1">
        <f t="array" ref="M833">_xlfn.IFS(L833&lt;100,"Economy",L833&lt;200,"Standard",L833&lt;350,"Powerful",L833&lt;500,"High Performance",L833&lt;800,"Sports Performance",L833&gt;=800,"Super Performance")</f>
        <v>Standard</v>
      </c>
    </row>
    <row r="834" spans="1:13" x14ac:dyDescent="0.25">
      <c r="A834" s="5" t="s">
        <v>55</v>
      </c>
      <c r="B834" s="3" t="s">
        <v>1185</v>
      </c>
      <c r="C834" s="3" t="s">
        <v>1187</v>
      </c>
      <c r="D834" s="4">
        <v>913400</v>
      </c>
      <c r="E834" s="3">
        <v>1364</v>
      </c>
      <c r="F834" s="3">
        <v>4</v>
      </c>
      <c r="G834" s="3" t="s">
        <v>36</v>
      </c>
      <c r="H834" s="3" t="s">
        <v>27</v>
      </c>
      <c r="I834" s="3">
        <v>5</v>
      </c>
      <c r="J834" s="3" t="s">
        <v>12</v>
      </c>
      <c r="K834" s="18">
        <v>68</v>
      </c>
      <c r="L834" s="16">
        <v>170</v>
      </c>
      <c r="M834" s="6" t="str" cm="1">
        <f t="array" ref="M834">_xlfn.IFS(L834&lt;100,"Economy",L834&lt;200,"Standard",L834&lt;350,"Powerful",L834&lt;500,"High Performance",L834&lt;800,"Sports Performance",L834&gt;=800,"Super Performance")</f>
        <v>Standard</v>
      </c>
    </row>
    <row r="835" spans="1:13" x14ac:dyDescent="0.25">
      <c r="A835" s="5" t="s">
        <v>55</v>
      </c>
      <c r="B835" s="3" t="s">
        <v>461</v>
      </c>
      <c r="C835" s="3" t="s">
        <v>1162</v>
      </c>
      <c r="D835" s="4">
        <v>766000</v>
      </c>
      <c r="E835" s="3">
        <v>1364</v>
      </c>
      <c r="F835" s="3">
        <v>4</v>
      </c>
      <c r="G835" s="3" t="s">
        <v>36</v>
      </c>
      <c r="H835" s="3" t="s">
        <v>11</v>
      </c>
      <c r="I835" s="3">
        <v>5</v>
      </c>
      <c r="J835" s="3" t="s">
        <v>12</v>
      </c>
      <c r="K835" s="18">
        <v>68</v>
      </c>
      <c r="L835" s="16">
        <v>170</v>
      </c>
      <c r="M835" s="6" t="str" cm="1">
        <f t="array" ref="M835">_xlfn.IFS(L835&lt;100,"Economy",L835&lt;200,"Standard",L835&lt;350,"Powerful",L835&lt;500,"High Performance",L835&lt;800,"Sports Performance",L835&gt;=800,"Super Performance")</f>
        <v>Standard</v>
      </c>
    </row>
    <row r="836" spans="1:13" x14ac:dyDescent="0.25">
      <c r="A836" s="5" t="s">
        <v>55</v>
      </c>
      <c r="B836" s="3" t="s">
        <v>461</v>
      </c>
      <c r="C836" s="3" t="s">
        <v>1164</v>
      </c>
      <c r="D836" s="4">
        <v>797500</v>
      </c>
      <c r="E836" s="3">
        <v>1364</v>
      </c>
      <c r="F836" s="3">
        <v>4</v>
      </c>
      <c r="G836" s="3" t="s">
        <v>36</v>
      </c>
      <c r="H836" s="3" t="s">
        <v>11</v>
      </c>
      <c r="I836" s="3">
        <v>5</v>
      </c>
      <c r="J836" s="3" t="s">
        <v>12</v>
      </c>
      <c r="K836" s="18">
        <v>68</v>
      </c>
      <c r="L836" s="16">
        <v>170</v>
      </c>
      <c r="M836" s="6" t="str" cm="1">
        <f t="array" ref="M836">_xlfn.IFS(L836&lt;100,"Economy",L836&lt;200,"Standard",L836&lt;350,"Powerful",L836&lt;500,"High Performance",L836&lt;800,"Sports Performance",L836&gt;=800,"Super Performance")</f>
        <v>Standard</v>
      </c>
    </row>
    <row r="837" spans="1:13" x14ac:dyDescent="0.25">
      <c r="A837" s="5" t="s">
        <v>55</v>
      </c>
      <c r="B837" s="3" t="s">
        <v>461</v>
      </c>
      <c r="C837" s="3" t="s">
        <v>1189</v>
      </c>
      <c r="D837" s="4">
        <v>816000</v>
      </c>
      <c r="E837" s="3">
        <v>1364</v>
      </c>
      <c r="F837" s="3">
        <v>4</v>
      </c>
      <c r="G837" s="3" t="s">
        <v>36</v>
      </c>
      <c r="H837" s="3" t="s">
        <v>11</v>
      </c>
      <c r="I837" s="3">
        <v>5</v>
      </c>
      <c r="J837" s="3" t="s">
        <v>12</v>
      </c>
      <c r="K837" s="18">
        <v>68</v>
      </c>
      <c r="L837" s="16">
        <v>170</v>
      </c>
      <c r="M837" s="6" t="str" cm="1">
        <f t="array" ref="M837">_xlfn.IFS(L837&lt;100,"Economy",L837&lt;200,"Standard",L837&lt;350,"Powerful",L837&lt;500,"High Performance",L837&lt;800,"Sports Performance",L837&gt;=800,"Super Performance")</f>
        <v>Standard</v>
      </c>
    </row>
    <row r="838" spans="1:13" x14ac:dyDescent="0.25">
      <c r="A838" s="5" t="s">
        <v>330</v>
      </c>
      <c r="B838" s="3" t="s">
        <v>685</v>
      </c>
      <c r="C838" s="3" t="s">
        <v>800</v>
      </c>
      <c r="D838" s="4">
        <v>743504</v>
      </c>
      <c r="E838" s="3">
        <v>1461</v>
      </c>
      <c r="F838" s="3">
        <v>4</v>
      </c>
      <c r="G838" s="3" t="s">
        <v>36</v>
      </c>
      <c r="H838" s="3" t="s">
        <v>11</v>
      </c>
      <c r="I838" s="3">
        <v>5</v>
      </c>
      <c r="J838" s="3" t="s">
        <v>12</v>
      </c>
      <c r="K838" s="18">
        <v>64</v>
      </c>
      <c r="L838" s="16">
        <v>160</v>
      </c>
      <c r="M838" s="6" t="str" cm="1">
        <f t="array" ref="M838">_xlfn.IFS(L838&lt;100,"Economy",L838&lt;200,"Standard",L838&lt;350,"Powerful",L838&lt;500,"High Performance",L838&lt;800,"Sports Performance",L838&gt;=800,"Super Performance")</f>
        <v>Standard</v>
      </c>
    </row>
    <row r="839" spans="1:13" x14ac:dyDescent="0.25">
      <c r="A839" s="5" t="s">
        <v>131</v>
      </c>
      <c r="B839" s="3" t="s">
        <v>844</v>
      </c>
      <c r="C839" s="3" t="s">
        <v>848</v>
      </c>
      <c r="D839" s="4">
        <v>865000</v>
      </c>
      <c r="E839" s="3">
        <v>1498</v>
      </c>
      <c r="F839" s="3">
        <v>4</v>
      </c>
      <c r="G839" s="3" t="s">
        <v>36</v>
      </c>
      <c r="H839" s="3" t="s">
        <v>27</v>
      </c>
      <c r="I839" s="3">
        <v>5</v>
      </c>
      <c r="J839" s="3" t="s">
        <v>30</v>
      </c>
      <c r="K839" s="18">
        <v>80</v>
      </c>
      <c r="L839" s="16">
        <v>160</v>
      </c>
      <c r="M839" s="6" t="str" cm="1">
        <f t="array" ref="M839">_xlfn.IFS(L839&lt;100,"Economy",L839&lt;200,"Standard",L839&lt;350,"Powerful",L839&lt;500,"High Performance",L839&lt;800,"Sports Performance",L839&gt;=800,"Super Performance")</f>
        <v>Standard</v>
      </c>
    </row>
    <row r="840" spans="1:13" x14ac:dyDescent="0.25">
      <c r="A840" s="5" t="s">
        <v>131</v>
      </c>
      <c r="B840" s="3" t="s">
        <v>844</v>
      </c>
      <c r="C840" s="3" t="s">
        <v>850</v>
      </c>
      <c r="D840" s="4">
        <v>925000</v>
      </c>
      <c r="E840" s="3">
        <v>1498</v>
      </c>
      <c r="F840" s="3">
        <v>4</v>
      </c>
      <c r="G840" s="3" t="s">
        <v>36</v>
      </c>
      <c r="H840" s="3" t="s">
        <v>27</v>
      </c>
      <c r="I840" s="3">
        <v>5</v>
      </c>
      <c r="J840" s="3" t="s">
        <v>30</v>
      </c>
      <c r="K840" s="18">
        <v>80</v>
      </c>
      <c r="L840" s="16">
        <v>160</v>
      </c>
      <c r="M840" s="6" t="str" cm="1">
        <f t="array" ref="M840">_xlfn.IFS(L840&lt;100,"Economy",L840&lt;200,"Standard",L840&lt;350,"Powerful",L840&lt;500,"High Performance",L840&lt;800,"Sports Performance",L840&gt;=800,"Super Performance")</f>
        <v>Standard</v>
      </c>
    </row>
    <row r="841" spans="1:13" x14ac:dyDescent="0.25">
      <c r="A841" s="5" t="s">
        <v>202</v>
      </c>
      <c r="B841" s="3" t="s">
        <v>1188</v>
      </c>
      <c r="C841" s="3" t="s">
        <v>317</v>
      </c>
      <c r="D841" s="4">
        <v>750428</v>
      </c>
      <c r="E841" s="3">
        <v>1461</v>
      </c>
      <c r="F841" s="3">
        <v>4</v>
      </c>
      <c r="G841" s="3" t="s">
        <v>36</v>
      </c>
      <c r="H841" s="3" t="s">
        <v>11</v>
      </c>
      <c r="I841" s="3">
        <v>5</v>
      </c>
      <c r="J841" s="3" t="s">
        <v>12</v>
      </c>
      <c r="K841" s="18">
        <v>65</v>
      </c>
      <c r="L841" s="16">
        <v>160</v>
      </c>
      <c r="M841" s="6" t="str" cm="1">
        <f t="array" ref="M841">_xlfn.IFS(L841&lt;100,"Economy",L841&lt;200,"Standard",L841&lt;350,"Powerful",L841&lt;500,"High Performance",L841&lt;800,"Sports Performance",L841&gt;=800,"Super Performance")</f>
        <v>Standard</v>
      </c>
    </row>
    <row r="842" spans="1:13" x14ac:dyDescent="0.25">
      <c r="A842" s="5" t="s">
        <v>202</v>
      </c>
      <c r="B842" s="3" t="s">
        <v>1188</v>
      </c>
      <c r="C842" s="3" t="s">
        <v>315</v>
      </c>
      <c r="D842" s="4">
        <v>685729</v>
      </c>
      <c r="E842" s="3">
        <v>1461</v>
      </c>
      <c r="F842" s="3">
        <v>4</v>
      </c>
      <c r="G842" s="3" t="s">
        <v>36</v>
      </c>
      <c r="H842" s="3" t="s">
        <v>11</v>
      </c>
      <c r="I842" s="3">
        <v>5</v>
      </c>
      <c r="J842" s="3" t="s">
        <v>12</v>
      </c>
      <c r="K842" s="18">
        <v>65</v>
      </c>
      <c r="L842" s="16">
        <v>160</v>
      </c>
      <c r="M842" s="6" t="str" cm="1">
        <f t="array" ref="M842">_xlfn.IFS(L842&lt;100,"Economy",L842&lt;200,"Standard",L842&lt;350,"Powerful",L842&lt;500,"High Performance",L842&lt;800,"Sports Performance",L842&gt;=800,"Super Performance")</f>
        <v>Standard</v>
      </c>
    </row>
    <row r="843" spans="1:13" x14ac:dyDescent="0.25">
      <c r="A843" s="5" t="s">
        <v>202</v>
      </c>
      <c r="B843" s="3" t="s">
        <v>1188</v>
      </c>
      <c r="C843" s="3" t="s">
        <v>316</v>
      </c>
      <c r="D843" s="4">
        <v>657628</v>
      </c>
      <c r="E843" s="3">
        <v>1461</v>
      </c>
      <c r="F843" s="3">
        <v>4</v>
      </c>
      <c r="G843" s="3" t="s">
        <v>36</v>
      </c>
      <c r="H843" s="3" t="s">
        <v>11</v>
      </c>
      <c r="I843" s="3">
        <v>5</v>
      </c>
      <c r="J843" s="3" t="s">
        <v>12</v>
      </c>
      <c r="K843" s="18">
        <v>65</v>
      </c>
      <c r="L843" s="16">
        <v>160</v>
      </c>
      <c r="M843" s="6" t="str" cm="1">
        <f t="array" ref="M843">_xlfn.IFS(L843&lt;100,"Economy",L843&lt;200,"Standard",L843&lt;350,"Powerful",L843&lt;500,"High Performance",L843&lt;800,"Sports Performance",L843&gt;=800,"Super Performance")</f>
        <v>Standard</v>
      </c>
    </row>
    <row r="844" spans="1:13" x14ac:dyDescent="0.25">
      <c r="A844" s="5" t="s">
        <v>330</v>
      </c>
      <c r="B844" s="3" t="s">
        <v>685</v>
      </c>
      <c r="C844" s="3" t="s">
        <v>1297</v>
      </c>
      <c r="D844" s="4">
        <v>812964</v>
      </c>
      <c r="E844" s="3">
        <v>1461</v>
      </c>
      <c r="F844" s="3">
        <v>4</v>
      </c>
      <c r="G844" s="3" t="s">
        <v>36</v>
      </c>
      <c r="H844" s="3" t="s">
        <v>11</v>
      </c>
      <c r="I844" s="3">
        <v>5</v>
      </c>
      <c r="J844" s="3" t="s">
        <v>12</v>
      </c>
      <c r="K844" s="18">
        <v>64</v>
      </c>
      <c r="L844" s="16">
        <v>160</v>
      </c>
      <c r="M844" s="6" t="str" cm="1">
        <f t="array" ref="M844">_xlfn.IFS(L844&lt;100,"Economy",L844&lt;200,"Standard",L844&lt;350,"Powerful",L844&lt;500,"High Performance",L844&lt;800,"Sports Performance",L844&gt;=800,"Super Performance")</f>
        <v>Standard</v>
      </c>
    </row>
    <row r="845" spans="1:13" x14ac:dyDescent="0.25">
      <c r="A845" s="5" t="s">
        <v>202</v>
      </c>
      <c r="B845" s="3" t="s">
        <v>1325</v>
      </c>
      <c r="C845" s="3" t="s">
        <v>1326</v>
      </c>
      <c r="D845" s="4">
        <v>772617</v>
      </c>
      <c r="E845" s="3">
        <v>1461</v>
      </c>
      <c r="F845" s="3">
        <v>4</v>
      </c>
      <c r="G845" s="3" t="s">
        <v>36</v>
      </c>
      <c r="H845" s="3" t="s">
        <v>27</v>
      </c>
      <c r="I845" s="3">
        <v>5</v>
      </c>
      <c r="J845" s="3" t="s">
        <v>12</v>
      </c>
      <c r="K845" s="18">
        <v>65</v>
      </c>
      <c r="L845" s="16">
        <v>160</v>
      </c>
      <c r="M845" s="6" t="str" cm="1">
        <f t="array" ref="M845">_xlfn.IFS(L845&lt;100,"Economy",L845&lt;200,"Standard",L845&lt;350,"Powerful",L845&lt;500,"High Performance",L845&lt;800,"Sports Performance",L845&gt;=800,"Super Performance")</f>
        <v>Standard</v>
      </c>
    </row>
    <row r="846" spans="1:13" x14ac:dyDescent="0.25">
      <c r="A846" s="5" t="s">
        <v>202</v>
      </c>
      <c r="B846" s="3" t="s">
        <v>1325</v>
      </c>
      <c r="C846" s="3" t="s">
        <v>1328</v>
      </c>
      <c r="D846" s="4">
        <v>748370</v>
      </c>
      <c r="E846" s="3">
        <v>1461</v>
      </c>
      <c r="F846" s="3">
        <v>4</v>
      </c>
      <c r="G846" s="3" t="s">
        <v>36</v>
      </c>
      <c r="H846" s="3" t="s">
        <v>27</v>
      </c>
      <c r="I846" s="3">
        <v>5</v>
      </c>
      <c r="J846" s="3" t="s">
        <v>12</v>
      </c>
      <c r="K846" s="18">
        <v>65</v>
      </c>
      <c r="L846" s="16">
        <v>160</v>
      </c>
      <c r="M846" s="6" t="str" cm="1">
        <f t="array" ref="M846">_xlfn.IFS(L846&lt;100,"Economy",L846&lt;200,"Standard",L846&lt;350,"Powerful",L846&lt;500,"High Performance",L846&lt;800,"Sports Performance",L846&gt;=800,"Super Performance")</f>
        <v>Standard</v>
      </c>
    </row>
    <row r="847" spans="1:13" x14ac:dyDescent="0.25">
      <c r="A847" s="5" t="s">
        <v>7</v>
      </c>
      <c r="B847" s="3" t="s">
        <v>709</v>
      </c>
      <c r="C847" s="3" t="s">
        <v>1127</v>
      </c>
      <c r="D847" s="4">
        <v>551530</v>
      </c>
      <c r="E847" s="3">
        <v>1120</v>
      </c>
      <c r="F847" s="3">
        <v>3</v>
      </c>
      <c r="G847" s="3" t="s">
        <v>36</v>
      </c>
      <c r="H847" s="3" t="s">
        <v>11</v>
      </c>
      <c r="I847" s="3">
        <v>5</v>
      </c>
      <c r="J847" s="3" t="s">
        <v>12</v>
      </c>
      <c r="K847" s="18">
        <v>71</v>
      </c>
      <c r="L847" s="16">
        <v>159.84839500000001</v>
      </c>
      <c r="M847" s="6" t="str" cm="1">
        <f t="array" ref="M847">_xlfn.IFS(L847&lt;100,"Economy",L847&lt;200,"Standard",L847&lt;350,"Powerful",L847&lt;500,"High Performance",L847&lt;800,"Sports Performance",L847&gt;=800,"Super Performance")</f>
        <v>Standard</v>
      </c>
    </row>
    <row r="848" spans="1:13" x14ac:dyDescent="0.25">
      <c r="A848" s="5" t="s">
        <v>7</v>
      </c>
      <c r="B848" s="3" t="s">
        <v>709</v>
      </c>
      <c r="C848" s="3" t="s">
        <v>1128</v>
      </c>
      <c r="D848" s="4">
        <v>568930</v>
      </c>
      <c r="E848" s="3">
        <v>1120</v>
      </c>
      <c r="F848" s="3">
        <v>3</v>
      </c>
      <c r="G848" s="3" t="s">
        <v>36</v>
      </c>
      <c r="H848" s="3" t="s">
        <v>11</v>
      </c>
      <c r="I848" s="3">
        <v>5</v>
      </c>
      <c r="J848" s="3" t="s">
        <v>12</v>
      </c>
      <c r="K848" s="18">
        <v>71</v>
      </c>
      <c r="L848" s="16">
        <v>159.84839500000001</v>
      </c>
      <c r="M848" s="6" t="str" cm="1">
        <f t="array" ref="M848">_xlfn.IFS(L848&lt;100,"Economy",L848&lt;200,"Standard",L848&lt;350,"Powerful",L848&lt;500,"High Performance",L848&lt;800,"Sports Performance",L848&gt;=800,"Super Performance")</f>
        <v>Standard</v>
      </c>
    </row>
    <row r="849" spans="1:13" x14ac:dyDescent="0.25">
      <c r="A849" s="5" t="s">
        <v>220</v>
      </c>
      <c r="B849" s="3" t="s">
        <v>221</v>
      </c>
      <c r="C849" s="3" t="s">
        <v>223</v>
      </c>
      <c r="D849" s="4">
        <v>283000</v>
      </c>
      <c r="E849" s="3">
        <v>216</v>
      </c>
      <c r="F849" s="3">
        <v>0</v>
      </c>
      <c r="G849" s="3" t="s">
        <v>15</v>
      </c>
      <c r="H849" s="3" t="s">
        <v>11</v>
      </c>
      <c r="I849" s="3">
        <v>4</v>
      </c>
      <c r="J849" s="3" t="s">
        <v>12</v>
      </c>
      <c r="K849" s="18">
        <v>12</v>
      </c>
      <c r="L849" s="16">
        <v>157.88706500000001</v>
      </c>
      <c r="M849" s="6" t="str" cm="1">
        <f t="array" ref="M849">_xlfn.IFS(L849&lt;100,"Economy",L849&lt;200,"Standard",L849&lt;350,"Powerful",L849&lt;500,"High Performance",L849&lt;800,"Sports Performance",L849&gt;=800,"Super Performance")</f>
        <v>Standard</v>
      </c>
    </row>
    <row r="850" spans="1:13" x14ac:dyDescent="0.25">
      <c r="A850" s="5" t="s">
        <v>7</v>
      </c>
      <c r="B850" s="3" t="s">
        <v>737</v>
      </c>
      <c r="C850" s="3" t="s">
        <v>738</v>
      </c>
      <c r="D850" s="4">
        <v>1287999</v>
      </c>
      <c r="E850" s="3">
        <v>1591</v>
      </c>
      <c r="F850" s="3">
        <v>4</v>
      </c>
      <c r="G850" s="3" t="s">
        <v>10</v>
      </c>
      <c r="H850" s="3" t="s">
        <v>27</v>
      </c>
      <c r="I850" s="3">
        <v>5</v>
      </c>
      <c r="J850" s="3" t="s">
        <v>30</v>
      </c>
      <c r="K850" s="18">
        <v>123</v>
      </c>
      <c r="L850" s="16">
        <v>155</v>
      </c>
      <c r="M850" s="6" t="str" cm="1">
        <f t="array" ref="M850">_xlfn.IFS(L850&lt;100,"Economy",L850&lt;200,"Standard",L850&lt;350,"Powerful",L850&lt;500,"High Performance",L850&lt;800,"Sports Performance",L850&gt;=800,"Super Performance")</f>
        <v>Standard</v>
      </c>
    </row>
    <row r="851" spans="1:13" x14ac:dyDescent="0.25">
      <c r="A851" s="5" t="s">
        <v>7</v>
      </c>
      <c r="B851" s="3" t="s">
        <v>737</v>
      </c>
      <c r="C851" s="3" t="s">
        <v>742</v>
      </c>
      <c r="D851" s="4">
        <v>1162875</v>
      </c>
      <c r="E851" s="3">
        <v>1591</v>
      </c>
      <c r="F851" s="3">
        <v>4</v>
      </c>
      <c r="G851" s="3" t="s">
        <v>10</v>
      </c>
      <c r="H851" s="3" t="s">
        <v>27</v>
      </c>
      <c r="I851" s="3">
        <v>5</v>
      </c>
      <c r="J851" s="3" t="s">
        <v>30</v>
      </c>
      <c r="K851" s="18">
        <v>123</v>
      </c>
      <c r="L851" s="16">
        <v>155</v>
      </c>
      <c r="M851" s="6" t="str" cm="1">
        <f t="array" ref="M851">_xlfn.IFS(L851&lt;100,"Economy",L851&lt;200,"Standard",L851&lt;350,"Powerful",L851&lt;500,"High Performance",L851&lt;800,"Sports Performance",L851&gt;=800,"Super Performance")</f>
        <v>Standard</v>
      </c>
    </row>
    <row r="852" spans="1:13" x14ac:dyDescent="0.25">
      <c r="A852" s="5" t="s">
        <v>160</v>
      </c>
      <c r="B852" s="3" t="s">
        <v>484</v>
      </c>
      <c r="C852" s="3" t="s">
        <v>485</v>
      </c>
      <c r="D852" s="4">
        <v>876500</v>
      </c>
      <c r="E852" s="3">
        <v>1598</v>
      </c>
      <c r="F852" s="3">
        <v>4</v>
      </c>
      <c r="G852" s="3" t="s">
        <v>10</v>
      </c>
      <c r="H852" s="3" t="s">
        <v>27</v>
      </c>
      <c r="I852" s="3">
        <v>5</v>
      </c>
      <c r="J852" s="3" t="s">
        <v>12</v>
      </c>
      <c r="K852" s="18">
        <v>105</v>
      </c>
      <c r="L852" s="16">
        <v>153</v>
      </c>
      <c r="M852" s="6" t="str" cm="1">
        <f t="array" ref="M852">_xlfn.IFS(L852&lt;100,"Economy",L852&lt;200,"Standard",L852&lt;350,"Powerful",L852&lt;500,"High Performance",L852&lt;800,"Sports Performance",L852&gt;=800,"Super Performance")</f>
        <v>Standard</v>
      </c>
    </row>
    <row r="853" spans="1:13" x14ac:dyDescent="0.25">
      <c r="A853" s="5" t="s">
        <v>160</v>
      </c>
      <c r="B853" s="3" t="s">
        <v>484</v>
      </c>
      <c r="C853" s="3" t="s">
        <v>744</v>
      </c>
      <c r="D853" s="4">
        <v>999900</v>
      </c>
      <c r="E853" s="3">
        <v>1598</v>
      </c>
      <c r="F853" s="3">
        <v>4</v>
      </c>
      <c r="G853" s="3" t="s">
        <v>10</v>
      </c>
      <c r="H853" s="3" t="s">
        <v>27</v>
      </c>
      <c r="I853" s="3">
        <v>5</v>
      </c>
      <c r="J853" s="3" t="s">
        <v>12</v>
      </c>
      <c r="K853" s="18">
        <v>105</v>
      </c>
      <c r="L853" s="16">
        <v>153</v>
      </c>
      <c r="M853" s="6" t="str" cm="1">
        <f t="array" ref="M853">_xlfn.IFS(L853&lt;100,"Economy",L853&lt;200,"Standard",L853&lt;350,"Powerful",L853&lt;500,"High Performance",L853&lt;800,"Sports Performance",L853&gt;=800,"Super Performance")</f>
        <v>Standard</v>
      </c>
    </row>
    <row r="854" spans="1:13" x14ac:dyDescent="0.25">
      <c r="A854" s="5" t="s">
        <v>160</v>
      </c>
      <c r="B854" s="3" t="s">
        <v>484</v>
      </c>
      <c r="C854" s="3" t="s">
        <v>745</v>
      </c>
      <c r="D854" s="4">
        <v>999900</v>
      </c>
      <c r="E854" s="3">
        <v>1598</v>
      </c>
      <c r="F854" s="3">
        <v>4</v>
      </c>
      <c r="G854" s="3" t="s">
        <v>10</v>
      </c>
      <c r="H854" s="3" t="s">
        <v>27</v>
      </c>
      <c r="I854" s="3">
        <v>5</v>
      </c>
      <c r="J854" s="3" t="s">
        <v>12</v>
      </c>
      <c r="K854" s="18">
        <v>105</v>
      </c>
      <c r="L854" s="16">
        <v>153</v>
      </c>
      <c r="M854" s="6" t="str" cm="1">
        <f t="array" ref="M854">_xlfn.IFS(L854&lt;100,"Economy",L854&lt;200,"Standard",L854&lt;350,"Powerful",L854&lt;500,"High Performance",L854&lt;800,"Sports Performance",L854&gt;=800,"Super Performance")</f>
        <v>Standard</v>
      </c>
    </row>
    <row r="855" spans="1:13" x14ac:dyDescent="0.25">
      <c r="A855" s="5" t="s">
        <v>572</v>
      </c>
      <c r="B855" s="3" t="s">
        <v>1244</v>
      </c>
      <c r="C855" s="3" t="s">
        <v>1250</v>
      </c>
      <c r="D855" s="4">
        <v>1139599</v>
      </c>
      <c r="E855" s="3">
        <v>1598</v>
      </c>
      <c r="F855" s="3">
        <v>4</v>
      </c>
      <c r="G855" s="3" t="s">
        <v>10</v>
      </c>
      <c r="H855" s="3" t="s">
        <v>27</v>
      </c>
      <c r="I855" s="3">
        <v>5</v>
      </c>
      <c r="J855" s="3" t="s">
        <v>12</v>
      </c>
      <c r="K855" s="18">
        <v>105</v>
      </c>
      <c r="L855" s="16">
        <v>153</v>
      </c>
      <c r="M855" s="6" t="str" cm="1">
        <f t="array" ref="M855">_xlfn.IFS(L855&lt;100,"Economy",L855&lt;200,"Standard",L855&lt;350,"Powerful",L855&lt;500,"High Performance",L855&lt;800,"Sports Performance",L855&gt;=800,"Super Performance")</f>
        <v>Standard</v>
      </c>
    </row>
    <row r="856" spans="1:13" x14ac:dyDescent="0.25">
      <c r="A856" s="5" t="s">
        <v>572</v>
      </c>
      <c r="B856" s="3" t="s">
        <v>1244</v>
      </c>
      <c r="C856" s="3" t="s">
        <v>1251</v>
      </c>
      <c r="D856" s="4">
        <v>1269599</v>
      </c>
      <c r="E856" s="3">
        <v>1598</v>
      </c>
      <c r="F856" s="3">
        <v>4</v>
      </c>
      <c r="G856" s="3" t="s">
        <v>10</v>
      </c>
      <c r="H856" s="3" t="s">
        <v>27</v>
      </c>
      <c r="I856" s="3">
        <v>5</v>
      </c>
      <c r="J856" s="3" t="s">
        <v>30</v>
      </c>
      <c r="K856" s="18">
        <v>105</v>
      </c>
      <c r="L856" s="16">
        <v>153</v>
      </c>
      <c r="M856" s="6" t="str" cm="1">
        <f t="array" ref="M856">_xlfn.IFS(L856&lt;100,"Economy",L856&lt;200,"Standard",L856&lt;350,"Powerful",L856&lt;500,"High Performance",L856&lt;800,"Sports Performance",L856&gt;=800,"Super Performance")</f>
        <v>Standard</v>
      </c>
    </row>
    <row r="857" spans="1:13" x14ac:dyDescent="0.25">
      <c r="A857" s="5" t="s">
        <v>572</v>
      </c>
      <c r="B857" s="3" t="s">
        <v>1295</v>
      </c>
      <c r="C857" s="3" t="s">
        <v>1299</v>
      </c>
      <c r="D857" s="4">
        <v>998599</v>
      </c>
      <c r="E857" s="3">
        <v>1598</v>
      </c>
      <c r="F857" s="3">
        <v>4</v>
      </c>
      <c r="G857" s="3" t="s">
        <v>10</v>
      </c>
      <c r="H857" s="3" t="s">
        <v>27</v>
      </c>
      <c r="I857" s="3">
        <v>5</v>
      </c>
      <c r="J857" s="3" t="s">
        <v>12</v>
      </c>
      <c r="K857" s="18">
        <v>105</v>
      </c>
      <c r="L857" s="16">
        <v>153</v>
      </c>
      <c r="M857" s="6" t="str" cm="1">
        <f t="array" ref="M857">_xlfn.IFS(L857&lt;100,"Economy",L857&lt;200,"Standard",L857&lt;350,"Powerful",L857&lt;500,"High Performance",L857&lt;800,"Sports Performance",L857&gt;=800,"Super Performance")</f>
        <v>Standard</v>
      </c>
    </row>
    <row r="858" spans="1:13" x14ac:dyDescent="0.25">
      <c r="A858" s="5" t="s">
        <v>572</v>
      </c>
      <c r="B858" s="3" t="s">
        <v>1295</v>
      </c>
      <c r="C858" s="3" t="s">
        <v>1300</v>
      </c>
      <c r="D858" s="4">
        <v>881916</v>
      </c>
      <c r="E858" s="3">
        <v>1598</v>
      </c>
      <c r="F858" s="3">
        <v>4</v>
      </c>
      <c r="G858" s="3" t="s">
        <v>10</v>
      </c>
      <c r="H858" s="3" t="s">
        <v>27</v>
      </c>
      <c r="I858" s="3">
        <v>5</v>
      </c>
      <c r="J858" s="3" t="s">
        <v>12</v>
      </c>
      <c r="K858" s="18">
        <v>105</v>
      </c>
      <c r="L858" s="16">
        <v>153</v>
      </c>
      <c r="M858" s="6" t="str" cm="1">
        <f t="array" ref="M858">_xlfn.IFS(L858&lt;100,"Economy",L858&lt;200,"Standard",L858&lt;350,"Powerful",L858&lt;500,"High Performance",L858&lt;800,"Sports Performance",L858&gt;=800,"Super Performance")</f>
        <v>Standard</v>
      </c>
    </row>
    <row r="859" spans="1:13" x14ac:dyDescent="0.25">
      <c r="A859" s="5" t="s">
        <v>572</v>
      </c>
      <c r="B859" s="3" t="s">
        <v>1295</v>
      </c>
      <c r="C859" s="3" t="s">
        <v>1303</v>
      </c>
      <c r="D859" s="4">
        <v>1243599</v>
      </c>
      <c r="E859" s="3">
        <v>1598</v>
      </c>
      <c r="F859" s="3">
        <v>4</v>
      </c>
      <c r="G859" s="3" t="s">
        <v>10</v>
      </c>
      <c r="H859" s="3" t="s">
        <v>27</v>
      </c>
      <c r="I859" s="3">
        <v>5</v>
      </c>
      <c r="J859" s="3" t="s">
        <v>30</v>
      </c>
      <c r="K859" s="18">
        <v>105</v>
      </c>
      <c r="L859" s="16">
        <v>153</v>
      </c>
      <c r="M859" s="6" t="str" cm="1">
        <f t="array" ref="M859">_xlfn.IFS(L859&lt;100,"Economy",L859&lt;200,"Standard",L859&lt;350,"Powerful",L859&lt;500,"High Performance",L859&lt;800,"Sports Performance",L859&gt;=800,"Super Performance")</f>
        <v>Standard</v>
      </c>
    </row>
    <row r="860" spans="1:13" x14ac:dyDescent="0.25">
      <c r="A860" s="5" t="s">
        <v>572</v>
      </c>
      <c r="B860" s="3" t="s">
        <v>1295</v>
      </c>
      <c r="C860" s="3" t="s">
        <v>1306</v>
      </c>
      <c r="D860" s="4">
        <v>1115599</v>
      </c>
      <c r="E860" s="3">
        <v>1598</v>
      </c>
      <c r="F860" s="3">
        <v>4</v>
      </c>
      <c r="G860" s="3" t="s">
        <v>10</v>
      </c>
      <c r="H860" s="3" t="s">
        <v>27</v>
      </c>
      <c r="I860" s="3">
        <v>5</v>
      </c>
      <c r="J860" s="3" t="s">
        <v>12</v>
      </c>
      <c r="K860" s="18">
        <v>105</v>
      </c>
      <c r="L860" s="16">
        <v>153</v>
      </c>
      <c r="M860" s="6" t="str" cm="1">
        <f t="array" ref="M860">_xlfn.IFS(L860&lt;100,"Economy",L860&lt;200,"Standard",L860&lt;350,"Powerful",L860&lt;500,"High Performance",L860&lt;800,"Sports Performance",L860&gt;=800,"Super Performance")</f>
        <v>Standard</v>
      </c>
    </row>
    <row r="861" spans="1:13" x14ac:dyDescent="0.25">
      <c r="A861" s="5" t="s">
        <v>572</v>
      </c>
      <c r="B861" s="3" t="s">
        <v>1295</v>
      </c>
      <c r="C861" s="3" t="s">
        <v>1307</v>
      </c>
      <c r="D861" s="4">
        <v>999599</v>
      </c>
      <c r="E861" s="3">
        <v>1598</v>
      </c>
      <c r="F861" s="3">
        <v>4</v>
      </c>
      <c r="G861" s="3" t="s">
        <v>10</v>
      </c>
      <c r="H861" s="3" t="s">
        <v>27</v>
      </c>
      <c r="I861" s="3">
        <v>5</v>
      </c>
      <c r="J861" s="3" t="s">
        <v>30</v>
      </c>
      <c r="K861" s="18">
        <v>105</v>
      </c>
      <c r="L861" s="16">
        <v>153</v>
      </c>
      <c r="M861" s="6" t="str" cm="1">
        <f t="array" ref="M861">_xlfn.IFS(L861&lt;100,"Economy",L861&lt;200,"Standard",L861&lt;350,"Powerful",L861&lt;500,"High Performance",L861&lt;800,"Sports Performance",L861&gt;=800,"Super Performance")</f>
        <v>Standard</v>
      </c>
    </row>
    <row r="862" spans="1:13" x14ac:dyDescent="0.25">
      <c r="A862" s="5" t="s">
        <v>572</v>
      </c>
      <c r="B862" s="3" t="s">
        <v>1295</v>
      </c>
      <c r="C862" s="3" t="s">
        <v>1309</v>
      </c>
      <c r="D862" s="4">
        <v>1099599</v>
      </c>
      <c r="E862" s="3">
        <v>1598</v>
      </c>
      <c r="F862" s="3">
        <v>4</v>
      </c>
      <c r="G862" s="3" t="s">
        <v>10</v>
      </c>
      <c r="H862" s="3" t="s">
        <v>27</v>
      </c>
      <c r="I862" s="3">
        <v>5</v>
      </c>
      <c r="J862" s="3" t="s">
        <v>30</v>
      </c>
      <c r="K862" s="18">
        <v>105</v>
      </c>
      <c r="L862" s="16">
        <v>153</v>
      </c>
      <c r="M862" s="6" t="str" cm="1">
        <f t="array" ref="M862">_xlfn.IFS(L862&lt;100,"Economy",L862&lt;200,"Standard",L862&lt;350,"Powerful",L862&lt;500,"High Performance",L862&lt;800,"Sports Performance",L862&gt;=800,"Super Performance")</f>
        <v>Standard</v>
      </c>
    </row>
    <row r="863" spans="1:13" x14ac:dyDescent="0.25">
      <c r="A863" s="5" t="s">
        <v>572</v>
      </c>
      <c r="B863" s="3" t="s">
        <v>1295</v>
      </c>
      <c r="C863" s="3" t="s">
        <v>1311</v>
      </c>
      <c r="D863" s="4">
        <v>975599</v>
      </c>
      <c r="E863" s="3">
        <v>1598</v>
      </c>
      <c r="F863" s="3">
        <v>4</v>
      </c>
      <c r="G863" s="3" t="s">
        <v>10</v>
      </c>
      <c r="H863" s="3" t="s">
        <v>27</v>
      </c>
      <c r="I863" s="3">
        <v>5</v>
      </c>
      <c r="J863" s="3" t="s">
        <v>12</v>
      </c>
      <c r="K863" s="18">
        <v>105</v>
      </c>
      <c r="L863" s="16">
        <v>153</v>
      </c>
      <c r="M863" s="6" t="str" cm="1">
        <f t="array" ref="M863">_xlfn.IFS(L863&lt;100,"Economy",L863&lt;200,"Standard",L863&lt;350,"Powerful",L863&lt;500,"High Performance",L863&lt;800,"Sports Performance",L863&gt;=800,"Super Performance")</f>
        <v>Standard</v>
      </c>
    </row>
    <row r="864" spans="1:13" x14ac:dyDescent="0.25">
      <c r="A864" s="5" t="s">
        <v>1156</v>
      </c>
      <c r="B864" s="3" t="s">
        <v>1157</v>
      </c>
      <c r="C864" s="3" t="s">
        <v>881</v>
      </c>
      <c r="D864" s="4">
        <v>739000</v>
      </c>
      <c r="E864" s="3">
        <v>1489</v>
      </c>
      <c r="F864" s="3">
        <v>4</v>
      </c>
      <c r="G864" s="3" t="s">
        <v>36</v>
      </c>
      <c r="H864" s="3" t="s">
        <v>66</v>
      </c>
      <c r="I864" s="3">
        <v>5</v>
      </c>
      <c r="J864" s="3" t="s">
        <v>12</v>
      </c>
      <c r="K864" s="18">
        <v>64</v>
      </c>
      <c r="L864" s="16">
        <v>152</v>
      </c>
      <c r="M864" s="6" t="str" cm="1">
        <f t="array" ref="M864">_xlfn.IFS(L864&lt;100,"Economy",L864&lt;200,"Standard",L864&lt;350,"Powerful",L864&lt;500,"High Performance",L864&lt;800,"Sports Performance",L864&gt;=800,"Super Performance")</f>
        <v>Standard</v>
      </c>
    </row>
    <row r="865" spans="1:13" x14ac:dyDescent="0.25">
      <c r="A865" s="5" t="s">
        <v>1156</v>
      </c>
      <c r="B865" s="3" t="s">
        <v>1157</v>
      </c>
      <c r="C865" s="3" t="s">
        <v>1159</v>
      </c>
      <c r="D865" s="4">
        <v>603000</v>
      </c>
      <c r="E865" s="3">
        <v>1489</v>
      </c>
      <c r="F865" s="3">
        <v>4</v>
      </c>
      <c r="G865" s="3" t="s">
        <v>36</v>
      </c>
      <c r="H865" s="3" t="s">
        <v>66</v>
      </c>
      <c r="I865" s="3">
        <v>5</v>
      </c>
      <c r="J865" s="3" t="s">
        <v>12</v>
      </c>
      <c r="K865" s="18">
        <v>64</v>
      </c>
      <c r="L865" s="16">
        <v>152</v>
      </c>
      <c r="M865" s="6" t="str" cm="1">
        <f t="array" ref="M865">_xlfn.IFS(L865&lt;100,"Economy",L865&lt;200,"Standard",L865&lt;350,"Powerful",L865&lt;500,"High Performance",L865&lt;800,"Sports Performance",L865&gt;=800,"Super Performance")</f>
        <v>Standard</v>
      </c>
    </row>
    <row r="866" spans="1:13" x14ac:dyDescent="0.25">
      <c r="A866" s="5" t="s">
        <v>1156</v>
      </c>
      <c r="B866" s="3" t="s">
        <v>1157</v>
      </c>
      <c r="C866" s="3" t="s">
        <v>1104</v>
      </c>
      <c r="D866" s="4">
        <v>568623</v>
      </c>
      <c r="E866" s="3">
        <v>1489</v>
      </c>
      <c r="F866" s="3">
        <v>4</v>
      </c>
      <c r="G866" s="3" t="s">
        <v>36</v>
      </c>
      <c r="H866" s="3" t="s">
        <v>66</v>
      </c>
      <c r="I866" s="3">
        <v>5</v>
      </c>
      <c r="J866" s="3" t="s">
        <v>12</v>
      </c>
      <c r="K866" s="18">
        <v>64</v>
      </c>
      <c r="L866" s="16">
        <v>152</v>
      </c>
      <c r="M866" s="6" t="str" cm="1">
        <f t="array" ref="M866">_xlfn.IFS(L866&lt;100,"Economy",L866&lt;200,"Standard",L866&lt;350,"Powerful",L866&lt;500,"High Performance",L866&lt;800,"Sports Performance",L866&gt;=800,"Super Performance")</f>
        <v>Standard</v>
      </c>
    </row>
    <row r="867" spans="1:13" x14ac:dyDescent="0.25">
      <c r="A867" s="5" t="s">
        <v>7</v>
      </c>
      <c r="B867" s="3" t="s">
        <v>520</v>
      </c>
      <c r="C867" s="3" t="s">
        <v>522</v>
      </c>
      <c r="D867" s="4">
        <v>999990</v>
      </c>
      <c r="E867" s="3">
        <v>1591</v>
      </c>
      <c r="F867" s="3">
        <v>4</v>
      </c>
      <c r="G867" s="3" t="s">
        <v>10</v>
      </c>
      <c r="H867" s="3" t="s">
        <v>66</v>
      </c>
      <c r="I867" s="3">
        <v>5</v>
      </c>
      <c r="J867" s="3" t="s">
        <v>12</v>
      </c>
      <c r="K867" s="18">
        <v>123</v>
      </c>
      <c r="L867" s="16">
        <v>151</v>
      </c>
      <c r="M867" s="6" t="str" cm="1">
        <f t="array" ref="M867">_xlfn.IFS(L867&lt;100,"Economy",L867&lt;200,"Standard",L867&lt;350,"Powerful",L867&lt;500,"High Performance",L867&lt;800,"Sports Performance",L867&gt;=800,"Super Performance")</f>
        <v>Standard</v>
      </c>
    </row>
    <row r="868" spans="1:13" x14ac:dyDescent="0.25">
      <c r="A868" s="5" t="s">
        <v>7</v>
      </c>
      <c r="B868" s="3" t="s">
        <v>520</v>
      </c>
      <c r="C868" s="3" t="s">
        <v>523</v>
      </c>
      <c r="D868" s="4">
        <v>1232534</v>
      </c>
      <c r="E868" s="3">
        <v>1591</v>
      </c>
      <c r="F868" s="3">
        <v>4</v>
      </c>
      <c r="G868" s="3" t="s">
        <v>10</v>
      </c>
      <c r="H868" s="3" t="s">
        <v>66</v>
      </c>
      <c r="I868" s="3">
        <v>5</v>
      </c>
      <c r="J868" s="3" t="s">
        <v>12</v>
      </c>
      <c r="K868" s="18">
        <v>123</v>
      </c>
      <c r="L868" s="16">
        <v>151</v>
      </c>
      <c r="M868" s="6" t="str" cm="1">
        <f t="array" ref="M868">_xlfn.IFS(L868&lt;100,"Economy",L868&lt;200,"Standard",L868&lt;350,"Powerful",L868&lt;500,"High Performance",L868&lt;800,"Sports Performance",L868&gt;=800,"Super Performance")</f>
        <v>Standard</v>
      </c>
    </row>
    <row r="869" spans="1:13" x14ac:dyDescent="0.25">
      <c r="A869" s="5" t="s">
        <v>7</v>
      </c>
      <c r="B869" s="3" t="s">
        <v>520</v>
      </c>
      <c r="C869" s="3" t="s">
        <v>524</v>
      </c>
      <c r="D869" s="4">
        <v>1394437</v>
      </c>
      <c r="E869" s="3">
        <v>1591</v>
      </c>
      <c r="F869" s="3">
        <v>4</v>
      </c>
      <c r="G869" s="3" t="s">
        <v>10</v>
      </c>
      <c r="H869" s="3" t="s">
        <v>66</v>
      </c>
      <c r="I869" s="3">
        <v>5</v>
      </c>
      <c r="J869" s="3" t="s">
        <v>12</v>
      </c>
      <c r="K869" s="18">
        <v>123</v>
      </c>
      <c r="L869" s="16">
        <v>151</v>
      </c>
      <c r="M869" s="6" t="str" cm="1">
        <f t="array" ref="M869">_xlfn.IFS(L869&lt;100,"Economy",L869&lt;200,"Standard",L869&lt;350,"Powerful",L869&lt;500,"High Performance",L869&lt;800,"Sports Performance",L869&gt;=800,"Super Performance")</f>
        <v>Standard</v>
      </c>
    </row>
    <row r="870" spans="1:13" x14ac:dyDescent="0.25">
      <c r="A870" s="5" t="s">
        <v>7</v>
      </c>
      <c r="B870" s="3" t="s">
        <v>520</v>
      </c>
      <c r="C870" s="3" t="s">
        <v>525</v>
      </c>
      <c r="D870" s="4">
        <v>1377363</v>
      </c>
      <c r="E870" s="3">
        <v>1591</v>
      </c>
      <c r="F870" s="3">
        <v>4</v>
      </c>
      <c r="G870" s="3" t="s">
        <v>10</v>
      </c>
      <c r="H870" s="3" t="s">
        <v>66</v>
      </c>
      <c r="I870" s="3">
        <v>5</v>
      </c>
      <c r="J870" s="3" t="s">
        <v>30</v>
      </c>
      <c r="K870" s="18">
        <v>123</v>
      </c>
      <c r="L870" s="16">
        <v>151</v>
      </c>
      <c r="M870" s="6" t="str" cm="1">
        <f t="array" ref="M870">_xlfn.IFS(L870&lt;100,"Economy",L870&lt;200,"Standard",L870&lt;350,"Powerful",L870&lt;500,"High Performance",L870&lt;800,"Sports Performance",L870&gt;=800,"Super Performance")</f>
        <v>Standard</v>
      </c>
    </row>
    <row r="871" spans="1:13" x14ac:dyDescent="0.25">
      <c r="A871" s="5" t="s">
        <v>7</v>
      </c>
      <c r="B871" s="3" t="s">
        <v>520</v>
      </c>
      <c r="C871" s="3" t="s">
        <v>526</v>
      </c>
      <c r="D871" s="4">
        <v>1287041</v>
      </c>
      <c r="E871" s="3">
        <v>1591</v>
      </c>
      <c r="F871" s="3">
        <v>4</v>
      </c>
      <c r="G871" s="3" t="s">
        <v>10</v>
      </c>
      <c r="H871" s="3" t="s">
        <v>66</v>
      </c>
      <c r="I871" s="3">
        <v>5</v>
      </c>
      <c r="J871" s="3" t="s">
        <v>30</v>
      </c>
      <c r="K871" s="18">
        <v>123</v>
      </c>
      <c r="L871" s="16">
        <v>151</v>
      </c>
      <c r="M871" s="6" t="str" cm="1">
        <f t="array" ref="M871">_xlfn.IFS(L871&lt;100,"Economy",L871&lt;200,"Standard",L871&lt;350,"Powerful",L871&lt;500,"High Performance",L871&lt;800,"Sports Performance",L871&gt;=800,"Super Performance")</f>
        <v>Standard</v>
      </c>
    </row>
    <row r="872" spans="1:13" x14ac:dyDescent="0.25">
      <c r="A872" s="5" t="s">
        <v>7</v>
      </c>
      <c r="B872" s="3" t="s">
        <v>520</v>
      </c>
      <c r="C872" s="3" t="s">
        <v>533</v>
      </c>
      <c r="D872" s="4">
        <v>1422937</v>
      </c>
      <c r="E872" s="3">
        <v>1591</v>
      </c>
      <c r="F872" s="3">
        <v>4</v>
      </c>
      <c r="G872" s="3" t="s">
        <v>10</v>
      </c>
      <c r="H872" s="3" t="s">
        <v>66</v>
      </c>
      <c r="I872" s="3">
        <v>5</v>
      </c>
      <c r="J872" s="3" t="s">
        <v>12</v>
      </c>
      <c r="K872" s="18">
        <v>121</v>
      </c>
      <c r="L872" s="16">
        <v>151</v>
      </c>
      <c r="M872" s="6" t="str" cm="1">
        <f t="array" ref="M872">_xlfn.IFS(L872&lt;100,"Economy",L872&lt;200,"Standard",L872&lt;350,"Powerful",L872&lt;500,"High Performance",L872&lt;800,"Sports Performance",L872&gt;=800,"Super Performance")</f>
        <v>Standard</v>
      </c>
    </row>
    <row r="873" spans="1:13" x14ac:dyDescent="0.25">
      <c r="A873" s="5" t="s">
        <v>7</v>
      </c>
      <c r="B873" s="3" t="s">
        <v>520</v>
      </c>
      <c r="C873" s="3" t="s">
        <v>536</v>
      </c>
      <c r="D873" s="4">
        <v>1092192</v>
      </c>
      <c r="E873" s="3">
        <v>1591</v>
      </c>
      <c r="F873" s="3">
        <v>4</v>
      </c>
      <c r="G873" s="3" t="s">
        <v>10</v>
      </c>
      <c r="H873" s="3" t="s">
        <v>66</v>
      </c>
      <c r="I873" s="3">
        <v>5</v>
      </c>
      <c r="J873" s="3" t="s">
        <v>12</v>
      </c>
      <c r="K873" s="18">
        <v>123</v>
      </c>
      <c r="L873" s="16">
        <v>151</v>
      </c>
      <c r="M873" s="6" t="str" cm="1">
        <f t="array" ref="M873">_xlfn.IFS(L873&lt;100,"Economy",L873&lt;200,"Standard",L873&lt;350,"Powerful",L873&lt;500,"High Performance",L873&lt;800,"Sports Performance",L873&gt;=800,"Super Performance")</f>
        <v>Standard</v>
      </c>
    </row>
    <row r="874" spans="1:13" x14ac:dyDescent="0.25">
      <c r="A874" s="5" t="s">
        <v>7</v>
      </c>
      <c r="B874" s="3" t="s">
        <v>520</v>
      </c>
      <c r="C874" s="3" t="s">
        <v>537</v>
      </c>
      <c r="D874" s="4">
        <v>1279983</v>
      </c>
      <c r="E874" s="3">
        <v>1591</v>
      </c>
      <c r="F874" s="3">
        <v>4</v>
      </c>
      <c r="G874" s="3" t="s">
        <v>10</v>
      </c>
      <c r="H874" s="3" t="s">
        <v>66</v>
      </c>
      <c r="I874" s="3">
        <v>5</v>
      </c>
      <c r="J874" s="3" t="s">
        <v>12</v>
      </c>
      <c r="K874" s="18">
        <v>123</v>
      </c>
      <c r="L874" s="16">
        <v>151</v>
      </c>
      <c r="M874" s="6" t="str" cm="1">
        <f t="array" ref="M874">_xlfn.IFS(L874&lt;100,"Economy",L874&lt;200,"Standard",L874&lt;350,"Powerful",L874&lt;500,"High Performance",L874&lt;800,"Sports Performance",L874&gt;=800,"Super Performance")</f>
        <v>Standard</v>
      </c>
    </row>
    <row r="875" spans="1:13" x14ac:dyDescent="0.25">
      <c r="A875" s="5" t="s">
        <v>7</v>
      </c>
      <c r="B875" s="3" t="s">
        <v>737</v>
      </c>
      <c r="C875" s="3" t="s">
        <v>523</v>
      </c>
      <c r="D875" s="4">
        <v>999900</v>
      </c>
      <c r="E875" s="3">
        <v>1591</v>
      </c>
      <c r="F875" s="3">
        <v>4</v>
      </c>
      <c r="G875" s="3" t="s">
        <v>10</v>
      </c>
      <c r="H875" s="3" t="s">
        <v>27</v>
      </c>
      <c r="I875" s="3">
        <v>5</v>
      </c>
      <c r="J875" s="3" t="s">
        <v>12</v>
      </c>
      <c r="K875" s="18">
        <v>123</v>
      </c>
      <c r="L875" s="16">
        <v>151</v>
      </c>
      <c r="M875" s="6" t="str" cm="1">
        <f t="array" ref="M875">_xlfn.IFS(L875&lt;100,"Economy",L875&lt;200,"Standard",L875&lt;350,"Powerful",L875&lt;500,"High Performance",L875&lt;800,"Sports Performance",L875&gt;=800,"Super Performance")</f>
        <v>Standard</v>
      </c>
    </row>
    <row r="876" spans="1:13" x14ac:dyDescent="0.25">
      <c r="A876" s="5" t="s">
        <v>7</v>
      </c>
      <c r="B876" s="3" t="s">
        <v>737</v>
      </c>
      <c r="C876" s="3" t="s">
        <v>524</v>
      </c>
      <c r="D876" s="4">
        <v>1172999</v>
      </c>
      <c r="E876" s="3">
        <v>1591</v>
      </c>
      <c r="F876" s="3">
        <v>4</v>
      </c>
      <c r="G876" s="3" t="s">
        <v>10</v>
      </c>
      <c r="H876" s="3" t="s">
        <v>27</v>
      </c>
      <c r="I876" s="3">
        <v>5</v>
      </c>
      <c r="J876" s="3" t="s">
        <v>12</v>
      </c>
      <c r="K876" s="18">
        <v>123</v>
      </c>
      <c r="L876" s="16">
        <v>151</v>
      </c>
      <c r="M876" s="6" t="str" cm="1">
        <f t="array" ref="M876">_xlfn.IFS(L876&lt;100,"Economy",L876&lt;200,"Standard",L876&lt;350,"Powerful",L876&lt;500,"High Performance",L876&lt;800,"Sports Performance",L876&gt;=800,"Super Performance")</f>
        <v>Standard</v>
      </c>
    </row>
    <row r="877" spans="1:13" x14ac:dyDescent="0.25">
      <c r="A877" s="5" t="s">
        <v>7</v>
      </c>
      <c r="B877" s="3" t="s">
        <v>737</v>
      </c>
      <c r="C877" s="3" t="s">
        <v>741</v>
      </c>
      <c r="D877" s="4">
        <v>1178894</v>
      </c>
      <c r="E877" s="3">
        <v>1591</v>
      </c>
      <c r="F877" s="3">
        <v>4</v>
      </c>
      <c r="G877" s="3" t="s">
        <v>10</v>
      </c>
      <c r="H877" s="3" t="s">
        <v>27</v>
      </c>
      <c r="I877" s="3">
        <v>5</v>
      </c>
      <c r="J877" s="3" t="s">
        <v>12</v>
      </c>
      <c r="K877" s="18">
        <v>123</v>
      </c>
      <c r="L877" s="16">
        <v>151</v>
      </c>
      <c r="M877" s="6" t="str" cm="1">
        <f t="array" ref="M877">_xlfn.IFS(L877&lt;100,"Economy",L877&lt;200,"Standard",L877&lt;350,"Powerful",L877&lt;500,"High Performance",L877&lt;800,"Sports Performance",L877&gt;=800,"Super Performance")</f>
        <v>Standard</v>
      </c>
    </row>
    <row r="878" spans="1:13" x14ac:dyDescent="0.25">
      <c r="A878" s="5" t="s">
        <v>40</v>
      </c>
      <c r="B878" s="3" t="s">
        <v>642</v>
      </c>
      <c r="C878" s="3" t="s">
        <v>643</v>
      </c>
      <c r="D878" s="4">
        <v>791000</v>
      </c>
      <c r="E878" s="3">
        <v>1497</v>
      </c>
      <c r="F878" s="3">
        <v>3</v>
      </c>
      <c r="G878" s="3" t="s">
        <v>10</v>
      </c>
      <c r="H878" s="3" t="s">
        <v>66</v>
      </c>
      <c r="I878" s="3">
        <v>5</v>
      </c>
      <c r="J878" s="3" t="s">
        <v>12</v>
      </c>
      <c r="K878" s="18">
        <v>123</v>
      </c>
      <c r="L878" s="16">
        <v>150</v>
      </c>
      <c r="M878" s="6" t="str" cm="1">
        <f t="array" ref="M878">_xlfn.IFS(L878&lt;100,"Economy",L878&lt;200,"Standard",L878&lt;350,"Powerful",L878&lt;500,"High Performance",L878&lt;800,"Sports Performance",L878&gt;=800,"Super Performance")</f>
        <v>Standard</v>
      </c>
    </row>
    <row r="879" spans="1:13" x14ac:dyDescent="0.25">
      <c r="A879" s="5" t="s">
        <v>40</v>
      </c>
      <c r="B879" s="3" t="s">
        <v>642</v>
      </c>
      <c r="C879" s="3" t="s">
        <v>644</v>
      </c>
      <c r="D879" s="4">
        <v>871000</v>
      </c>
      <c r="E879" s="3">
        <v>1497</v>
      </c>
      <c r="F879" s="3">
        <v>3</v>
      </c>
      <c r="G879" s="3" t="s">
        <v>10</v>
      </c>
      <c r="H879" s="3" t="s">
        <v>66</v>
      </c>
      <c r="I879" s="3">
        <v>5</v>
      </c>
      <c r="J879" s="3" t="s">
        <v>12</v>
      </c>
      <c r="K879" s="18">
        <v>123</v>
      </c>
      <c r="L879" s="16">
        <v>150</v>
      </c>
      <c r="M879" s="6" t="str" cm="1">
        <f t="array" ref="M879">_xlfn.IFS(L879&lt;100,"Economy",L879&lt;200,"Standard",L879&lt;350,"Powerful",L879&lt;500,"High Performance",L879&lt;800,"Sports Performance",L879&gt;=800,"Super Performance")</f>
        <v>Standard</v>
      </c>
    </row>
    <row r="880" spans="1:13" x14ac:dyDescent="0.25">
      <c r="A880" s="5" t="s">
        <v>40</v>
      </c>
      <c r="B880" s="3" t="s">
        <v>642</v>
      </c>
      <c r="C880" s="3" t="s">
        <v>645</v>
      </c>
      <c r="D880" s="4">
        <v>950000</v>
      </c>
      <c r="E880" s="3">
        <v>1497</v>
      </c>
      <c r="F880" s="3">
        <v>3</v>
      </c>
      <c r="G880" s="3" t="s">
        <v>10</v>
      </c>
      <c r="H880" s="3" t="s">
        <v>66</v>
      </c>
      <c r="I880" s="3">
        <v>5</v>
      </c>
      <c r="J880" s="3" t="s">
        <v>12</v>
      </c>
      <c r="K880" s="18">
        <v>123</v>
      </c>
      <c r="L880" s="16">
        <v>150</v>
      </c>
      <c r="M880" s="6" t="str" cm="1">
        <f t="array" ref="M880">_xlfn.IFS(L880&lt;100,"Economy",L880&lt;200,"Standard",L880&lt;350,"Powerful",L880&lt;500,"High Performance",L880&lt;800,"Sports Performance",L880&gt;=800,"Super Performance")</f>
        <v>Standard</v>
      </c>
    </row>
    <row r="881" spans="1:13" x14ac:dyDescent="0.25">
      <c r="A881" s="5" t="s">
        <v>40</v>
      </c>
      <c r="B881" s="3" t="s">
        <v>642</v>
      </c>
      <c r="C881" s="3" t="s">
        <v>646</v>
      </c>
      <c r="D881" s="4">
        <v>1130000</v>
      </c>
      <c r="E881" s="3">
        <v>1497</v>
      </c>
      <c r="F881" s="3">
        <v>3</v>
      </c>
      <c r="G881" s="3" t="s">
        <v>10</v>
      </c>
      <c r="H881" s="3" t="s">
        <v>66</v>
      </c>
      <c r="I881" s="3">
        <v>5</v>
      </c>
      <c r="J881" s="3" t="s">
        <v>30</v>
      </c>
      <c r="K881" s="18">
        <v>123</v>
      </c>
      <c r="L881" s="16">
        <v>150</v>
      </c>
      <c r="M881" s="6" t="str" cm="1">
        <f t="array" ref="M881">_xlfn.IFS(L881&lt;100,"Economy",L881&lt;200,"Standard",L881&lt;350,"Powerful",L881&lt;500,"High Performance",L881&lt;800,"Sports Performance",L881&gt;=800,"Super Performance")</f>
        <v>Standard</v>
      </c>
    </row>
    <row r="882" spans="1:13" x14ac:dyDescent="0.25">
      <c r="A882" s="5" t="s">
        <v>40</v>
      </c>
      <c r="B882" s="3" t="s">
        <v>642</v>
      </c>
      <c r="C882" s="3" t="s">
        <v>734</v>
      </c>
      <c r="D882" s="4">
        <v>999900</v>
      </c>
      <c r="E882" s="3">
        <v>1497</v>
      </c>
      <c r="F882" s="3">
        <v>4</v>
      </c>
      <c r="G882" s="3" t="s">
        <v>10</v>
      </c>
      <c r="H882" s="3" t="s">
        <v>66</v>
      </c>
      <c r="I882" s="3">
        <v>5</v>
      </c>
      <c r="J882" s="3" t="s">
        <v>12</v>
      </c>
      <c r="K882" s="18">
        <v>123</v>
      </c>
      <c r="L882" s="16">
        <v>150</v>
      </c>
      <c r="M882" s="6" t="str" cm="1">
        <f t="array" ref="M882">_xlfn.IFS(L882&lt;100,"Economy",L882&lt;200,"Standard",L882&lt;350,"Powerful",L882&lt;500,"High Performance",L882&lt;800,"Sports Performance",L882&gt;=800,"Super Performance")</f>
        <v>Standard</v>
      </c>
    </row>
    <row r="883" spans="1:13" x14ac:dyDescent="0.25">
      <c r="A883" s="5" t="s">
        <v>40</v>
      </c>
      <c r="B883" s="3" t="s">
        <v>642</v>
      </c>
      <c r="C883" s="3" t="s">
        <v>735</v>
      </c>
      <c r="D883" s="4">
        <v>999900</v>
      </c>
      <c r="E883" s="3">
        <v>1497</v>
      </c>
      <c r="F883" s="3">
        <v>4</v>
      </c>
      <c r="G883" s="3" t="s">
        <v>10</v>
      </c>
      <c r="H883" s="3" t="s">
        <v>66</v>
      </c>
      <c r="I883" s="3">
        <v>5</v>
      </c>
      <c r="J883" s="3" t="s">
        <v>12</v>
      </c>
      <c r="K883" s="18">
        <v>123</v>
      </c>
      <c r="L883" s="16">
        <v>150</v>
      </c>
      <c r="M883" s="6" t="str" cm="1">
        <f t="array" ref="M883">_xlfn.IFS(L883&lt;100,"Economy",L883&lt;200,"Standard",L883&lt;350,"Powerful",L883&lt;500,"High Performance",L883&lt;800,"Sports Performance",L883&gt;=800,"Super Performance")</f>
        <v>Standard</v>
      </c>
    </row>
    <row r="884" spans="1:13" x14ac:dyDescent="0.25">
      <c r="A884" s="5" t="s">
        <v>93</v>
      </c>
      <c r="B884" s="3" t="s">
        <v>914</v>
      </c>
      <c r="C884" s="3" t="s">
        <v>915</v>
      </c>
      <c r="D884" s="4">
        <v>788913</v>
      </c>
      <c r="E884" s="3">
        <v>998</v>
      </c>
      <c r="F884" s="3">
        <v>3</v>
      </c>
      <c r="G884" s="3" t="s">
        <v>10</v>
      </c>
      <c r="H884" s="3" t="s">
        <v>11</v>
      </c>
      <c r="I884" s="3">
        <v>5</v>
      </c>
      <c r="J884" s="3" t="s">
        <v>12</v>
      </c>
      <c r="K884" s="18">
        <v>102</v>
      </c>
      <c r="L884" s="16">
        <v>150</v>
      </c>
      <c r="M884" s="6" t="str" cm="1">
        <f t="array" ref="M884">_xlfn.IFS(L884&lt;100,"Economy",L884&lt;200,"Standard",L884&lt;350,"Powerful",L884&lt;500,"High Performance",L884&lt;800,"Sports Performance",L884&gt;=800,"Super Performance")</f>
        <v>Standard</v>
      </c>
    </row>
    <row r="885" spans="1:13" x14ac:dyDescent="0.25">
      <c r="A885" s="5" t="s">
        <v>131</v>
      </c>
      <c r="B885" s="3" t="s">
        <v>1065</v>
      </c>
      <c r="C885" s="3" t="s">
        <v>1066</v>
      </c>
      <c r="D885" s="4">
        <v>952900</v>
      </c>
      <c r="E885" s="3">
        <v>1497</v>
      </c>
      <c r="F885" s="3">
        <v>4</v>
      </c>
      <c r="G885" s="3" t="s">
        <v>10</v>
      </c>
      <c r="H885" s="3" t="s">
        <v>66</v>
      </c>
      <c r="I885" s="3">
        <v>7</v>
      </c>
      <c r="J885" s="3" t="s">
        <v>12</v>
      </c>
      <c r="K885" s="18">
        <v>119</v>
      </c>
      <c r="L885" s="16">
        <v>145</v>
      </c>
      <c r="M885" s="6" t="str" cm="1">
        <f t="array" ref="M885">_xlfn.IFS(L885&lt;100,"Economy",L885&lt;200,"Standard",L885&lt;350,"Powerful",L885&lt;500,"High Performance",L885&lt;800,"Sports Performance",L885&gt;=800,"Super Performance")</f>
        <v>Standard</v>
      </c>
    </row>
    <row r="886" spans="1:13" x14ac:dyDescent="0.25">
      <c r="A886" s="5" t="s">
        <v>131</v>
      </c>
      <c r="B886" s="3" t="s">
        <v>1065</v>
      </c>
      <c r="C886" s="3" t="s">
        <v>498</v>
      </c>
      <c r="D886" s="4">
        <v>1052900</v>
      </c>
      <c r="E886" s="3">
        <v>1497</v>
      </c>
      <c r="F886" s="3">
        <v>4</v>
      </c>
      <c r="G886" s="3" t="s">
        <v>10</v>
      </c>
      <c r="H886" s="3" t="s">
        <v>66</v>
      </c>
      <c r="I886" s="3">
        <v>7</v>
      </c>
      <c r="J886" s="3" t="s">
        <v>12</v>
      </c>
      <c r="K886" s="18">
        <v>119</v>
      </c>
      <c r="L886" s="16">
        <v>145</v>
      </c>
      <c r="M886" s="6" t="str" cm="1">
        <f t="array" ref="M886">_xlfn.IFS(L886&lt;100,"Economy",L886&lt;200,"Standard",L886&lt;350,"Powerful",L886&lt;500,"High Performance",L886&lt;800,"Sports Performance",L886&gt;=800,"Super Performance")</f>
        <v>Standard</v>
      </c>
    </row>
    <row r="887" spans="1:13" x14ac:dyDescent="0.25">
      <c r="A887" s="5" t="s">
        <v>131</v>
      </c>
      <c r="B887" s="3" t="s">
        <v>1065</v>
      </c>
      <c r="C887" s="3" t="s">
        <v>470</v>
      </c>
      <c r="D887" s="4">
        <v>1167900</v>
      </c>
      <c r="E887" s="3">
        <v>1497</v>
      </c>
      <c r="F887" s="3">
        <v>4</v>
      </c>
      <c r="G887" s="3" t="s">
        <v>10</v>
      </c>
      <c r="H887" s="3" t="s">
        <v>66</v>
      </c>
      <c r="I887" s="3">
        <v>7</v>
      </c>
      <c r="J887" s="3" t="s">
        <v>12</v>
      </c>
      <c r="K887" s="18">
        <v>119</v>
      </c>
      <c r="L887" s="16">
        <v>145</v>
      </c>
      <c r="M887" s="6" t="str" cm="1">
        <f t="array" ref="M887">_xlfn.IFS(L887&lt;100,"Economy",L887&lt;200,"Standard",L887&lt;350,"Powerful",L887&lt;500,"High Performance",L887&lt;800,"Sports Performance",L887&gt;=800,"Super Performance")</f>
        <v>Standard</v>
      </c>
    </row>
    <row r="888" spans="1:13" x14ac:dyDescent="0.25">
      <c r="A888" s="5" t="s">
        <v>131</v>
      </c>
      <c r="B888" s="3" t="s">
        <v>1065</v>
      </c>
      <c r="C888" s="3" t="s">
        <v>472</v>
      </c>
      <c r="D888" s="4">
        <v>1271900</v>
      </c>
      <c r="E888" s="3">
        <v>1497</v>
      </c>
      <c r="F888" s="3">
        <v>4</v>
      </c>
      <c r="G888" s="3" t="s">
        <v>10</v>
      </c>
      <c r="H888" s="3" t="s">
        <v>66</v>
      </c>
      <c r="I888" s="3">
        <v>7</v>
      </c>
      <c r="J888" s="3" t="s">
        <v>12</v>
      </c>
      <c r="K888" s="18">
        <v>119</v>
      </c>
      <c r="L888" s="16">
        <v>145</v>
      </c>
      <c r="M888" s="6" t="str" cm="1">
        <f t="array" ref="M888">_xlfn.IFS(L888&lt;100,"Economy",L888&lt;200,"Standard",L888&lt;350,"Powerful",L888&lt;500,"High Performance",L888&lt;800,"Sports Performance",L888&gt;=800,"Super Performance")</f>
        <v>Standard</v>
      </c>
    </row>
    <row r="889" spans="1:13" x14ac:dyDescent="0.25">
      <c r="A889" s="5" t="s">
        <v>131</v>
      </c>
      <c r="B889" s="3" t="s">
        <v>1065</v>
      </c>
      <c r="C889" s="3" t="s">
        <v>849</v>
      </c>
      <c r="D889" s="4">
        <v>1285900</v>
      </c>
      <c r="E889" s="3">
        <v>1497</v>
      </c>
      <c r="F889" s="3">
        <v>4</v>
      </c>
      <c r="G889" s="3" t="s">
        <v>10</v>
      </c>
      <c r="H889" s="3" t="s">
        <v>66</v>
      </c>
      <c r="I889" s="3">
        <v>7</v>
      </c>
      <c r="J889" s="3" t="s">
        <v>30</v>
      </c>
      <c r="K889" s="18">
        <v>119</v>
      </c>
      <c r="L889" s="16">
        <v>145</v>
      </c>
      <c r="M889" s="6" t="str" cm="1">
        <f t="array" ref="M889">_xlfn.IFS(L889&lt;100,"Economy",L889&lt;200,"Standard",L889&lt;350,"Powerful",L889&lt;500,"High Performance",L889&lt;800,"Sports Performance",L889&gt;=800,"Super Performance")</f>
        <v>Standard</v>
      </c>
    </row>
    <row r="890" spans="1:13" x14ac:dyDescent="0.25">
      <c r="A890" s="5" t="s">
        <v>330</v>
      </c>
      <c r="B890" s="3" t="s">
        <v>1272</v>
      </c>
      <c r="C890" s="3" t="s">
        <v>1273</v>
      </c>
      <c r="D890" s="4">
        <v>999900</v>
      </c>
      <c r="E890" s="3">
        <v>1598</v>
      </c>
      <c r="F890" s="3">
        <v>4</v>
      </c>
      <c r="G890" s="3" t="s">
        <v>10</v>
      </c>
      <c r="H890" s="3" t="s">
        <v>66</v>
      </c>
      <c r="I890" s="3">
        <v>5</v>
      </c>
      <c r="J890" s="3" t="s">
        <v>12</v>
      </c>
      <c r="K890" s="18">
        <v>104</v>
      </c>
      <c r="L890" s="16">
        <v>145</v>
      </c>
      <c r="M890" s="6" t="str" cm="1">
        <f t="array" ref="M890">_xlfn.IFS(L890&lt;100,"Economy",L890&lt;200,"Standard",L890&lt;350,"Powerful",L890&lt;500,"High Performance",L890&lt;800,"Sports Performance",L890&gt;=800,"Super Performance")</f>
        <v>Standard</v>
      </c>
    </row>
    <row r="891" spans="1:13" x14ac:dyDescent="0.25">
      <c r="A891" s="5" t="s">
        <v>131</v>
      </c>
      <c r="B891" s="3" t="s">
        <v>1373</v>
      </c>
      <c r="C891" s="3" t="s">
        <v>1374</v>
      </c>
      <c r="D891" s="4">
        <v>991000</v>
      </c>
      <c r="E891" s="3">
        <v>1497</v>
      </c>
      <c r="F891" s="3">
        <v>4</v>
      </c>
      <c r="G891" s="3" t="s">
        <v>10</v>
      </c>
      <c r="H891" s="3" t="s">
        <v>27</v>
      </c>
      <c r="I891" s="3">
        <v>5</v>
      </c>
      <c r="J891" s="3" t="s">
        <v>12</v>
      </c>
      <c r="K891" s="18">
        <v>119</v>
      </c>
      <c r="L891" s="16">
        <v>145</v>
      </c>
      <c r="M891" s="6" t="str" cm="1">
        <f t="array" ref="M891">_xlfn.IFS(L891&lt;100,"Economy",L891&lt;200,"Standard",L891&lt;350,"Powerful",L891&lt;500,"High Performance",L891&lt;800,"Sports Performance",L891&gt;=800,"Super Performance")</f>
        <v>Standard</v>
      </c>
    </row>
    <row r="892" spans="1:13" x14ac:dyDescent="0.25">
      <c r="A892" s="5" t="s">
        <v>131</v>
      </c>
      <c r="B892" s="3" t="s">
        <v>1373</v>
      </c>
      <c r="C892" s="3" t="s">
        <v>855</v>
      </c>
      <c r="D892" s="4">
        <v>1065900</v>
      </c>
      <c r="E892" s="3">
        <v>1497</v>
      </c>
      <c r="F892" s="3">
        <v>4</v>
      </c>
      <c r="G892" s="3" t="s">
        <v>10</v>
      </c>
      <c r="H892" s="3" t="s">
        <v>27</v>
      </c>
      <c r="I892" s="3">
        <v>5</v>
      </c>
      <c r="J892" s="3" t="s">
        <v>12</v>
      </c>
      <c r="K892" s="18">
        <v>119</v>
      </c>
      <c r="L892" s="16">
        <v>145</v>
      </c>
      <c r="M892" s="6" t="str" cm="1">
        <f t="array" ref="M892">_xlfn.IFS(L892&lt;100,"Economy",L892&lt;200,"Standard",L892&lt;350,"Powerful",L892&lt;500,"High Performance",L892&lt;800,"Sports Performance",L892&gt;=800,"Super Performance")</f>
        <v>Standard</v>
      </c>
    </row>
    <row r="893" spans="1:13" x14ac:dyDescent="0.25">
      <c r="A893" s="5" t="s">
        <v>131</v>
      </c>
      <c r="B893" s="3" t="s">
        <v>1373</v>
      </c>
      <c r="C893" s="3" t="s">
        <v>854</v>
      </c>
      <c r="D893" s="4">
        <v>1182000</v>
      </c>
      <c r="E893" s="3">
        <v>1497</v>
      </c>
      <c r="F893" s="3">
        <v>4</v>
      </c>
      <c r="G893" s="3" t="s">
        <v>10</v>
      </c>
      <c r="H893" s="3" t="s">
        <v>27</v>
      </c>
      <c r="I893" s="3">
        <v>5</v>
      </c>
      <c r="J893" s="3" t="s">
        <v>12</v>
      </c>
      <c r="K893" s="18">
        <v>119</v>
      </c>
      <c r="L893" s="16">
        <v>145</v>
      </c>
      <c r="M893" s="6" t="str" cm="1">
        <f t="array" ref="M893">_xlfn.IFS(L893&lt;100,"Economy",L893&lt;200,"Standard",L893&lt;350,"Powerful",L893&lt;500,"High Performance",L893&lt;800,"Sports Performance",L893&gt;=800,"Super Performance")</f>
        <v>Standard</v>
      </c>
    </row>
    <row r="894" spans="1:13" x14ac:dyDescent="0.25">
      <c r="A894" s="5" t="s">
        <v>131</v>
      </c>
      <c r="B894" s="3" t="s">
        <v>1373</v>
      </c>
      <c r="C894" s="3" t="s">
        <v>858</v>
      </c>
      <c r="D894" s="4">
        <v>1312000</v>
      </c>
      <c r="E894" s="3">
        <v>1497</v>
      </c>
      <c r="F894" s="3">
        <v>4</v>
      </c>
      <c r="G894" s="3" t="s">
        <v>10</v>
      </c>
      <c r="H894" s="3" t="s">
        <v>27</v>
      </c>
      <c r="I894" s="3">
        <v>5</v>
      </c>
      <c r="J894" s="3" t="s">
        <v>30</v>
      </c>
      <c r="K894" s="18">
        <v>119</v>
      </c>
      <c r="L894" s="16">
        <v>145</v>
      </c>
      <c r="M894" s="6" t="str" cm="1">
        <f t="array" ref="M894">_xlfn.IFS(L894&lt;100,"Economy",L894&lt;200,"Standard",L894&lt;350,"Powerful",L894&lt;500,"High Performance",L894&lt;800,"Sports Performance",L894&gt;=800,"Super Performance")</f>
        <v>Standard</v>
      </c>
    </row>
    <row r="895" spans="1:13" x14ac:dyDescent="0.25">
      <c r="A895" s="5" t="s">
        <v>131</v>
      </c>
      <c r="B895" s="3" t="s">
        <v>1373</v>
      </c>
      <c r="C895" s="3" t="s">
        <v>849</v>
      </c>
      <c r="D895" s="4">
        <v>1201000</v>
      </c>
      <c r="E895" s="3">
        <v>1497</v>
      </c>
      <c r="F895" s="3">
        <v>4</v>
      </c>
      <c r="G895" s="3" t="s">
        <v>10</v>
      </c>
      <c r="H895" s="3" t="s">
        <v>27</v>
      </c>
      <c r="I895" s="3">
        <v>5</v>
      </c>
      <c r="J895" s="3" t="s">
        <v>30</v>
      </c>
      <c r="K895" s="18">
        <v>119</v>
      </c>
      <c r="L895" s="16">
        <v>145</v>
      </c>
      <c r="M895" s="6" t="str" cm="1">
        <f t="array" ref="M895">_xlfn.IFS(L895&lt;100,"Economy",L895&lt;200,"Standard",L895&lt;350,"Powerful",L895&lt;500,"High Performance",L895&lt;800,"Sports Performance",L895&gt;=800,"Super Performance")</f>
        <v>Standard</v>
      </c>
    </row>
    <row r="896" spans="1:13" x14ac:dyDescent="0.25">
      <c r="A896" s="5" t="s">
        <v>131</v>
      </c>
      <c r="B896" s="3" t="s">
        <v>1373</v>
      </c>
      <c r="C896" s="3" t="s">
        <v>1380</v>
      </c>
      <c r="D896" s="4">
        <v>1431000</v>
      </c>
      <c r="E896" s="3">
        <v>1497</v>
      </c>
      <c r="F896" s="3">
        <v>4</v>
      </c>
      <c r="G896" s="3" t="s">
        <v>10</v>
      </c>
      <c r="H896" s="3" t="s">
        <v>27</v>
      </c>
      <c r="I896" s="3">
        <v>5</v>
      </c>
      <c r="J896" s="3" t="s">
        <v>30</v>
      </c>
      <c r="K896" s="18">
        <v>119</v>
      </c>
      <c r="L896" s="16">
        <v>145</v>
      </c>
      <c r="M896" s="6" t="str" cm="1">
        <f t="array" ref="M896">_xlfn.IFS(L896&lt;100,"Economy",L896&lt;200,"Standard",L896&lt;350,"Powerful",L896&lt;500,"High Performance",L896&lt;800,"Sports Performance",L896&gt;=800,"Super Performance")</f>
        <v>Standard</v>
      </c>
    </row>
    <row r="897" spans="1:13" x14ac:dyDescent="0.25">
      <c r="A897" s="5" t="s">
        <v>239</v>
      </c>
      <c r="B897" s="3" t="s">
        <v>669</v>
      </c>
      <c r="C897" s="3" t="s">
        <v>670</v>
      </c>
      <c r="D897" s="4">
        <v>1029000</v>
      </c>
      <c r="E897" s="3">
        <v>1497</v>
      </c>
      <c r="F897" s="3">
        <v>0</v>
      </c>
      <c r="G897" s="3" t="s">
        <v>10</v>
      </c>
      <c r="H897" s="3" t="s">
        <v>66</v>
      </c>
      <c r="I897" s="3">
        <v>5</v>
      </c>
      <c r="J897" s="3" t="s">
        <v>12</v>
      </c>
      <c r="K897" s="18">
        <v>115</v>
      </c>
      <c r="L897" s="16">
        <v>144</v>
      </c>
      <c r="M897" s="6" t="str" cm="1">
        <f t="array" ref="M897">_xlfn.IFS(L897&lt;100,"Economy",L897&lt;200,"Standard",L897&lt;350,"Powerful",L897&lt;500,"High Performance",L897&lt;800,"Sports Performance",L897&gt;=800,"Super Performance")</f>
        <v>Standard</v>
      </c>
    </row>
    <row r="898" spans="1:13" x14ac:dyDescent="0.25">
      <c r="A898" s="5" t="s">
        <v>239</v>
      </c>
      <c r="B898" s="3" t="s">
        <v>669</v>
      </c>
      <c r="C898" s="3" t="s">
        <v>671</v>
      </c>
      <c r="D898" s="4">
        <v>1149000</v>
      </c>
      <c r="E898" s="3">
        <v>1497</v>
      </c>
      <c r="F898" s="3">
        <v>0</v>
      </c>
      <c r="G898" s="3" t="s">
        <v>10</v>
      </c>
      <c r="H898" s="3" t="s">
        <v>66</v>
      </c>
      <c r="I898" s="3">
        <v>5</v>
      </c>
      <c r="J898" s="3" t="s">
        <v>12</v>
      </c>
      <c r="K898" s="18">
        <v>115</v>
      </c>
      <c r="L898" s="16">
        <v>144</v>
      </c>
      <c r="M898" s="6" t="str" cm="1">
        <f t="array" ref="M898">_xlfn.IFS(L898&lt;100,"Economy",L898&lt;200,"Standard",L898&lt;350,"Powerful",L898&lt;500,"High Performance",L898&lt;800,"Sports Performance",L898&gt;=800,"Super Performance")</f>
        <v>Standard</v>
      </c>
    </row>
    <row r="899" spans="1:13" x14ac:dyDescent="0.25">
      <c r="A899" s="5" t="s">
        <v>239</v>
      </c>
      <c r="B899" s="3" t="s">
        <v>669</v>
      </c>
      <c r="C899" s="3" t="s">
        <v>672</v>
      </c>
      <c r="D899" s="4">
        <v>1309000</v>
      </c>
      <c r="E899" s="3">
        <v>1497</v>
      </c>
      <c r="F899" s="3">
        <v>0</v>
      </c>
      <c r="G899" s="3" t="s">
        <v>10</v>
      </c>
      <c r="H899" s="3" t="s">
        <v>66</v>
      </c>
      <c r="I899" s="3">
        <v>5</v>
      </c>
      <c r="J899" s="3" t="s">
        <v>12</v>
      </c>
      <c r="K899" s="18">
        <v>115</v>
      </c>
      <c r="L899" s="16">
        <v>144</v>
      </c>
      <c r="M899" s="6" t="str" cm="1">
        <f t="array" ref="M899">_xlfn.IFS(L899&lt;100,"Economy",L899&lt;200,"Standard",L899&lt;350,"Powerful",L899&lt;500,"High Performance",L899&lt;800,"Sports Performance",L899&gt;=800,"Super Performance")</f>
        <v>Standard</v>
      </c>
    </row>
    <row r="900" spans="1:13" x14ac:dyDescent="0.25">
      <c r="A900" s="5" t="s">
        <v>239</v>
      </c>
      <c r="B900" s="3" t="s">
        <v>669</v>
      </c>
      <c r="C900" s="3" t="s">
        <v>673</v>
      </c>
      <c r="D900" s="4">
        <v>1409000</v>
      </c>
      <c r="E900" s="3">
        <v>1497</v>
      </c>
      <c r="F900" s="3">
        <v>0</v>
      </c>
      <c r="G900" s="3" t="s">
        <v>10</v>
      </c>
      <c r="H900" s="3" t="s">
        <v>66</v>
      </c>
      <c r="I900" s="3">
        <v>5</v>
      </c>
      <c r="J900" s="3" t="s">
        <v>30</v>
      </c>
      <c r="K900" s="18">
        <v>115</v>
      </c>
      <c r="L900" s="16">
        <v>144</v>
      </c>
      <c r="M900" s="6" t="str" cm="1">
        <f t="array" ref="M900">_xlfn.IFS(L900&lt;100,"Economy",L900&lt;200,"Standard",L900&lt;350,"Powerful",L900&lt;500,"High Performance",L900&lt;800,"Sports Performance",L900&gt;=800,"Super Performance")</f>
        <v>Standard</v>
      </c>
    </row>
    <row r="901" spans="1:13" x14ac:dyDescent="0.25">
      <c r="A901" s="5" t="s">
        <v>239</v>
      </c>
      <c r="B901" s="3" t="s">
        <v>669</v>
      </c>
      <c r="C901" s="3" t="s">
        <v>770</v>
      </c>
      <c r="D901" s="4">
        <v>989000</v>
      </c>
      <c r="E901" s="3">
        <v>1497</v>
      </c>
      <c r="F901" s="3">
        <v>4</v>
      </c>
      <c r="G901" s="3" t="s">
        <v>10</v>
      </c>
      <c r="H901" s="3" t="s">
        <v>66</v>
      </c>
      <c r="I901" s="3">
        <v>5</v>
      </c>
      <c r="J901" s="3" t="s">
        <v>12</v>
      </c>
      <c r="K901" s="18">
        <v>115</v>
      </c>
      <c r="L901" s="16">
        <v>144</v>
      </c>
      <c r="M901" s="6" t="str" cm="1">
        <f t="array" ref="M901">_xlfn.IFS(L901&lt;100,"Economy",L901&lt;200,"Standard",L901&lt;350,"Powerful",L901&lt;500,"High Performance",L901&lt;800,"Sports Performance",L901&gt;=800,"Super Performance")</f>
        <v>Standard</v>
      </c>
    </row>
    <row r="902" spans="1:13" x14ac:dyDescent="0.25">
      <c r="A902" s="5" t="s">
        <v>350</v>
      </c>
      <c r="B902" s="3" t="s">
        <v>765</v>
      </c>
      <c r="C902" s="3" t="s">
        <v>766</v>
      </c>
      <c r="D902" s="4">
        <v>949999</v>
      </c>
      <c r="E902" s="3">
        <v>1498</v>
      </c>
      <c r="F902" s="3">
        <v>4</v>
      </c>
      <c r="G902" s="3" t="s">
        <v>10</v>
      </c>
      <c r="H902" s="3" t="s">
        <v>66</v>
      </c>
      <c r="I902" s="3">
        <v>5</v>
      </c>
      <c r="J902" s="3" t="s">
        <v>12</v>
      </c>
      <c r="K902" s="18">
        <v>106</v>
      </c>
      <c r="L902" s="16">
        <v>142</v>
      </c>
      <c r="M902" s="6" t="str" cm="1">
        <f t="array" ref="M902">_xlfn.IFS(L902&lt;100,"Economy",L902&lt;200,"Standard",L902&lt;350,"Powerful",L902&lt;500,"High Performance",L902&lt;800,"Sports Performance",L902&gt;=800,"Super Performance")</f>
        <v>Standard</v>
      </c>
    </row>
    <row r="903" spans="1:13" x14ac:dyDescent="0.25">
      <c r="A903" s="5" t="s">
        <v>350</v>
      </c>
      <c r="B903" s="3" t="s">
        <v>765</v>
      </c>
      <c r="C903" s="3" t="s">
        <v>769</v>
      </c>
      <c r="D903" s="4">
        <v>1199999</v>
      </c>
      <c r="E903" s="3">
        <v>1498</v>
      </c>
      <c r="F903" s="3">
        <v>4</v>
      </c>
      <c r="G903" s="3" t="s">
        <v>10</v>
      </c>
      <c r="H903" s="3" t="s">
        <v>66</v>
      </c>
      <c r="I903" s="3">
        <v>5</v>
      </c>
      <c r="J903" s="3" t="s">
        <v>12</v>
      </c>
      <c r="K903" s="18">
        <v>106</v>
      </c>
      <c r="L903" s="16">
        <v>142</v>
      </c>
      <c r="M903" s="6" t="str" cm="1">
        <f t="array" ref="M903">_xlfn.IFS(L903&lt;100,"Economy",L903&lt;200,"Standard",L903&lt;350,"Powerful",L903&lt;500,"High Performance",L903&lt;800,"Sports Performance",L903&gt;=800,"Super Performance")</f>
        <v>Standard</v>
      </c>
    </row>
    <row r="904" spans="1:13" x14ac:dyDescent="0.25">
      <c r="A904" s="5" t="s">
        <v>330</v>
      </c>
      <c r="B904" s="3" t="s">
        <v>808</v>
      </c>
      <c r="C904" s="3" t="s">
        <v>333</v>
      </c>
      <c r="D904" s="4">
        <v>955000</v>
      </c>
      <c r="E904" s="3">
        <v>1498</v>
      </c>
      <c r="F904" s="3">
        <v>4</v>
      </c>
      <c r="G904" s="3" t="s">
        <v>10</v>
      </c>
      <c r="H904" s="3" t="s">
        <v>66</v>
      </c>
      <c r="I904" s="3">
        <v>5</v>
      </c>
      <c r="J904" s="3" t="s">
        <v>12</v>
      </c>
      <c r="K904" s="18">
        <v>106</v>
      </c>
      <c r="L904" s="16">
        <v>142</v>
      </c>
      <c r="M904" s="6" t="str" cm="1">
        <f t="array" ref="M904">_xlfn.IFS(L904&lt;100,"Economy",L904&lt;200,"Standard",L904&lt;350,"Powerful",L904&lt;500,"High Performance",L904&lt;800,"Sports Performance",L904&gt;=800,"Super Performance")</f>
        <v>Standard</v>
      </c>
    </row>
    <row r="905" spans="1:13" x14ac:dyDescent="0.25">
      <c r="A905" s="5" t="s">
        <v>330</v>
      </c>
      <c r="B905" s="3" t="s">
        <v>808</v>
      </c>
      <c r="C905" s="3" t="s">
        <v>809</v>
      </c>
      <c r="D905" s="4">
        <v>1095000</v>
      </c>
      <c r="E905" s="3">
        <v>1498</v>
      </c>
      <c r="F905" s="3">
        <v>4</v>
      </c>
      <c r="G905" s="3" t="s">
        <v>10</v>
      </c>
      <c r="H905" s="3" t="s">
        <v>66</v>
      </c>
      <c r="I905" s="3">
        <v>5</v>
      </c>
      <c r="J905" s="3" t="s">
        <v>12</v>
      </c>
      <c r="K905" s="18">
        <v>106</v>
      </c>
      <c r="L905" s="16">
        <v>142</v>
      </c>
      <c r="M905" s="6" t="str" cm="1">
        <f t="array" ref="M905">_xlfn.IFS(L905&lt;100,"Economy",L905&lt;200,"Standard",L905&lt;350,"Powerful",L905&lt;500,"High Performance",L905&lt;800,"Sports Performance",L905&gt;=800,"Super Performance")</f>
        <v>Standard</v>
      </c>
    </row>
    <row r="906" spans="1:13" x14ac:dyDescent="0.25">
      <c r="A906" s="5" t="s">
        <v>350</v>
      </c>
      <c r="B906" s="3" t="s">
        <v>1233</v>
      </c>
      <c r="C906" s="3" t="s">
        <v>766</v>
      </c>
      <c r="D906" s="4">
        <v>799990</v>
      </c>
      <c r="E906" s="3">
        <v>1498</v>
      </c>
      <c r="F906" s="3">
        <v>4</v>
      </c>
      <c r="G906" s="3" t="s">
        <v>10</v>
      </c>
      <c r="H906" s="3" t="s">
        <v>66</v>
      </c>
      <c r="I906" s="3">
        <v>5</v>
      </c>
      <c r="J906" s="3" t="s">
        <v>12</v>
      </c>
      <c r="K906" s="18">
        <v>106</v>
      </c>
      <c r="L906" s="16">
        <v>142</v>
      </c>
      <c r="M906" s="6" t="str" cm="1">
        <f t="array" ref="M906">_xlfn.IFS(L906&lt;100,"Economy",L906&lt;200,"Standard",L906&lt;350,"Powerful",L906&lt;500,"High Performance",L906&lt;800,"Sports Performance",L906&gt;=800,"Super Performance")</f>
        <v>Standard</v>
      </c>
    </row>
    <row r="907" spans="1:13" x14ac:dyDescent="0.25">
      <c r="A907" s="5" t="s">
        <v>350</v>
      </c>
      <c r="B907" s="3" t="s">
        <v>1233</v>
      </c>
      <c r="C907" s="3" t="s">
        <v>1234</v>
      </c>
      <c r="D907" s="4">
        <v>919990</v>
      </c>
      <c r="E907" s="3">
        <v>1498</v>
      </c>
      <c r="F907" s="3">
        <v>4</v>
      </c>
      <c r="G907" s="3" t="s">
        <v>10</v>
      </c>
      <c r="H907" s="3" t="s">
        <v>66</v>
      </c>
      <c r="I907" s="3">
        <v>5</v>
      </c>
      <c r="J907" s="3" t="s">
        <v>12</v>
      </c>
      <c r="K907" s="18">
        <v>106</v>
      </c>
      <c r="L907" s="16">
        <v>142</v>
      </c>
      <c r="M907" s="6" t="str" cm="1">
        <f t="array" ref="M907">_xlfn.IFS(L907&lt;100,"Economy",L907&lt;200,"Standard",L907&lt;350,"Powerful",L907&lt;500,"High Performance",L907&lt;800,"Sports Performance",L907&gt;=800,"Super Performance")</f>
        <v>Standard</v>
      </c>
    </row>
    <row r="908" spans="1:13" x14ac:dyDescent="0.25">
      <c r="A908" s="5" t="s">
        <v>350</v>
      </c>
      <c r="B908" s="3" t="s">
        <v>1233</v>
      </c>
      <c r="C908" s="3" t="s">
        <v>1236</v>
      </c>
      <c r="D908" s="4">
        <v>999990</v>
      </c>
      <c r="E908" s="3">
        <v>1498</v>
      </c>
      <c r="F908" s="3">
        <v>4</v>
      </c>
      <c r="G908" s="3" t="s">
        <v>10</v>
      </c>
      <c r="H908" s="3" t="s">
        <v>66</v>
      </c>
      <c r="I908" s="3">
        <v>5</v>
      </c>
      <c r="J908" s="3" t="s">
        <v>60</v>
      </c>
      <c r="K908" s="18">
        <v>106</v>
      </c>
      <c r="L908" s="16">
        <v>142</v>
      </c>
      <c r="M908" s="6" t="str" cm="1">
        <f t="array" ref="M908">_xlfn.IFS(L908&lt;100,"Economy",L908&lt;200,"Standard",L908&lt;350,"Powerful",L908&lt;500,"High Performance",L908&lt;800,"Sports Performance",L908&gt;=800,"Super Performance")</f>
        <v>Standard</v>
      </c>
    </row>
    <row r="909" spans="1:13" x14ac:dyDescent="0.25">
      <c r="A909" s="5" t="s">
        <v>55</v>
      </c>
      <c r="B909" s="3" t="s">
        <v>1376</v>
      </c>
      <c r="C909" s="3" t="s">
        <v>1377</v>
      </c>
      <c r="D909" s="4">
        <v>4509000</v>
      </c>
      <c r="E909" s="3">
        <v>1798</v>
      </c>
      <c r="F909" s="3">
        <v>4</v>
      </c>
      <c r="G909" s="3" t="s">
        <v>194</v>
      </c>
      <c r="H909" s="3" t="s">
        <v>27</v>
      </c>
      <c r="I909" s="3">
        <v>5</v>
      </c>
      <c r="J909" s="3" t="s">
        <v>30</v>
      </c>
      <c r="K909" s="18">
        <v>98</v>
      </c>
      <c r="L909" s="16">
        <v>142</v>
      </c>
      <c r="M909" s="6" t="str" cm="1">
        <f t="array" ref="M909">_xlfn.IFS(L909&lt;100,"Economy",L909&lt;200,"Standard",L909&lt;350,"Powerful",L909&lt;500,"High Performance",L909&lt;800,"Sports Performance",L909&gt;=800,"Super Performance")</f>
        <v>Standard</v>
      </c>
    </row>
    <row r="910" spans="1:13" x14ac:dyDescent="0.25">
      <c r="A910" s="5" t="s">
        <v>22</v>
      </c>
      <c r="B910" s="3" t="s">
        <v>454</v>
      </c>
      <c r="C910" s="3" t="s">
        <v>458</v>
      </c>
      <c r="D910" s="4">
        <v>674960</v>
      </c>
      <c r="E910" s="3">
        <v>1193</v>
      </c>
      <c r="F910" s="3">
        <v>4</v>
      </c>
      <c r="G910" s="3" t="s">
        <v>10</v>
      </c>
      <c r="H910" s="3" t="s">
        <v>11</v>
      </c>
      <c r="I910" s="3">
        <v>5</v>
      </c>
      <c r="J910" s="3" t="s">
        <v>12</v>
      </c>
      <c r="K910" s="18">
        <v>90</v>
      </c>
      <c r="L910" s="16">
        <v>140</v>
      </c>
      <c r="M910" s="6" t="str" cm="1">
        <f t="array" ref="M910">_xlfn.IFS(L910&lt;100,"Economy",L910&lt;200,"Standard",L910&lt;350,"Powerful",L910&lt;500,"High Performance",L910&lt;800,"Sports Performance",L910&gt;=800,"Super Performance")</f>
        <v>Standard</v>
      </c>
    </row>
    <row r="911" spans="1:13" x14ac:dyDescent="0.25">
      <c r="A911" s="5" t="s">
        <v>22</v>
      </c>
      <c r="B911" s="3" t="s">
        <v>454</v>
      </c>
      <c r="C911" s="3" t="s">
        <v>332</v>
      </c>
      <c r="D911" s="4">
        <v>529035</v>
      </c>
      <c r="E911" s="3">
        <v>1193</v>
      </c>
      <c r="F911" s="3">
        <v>4</v>
      </c>
      <c r="G911" s="3" t="s">
        <v>10</v>
      </c>
      <c r="H911" s="3" t="s">
        <v>11</v>
      </c>
      <c r="I911" s="3">
        <v>5</v>
      </c>
      <c r="J911" s="3" t="s">
        <v>12</v>
      </c>
      <c r="K911" s="18">
        <v>90</v>
      </c>
      <c r="L911" s="16">
        <v>140</v>
      </c>
      <c r="M911" s="6" t="str" cm="1">
        <f t="array" ref="M911">_xlfn.IFS(L911&lt;100,"Economy",L911&lt;200,"Standard",L911&lt;350,"Powerful",L911&lt;500,"High Performance",L911&lt;800,"Sports Performance",L911&gt;=800,"Super Performance")</f>
        <v>Standard</v>
      </c>
    </row>
    <row r="912" spans="1:13" x14ac:dyDescent="0.25">
      <c r="A912" s="5" t="s">
        <v>22</v>
      </c>
      <c r="B912" s="3" t="s">
        <v>454</v>
      </c>
      <c r="C912" s="3" t="s">
        <v>459</v>
      </c>
      <c r="D912" s="4">
        <v>590268</v>
      </c>
      <c r="E912" s="3">
        <v>1193</v>
      </c>
      <c r="F912" s="3">
        <v>4</v>
      </c>
      <c r="G912" s="3" t="s">
        <v>10</v>
      </c>
      <c r="H912" s="3" t="s">
        <v>11</v>
      </c>
      <c r="I912" s="3">
        <v>5</v>
      </c>
      <c r="J912" s="3" t="s">
        <v>12</v>
      </c>
      <c r="K912" s="18">
        <v>90</v>
      </c>
      <c r="L912" s="16">
        <v>140</v>
      </c>
      <c r="M912" s="6" t="str" cm="1">
        <f t="array" ref="M912">_xlfn.IFS(L912&lt;100,"Economy",L912&lt;200,"Standard",L912&lt;350,"Powerful",L912&lt;500,"High Performance",L912&lt;800,"Sports Performance",L912&gt;=800,"Super Performance")</f>
        <v>Standard</v>
      </c>
    </row>
    <row r="913" spans="1:13" x14ac:dyDescent="0.25">
      <c r="A913" s="5" t="s">
        <v>22</v>
      </c>
      <c r="B913" s="3" t="s">
        <v>454</v>
      </c>
      <c r="C913" s="3" t="s">
        <v>460</v>
      </c>
      <c r="D913" s="4">
        <v>614515</v>
      </c>
      <c r="E913" s="3">
        <v>1193</v>
      </c>
      <c r="F913" s="3">
        <v>4</v>
      </c>
      <c r="G913" s="3" t="s">
        <v>10</v>
      </c>
      <c r="H913" s="3" t="s">
        <v>11</v>
      </c>
      <c r="I913" s="3">
        <v>5</v>
      </c>
      <c r="J913" s="3" t="s">
        <v>12</v>
      </c>
      <c r="K913" s="18">
        <v>90</v>
      </c>
      <c r="L913" s="16">
        <v>140</v>
      </c>
      <c r="M913" s="6" t="str" cm="1">
        <f t="array" ref="M913">_xlfn.IFS(L913&lt;100,"Economy",L913&lt;200,"Standard",L913&lt;350,"Powerful",L913&lt;500,"High Performance",L913&lt;800,"Sports Performance",L913&gt;=800,"Super Performance")</f>
        <v>Standard</v>
      </c>
    </row>
    <row r="914" spans="1:13" x14ac:dyDescent="0.25">
      <c r="A914" s="5" t="s">
        <v>22</v>
      </c>
      <c r="B914" s="3" t="s">
        <v>695</v>
      </c>
      <c r="C914" s="3" t="s">
        <v>697</v>
      </c>
      <c r="D914" s="4">
        <v>689993</v>
      </c>
      <c r="E914" s="3">
        <v>1047</v>
      </c>
      <c r="F914" s="3">
        <v>3</v>
      </c>
      <c r="G914" s="3" t="s">
        <v>36</v>
      </c>
      <c r="H914" s="3" t="s">
        <v>304</v>
      </c>
      <c r="I914" s="3">
        <v>5</v>
      </c>
      <c r="J914" s="3" t="s">
        <v>12</v>
      </c>
      <c r="K914" s="18">
        <v>70</v>
      </c>
      <c r="L914" s="16">
        <v>140</v>
      </c>
      <c r="M914" s="6" t="str" cm="1">
        <f t="array" ref="M914">_xlfn.IFS(L914&lt;100,"Economy",L914&lt;200,"Standard",L914&lt;350,"Powerful",L914&lt;500,"High Performance",L914&lt;800,"Sports Performance",L914&gt;=800,"Super Performance")</f>
        <v>Standard</v>
      </c>
    </row>
    <row r="915" spans="1:13" x14ac:dyDescent="0.25">
      <c r="A915" s="5" t="s">
        <v>55</v>
      </c>
      <c r="B915" s="3" t="s">
        <v>813</v>
      </c>
      <c r="C915" s="3" t="s">
        <v>814</v>
      </c>
      <c r="D915" s="4">
        <v>940000</v>
      </c>
      <c r="E915" s="3">
        <v>1496</v>
      </c>
      <c r="F915" s="3">
        <v>4</v>
      </c>
      <c r="G915" s="3" t="s">
        <v>10</v>
      </c>
      <c r="H915" s="3" t="s">
        <v>27</v>
      </c>
      <c r="I915" s="3">
        <v>5</v>
      </c>
      <c r="J915" s="3" t="s">
        <v>12</v>
      </c>
      <c r="K915" s="18">
        <v>107</v>
      </c>
      <c r="L915" s="16">
        <v>140</v>
      </c>
      <c r="M915" s="6" t="str" cm="1">
        <f t="array" ref="M915">_xlfn.IFS(L915&lt;100,"Economy",L915&lt;200,"Standard",L915&lt;350,"Powerful",L915&lt;500,"High Performance",L915&lt;800,"Sports Performance",L915&gt;=800,"Super Performance")</f>
        <v>Standard</v>
      </c>
    </row>
    <row r="916" spans="1:13" x14ac:dyDescent="0.25">
      <c r="A916" s="5" t="s">
        <v>55</v>
      </c>
      <c r="B916" s="3" t="s">
        <v>813</v>
      </c>
      <c r="C916" s="3" t="s">
        <v>462</v>
      </c>
      <c r="D916" s="4">
        <v>1055000</v>
      </c>
      <c r="E916" s="3">
        <v>1496</v>
      </c>
      <c r="F916" s="3">
        <v>4</v>
      </c>
      <c r="G916" s="3" t="s">
        <v>10</v>
      </c>
      <c r="H916" s="3" t="s">
        <v>27</v>
      </c>
      <c r="I916" s="3">
        <v>5</v>
      </c>
      <c r="J916" s="3" t="s">
        <v>12</v>
      </c>
      <c r="K916" s="18">
        <v>107</v>
      </c>
      <c r="L916" s="16">
        <v>140</v>
      </c>
      <c r="M916" s="6" t="str" cm="1">
        <f t="array" ref="M916">_xlfn.IFS(L916&lt;100,"Economy",L916&lt;200,"Standard",L916&lt;350,"Powerful",L916&lt;500,"High Performance",L916&lt;800,"Sports Performance",L916&gt;=800,"Super Performance")</f>
        <v>Standard</v>
      </c>
    </row>
    <row r="917" spans="1:13" x14ac:dyDescent="0.25">
      <c r="A917" s="5" t="s">
        <v>55</v>
      </c>
      <c r="B917" s="3" t="s">
        <v>813</v>
      </c>
      <c r="C917" s="3" t="s">
        <v>58</v>
      </c>
      <c r="D917" s="4">
        <v>1174000</v>
      </c>
      <c r="E917" s="3">
        <v>1498</v>
      </c>
      <c r="F917" s="3">
        <v>4</v>
      </c>
      <c r="G917" s="3" t="s">
        <v>10</v>
      </c>
      <c r="H917" s="3" t="s">
        <v>27</v>
      </c>
      <c r="I917" s="3">
        <v>5</v>
      </c>
      <c r="J917" s="3" t="s">
        <v>12</v>
      </c>
      <c r="K917" s="18">
        <v>107</v>
      </c>
      <c r="L917" s="16">
        <v>140</v>
      </c>
      <c r="M917" s="6" t="str" cm="1">
        <f t="array" ref="M917">_xlfn.IFS(L917&lt;100,"Economy",L917&lt;200,"Standard",L917&lt;350,"Powerful",L917&lt;500,"High Performance",L917&lt;800,"Sports Performance",L917&gt;=800,"Super Performance")</f>
        <v>Standard</v>
      </c>
    </row>
    <row r="918" spans="1:13" x14ac:dyDescent="0.25">
      <c r="A918" s="5" t="s">
        <v>55</v>
      </c>
      <c r="B918" s="3" t="s">
        <v>813</v>
      </c>
      <c r="C918" s="3" t="s">
        <v>471</v>
      </c>
      <c r="D918" s="4">
        <v>1418000</v>
      </c>
      <c r="E918" s="3">
        <v>1496</v>
      </c>
      <c r="F918" s="3">
        <v>4</v>
      </c>
      <c r="G918" s="3" t="s">
        <v>10</v>
      </c>
      <c r="H918" s="3" t="s">
        <v>27</v>
      </c>
      <c r="I918" s="3">
        <v>5</v>
      </c>
      <c r="J918" s="3" t="s">
        <v>30</v>
      </c>
      <c r="K918" s="18">
        <v>107</v>
      </c>
      <c r="L918" s="16">
        <v>140</v>
      </c>
      <c r="M918" s="6" t="str" cm="1">
        <f t="array" ref="M918">_xlfn.IFS(L918&lt;100,"Economy",L918&lt;200,"Standard",L918&lt;350,"Powerful",L918&lt;500,"High Performance",L918&lt;800,"Sports Performance",L918&gt;=800,"Super Performance")</f>
        <v>Standard</v>
      </c>
    </row>
    <row r="919" spans="1:13" x14ac:dyDescent="0.25">
      <c r="A919" s="5" t="s">
        <v>55</v>
      </c>
      <c r="B919" s="3" t="s">
        <v>813</v>
      </c>
      <c r="C919" s="3" t="s">
        <v>59</v>
      </c>
      <c r="D919" s="4">
        <v>1175000</v>
      </c>
      <c r="E919" s="3">
        <v>1496</v>
      </c>
      <c r="F919" s="3">
        <v>4</v>
      </c>
      <c r="G919" s="3" t="s">
        <v>10</v>
      </c>
      <c r="H919" s="3" t="s">
        <v>27</v>
      </c>
      <c r="I919" s="3">
        <v>5</v>
      </c>
      <c r="J919" s="3" t="s">
        <v>30</v>
      </c>
      <c r="K919" s="18">
        <v>107</v>
      </c>
      <c r="L919" s="16">
        <v>140</v>
      </c>
      <c r="M919" s="6" t="str" cm="1">
        <f t="array" ref="M919">_xlfn.IFS(L919&lt;100,"Economy",L919&lt;200,"Standard",L919&lt;350,"Powerful",L919&lt;500,"High Performance",L919&lt;800,"Sports Performance",L919&gt;=800,"Super Performance")</f>
        <v>Standard</v>
      </c>
    </row>
    <row r="920" spans="1:13" x14ac:dyDescent="0.25">
      <c r="A920" s="5" t="s">
        <v>55</v>
      </c>
      <c r="B920" s="3" t="s">
        <v>813</v>
      </c>
      <c r="C920" s="3" t="s">
        <v>815</v>
      </c>
      <c r="D920" s="4">
        <v>1010000</v>
      </c>
      <c r="E920" s="3">
        <v>1496</v>
      </c>
      <c r="F920" s="3">
        <v>4</v>
      </c>
      <c r="G920" s="3" t="s">
        <v>10</v>
      </c>
      <c r="H920" s="3" t="s">
        <v>27</v>
      </c>
      <c r="I920" s="3">
        <v>5</v>
      </c>
      <c r="J920" s="3" t="s">
        <v>30</v>
      </c>
      <c r="K920" s="18">
        <v>107</v>
      </c>
      <c r="L920" s="16">
        <v>140</v>
      </c>
      <c r="M920" s="6" t="str" cm="1">
        <f t="array" ref="M920">_xlfn.IFS(L920&lt;100,"Economy",L920&lt;200,"Standard",L920&lt;350,"Powerful",L920&lt;500,"High Performance",L920&lt;800,"Sports Performance",L920&gt;=800,"Super Performance")</f>
        <v>Standard</v>
      </c>
    </row>
    <row r="921" spans="1:13" x14ac:dyDescent="0.25">
      <c r="A921" s="5" t="s">
        <v>55</v>
      </c>
      <c r="B921" s="3" t="s">
        <v>813</v>
      </c>
      <c r="C921" s="3" t="s">
        <v>61</v>
      </c>
      <c r="D921" s="4">
        <v>1294000</v>
      </c>
      <c r="E921" s="3">
        <v>1496</v>
      </c>
      <c r="F921" s="3">
        <v>4</v>
      </c>
      <c r="G921" s="3" t="s">
        <v>10</v>
      </c>
      <c r="H921" s="3" t="s">
        <v>27</v>
      </c>
      <c r="I921" s="3">
        <v>5</v>
      </c>
      <c r="J921" s="3" t="s">
        <v>30</v>
      </c>
      <c r="K921" s="18">
        <v>107</v>
      </c>
      <c r="L921" s="16">
        <v>140</v>
      </c>
      <c r="M921" s="6" t="str" cm="1">
        <f t="array" ref="M921">_xlfn.IFS(L921&lt;100,"Economy",L921&lt;200,"Standard",L921&lt;350,"Powerful",L921&lt;500,"High Performance",L921&lt;800,"Sports Performance",L921&gt;=800,"Super Performance")</f>
        <v>Standard</v>
      </c>
    </row>
    <row r="922" spans="1:13" x14ac:dyDescent="0.25">
      <c r="A922" s="5" t="s">
        <v>55</v>
      </c>
      <c r="B922" s="3" t="s">
        <v>813</v>
      </c>
      <c r="C922" s="3" t="s">
        <v>816</v>
      </c>
      <c r="D922" s="4">
        <v>1296000</v>
      </c>
      <c r="E922" s="3">
        <v>1496</v>
      </c>
      <c r="F922" s="3">
        <v>4</v>
      </c>
      <c r="G922" s="3" t="s">
        <v>10</v>
      </c>
      <c r="H922" s="3" t="s">
        <v>27</v>
      </c>
      <c r="I922" s="3">
        <v>5</v>
      </c>
      <c r="J922" s="3" t="s">
        <v>12</v>
      </c>
      <c r="K922" s="18">
        <v>107</v>
      </c>
      <c r="L922" s="16">
        <v>140</v>
      </c>
      <c r="M922" s="6" t="str" cm="1">
        <f t="array" ref="M922">_xlfn.IFS(L922&lt;100,"Economy",L922&lt;200,"Standard",L922&lt;350,"Powerful",L922&lt;500,"High Performance",L922&lt;800,"Sports Performance",L922&gt;=800,"Super Performance")</f>
        <v>Standard</v>
      </c>
    </row>
    <row r="923" spans="1:13" x14ac:dyDescent="0.25">
      <c r="A923" s="5" t="s">
        <v>55</v>
      </c>
      <c r="B923" s="3" t="s">
        <v>813</v>
      </c>
      <c r="C923" s="3" t="s">
        <v>817</v>
      </c>
      <c r="D923" s="4">
        <v>1197000</v>
      </c>
      <c r="E923" s="3">
        <v>1498</v>
      </c>
      <c r="F923" s="3">
        <v>4</v>
      </c>
      <c r="G923" s="3" t="s">
        <v>10</v>
      </c>
      <c r="H923" s="3" t="s">
        <v>27</v>
      </c>
      <c r="I923" s="3">
        <v>5</v>
      </c>
      <c r="J923" s="3" t="s">
        <v>12</v>
      </c>
      <c r="K923" s="18">
        <v>107</v>
      </c>
      <c r="L923" s="16">
        <v>140</v>
      </c>
      <c r="M923" s="6" t="str" cm="1">
        <f t="array" ref="M923">_xlfn.IFS(L923&lt;100,"Economy",L923&lt;200,"Standard",L923&lt;350,"Powerful",L923&lt;500,"High Performance",L923&lt;800,"Sports Performance",L923&gt;=800,"Super Performance")</f>
        <v>Standard</v>
      </c>
    </row>
    <row r="924" spans="1:13" x14ac:dyDescent="0.25">
      <c r="A924" s="5" t="s">
        <v>55</v>
      </c>
      <c r="B924" s="3" t="s">
        <v>813</v>
      </c>
      <c r="C924" s="3" t="s">
        <v>818</v>
      </c>
      <c r="D924" s="4">
        <v>876000</v>
      </c>
      <c r="E924" s="3">
        <v>1496</v>
      </c>
      <c r="F924" s="3">
        <v>4</v>
      </c>
      <c r="G924" s="3" t="s">
        <v>10</v>
      </c>
      <c r="H924" s="3" t="s">
        <v>27</v>
      </c>
      <c r="I924" s="3">
        <v>5</v>
      </c>
      <c r="J924" s="3" t="s">
        <v>12</v>
      </c>
      <c r="K924" s="18">
        <v>107</v>
      </c>
      <c r="L924" s="16">
        <v>140</v>
      </c>
      <c r="M924" s="6" t="str" cm="1">
        <f t="array" ref="M924">_xlfn.IFS(L924&lt;100,"Economy",L924&lt;200,"Standard",L924&lt;350,"Powerful",L924&lt;500,"High Performance",L924&lt;800,"Sports Performance",L924&gt;=800,"Super Performance")</f>
        <v>Standard</v>
      </c>
    </row>
    <row r="925" spans="1:13" x14ac:dyDescent="0.25">
      <c r="A925" s="5" t="s">
        <v>55</v>
      </c>
      <c r="B925" s="3" t="s">
        <v>813</v>
      </c>
      <c r="C925" s="3" t="s">
        <v>819</v>
      </c>
      <c r="D925" s="4">
        <v>974000</v>
      </c>
      <c r="E925" s="3">
        <v>1496</v>
      </c>
      <c r="F925" s="3">
        <v>4</v>
      </c>
      <c r="G925" s="3" t="s">
        <v>10</v>
      </c>
      <c r="H925" s="3" t="s">
        <v>27</v>
      </c>
      <c r="I925" s="3">
        <v>5</v>
      </c>
      <c r="J925" s="3" t="s">
        <v>12</v>
      </c>
      <c r="K925" s="18">
        <v>107</v>
      </c>
      <c r="L925" s="16">
        <v>140</v>
      </c>
      <c r="M925" s="6" t="str" cm="1">
        <f t="array" ref="M925">_xlfn.IFS(L925&lt;100,"Economy",L925&lt;200,"Standard",L925&lt;350,"Powerful",L925&lt;500,"High Performance",L925&lt;800,"Sports Performance",L925&gt;=800,"Super Performance")</f>
        <v>Standard</v>
      </c>
    </row>
    <row r="926" spans="1:13" x14ac:dyDescent="0.25">
      <c r="A926" s="5" t="s">
        <v>55</v>
      </c>
      <c r="B926" s="3" t="s">
        <v>813</v>
      </c>
      <c r="C926" s="3" t="s">
        <v>820</v>
      </c>
      <c r="D926" s="4">
        <v>935000</v>
      </c>
      <c r="E926" s="3">
        <v>1496</v>
      </c>
      <c r="F926" s="3">
        <v>4</v>
      </c>
      <c r="G926" s="3" t="s">
        <v>10</v>
      </c>
      <c r="H926" s="3" t="s">
        <v>27</v>
      </c>
      <c r="I926" s="3">
        <v>5</v>
      </c>
      <c r="J926" s="3" t="s">
        <v>30</v>
      </c>
      <c r="K926" s="18">
        <v>107</v>
      </c>
      <c r="L926" s="16">
        <v>140</v>
      </c>
      <c r="M926" s="6" t="str" cm="1">
        <f t="array" ref="M926">_xlfn.IFS(L926&lt;100,"Economy",L926&lt;200,"Standard",L926&lt;350,"Powerful",L926&lt;500,"High Performance",L926&lt;800,"Sports Performance",L926&gt;=800,"Super Performance")</f>
        <v>Standard</v>
      </c>
    </row>
    <row r="927" spans="1:13" x14ac:dyDescent="0.25">
      <c r="A927" s="5" t="s">
        <v>55</v>
      </c>
      <c r="B927" s="3" t="s">
        <v>813</v>
      </c>
      <c r="C927" s="3" t="s">
        <v>821</v>
      </c>
      <c r="D927" s="4">
        <v>1083000</v>
      </c>
      <c r="E927" s="3">
        <v>1496</v>
      </c>
      <c r="F927" s="3">
        <v>4</v>
      </c>
      <c r="G927" s="3" t="s">
        <v>10</v>
      </c>
      <c r="H927" s="3" t="s">
        <v>27</v>
      </c>
      <c r="I927" s="3">
        <v>5</v>
      </c>
      <c r="J927" s="3" t="s">
        <v>30</v>
      </c>
      <c r="K927" s="18">
        <v>107</v>
      </c>
      <c r="L927" s="16">
        <v>140</v>
      </c>
      <c r="M927" s="6" t="str" cm="1">
        <f t="array" ref="M927">_xlfn.IFS(L927&lt;100,"Economy",L927&lt;200,"Standard",L927&lt;350,"Powerful",L927&lt;500,"High Performance",L927&lt;800,"Sports Performance",L927&gt;=800,"Super Performance")</f>
        <v>Standard</v>
      </c>
    </row>
    <row r="928" spans="1:13" x14ac:dyDescent="0.25">
      <c r="A928" s="5" t="s">
        <v>55</v>
      </c>
      <c r="B928" s="3" t="s">
        <v>813</v>
      </c>
      <c r="C928" s="3" t="s">
        <v>822</v>
      </c>
      <c r="D928" s="4">
        <v>1317000</v>
      </c>
      <c r="E928" s="3">
        <v>1498</v>
      </c>
      <c r="F928" s="3">
        <v>4</v>
      </c>
      <c r="G928" s="3" t="s">
        <v>10</v>
      </c>
      <c r="H928" s="3" t="s">
        <v>27</v>
      </c>
      <c r="I928" s="3">
        <v>5</v>
      </c>
      <c r="J928" s="3" t="s">
        <v>30</v>
      </c>
      <c r="K928" s="18">
        <v>107</v>
      </c>
      <c r="L928" s="16">
        <v>140</v>
      </c>
      <c r="M928" s="6" t="str" cm="1">
        <f t="array" ref="M928">_xlfn.IFS(L928&lt;100,"Economy",L928&lt;200,"Standard",L928&lt;350,"Powerful",L928&lt;500,"High Performance",L928&lt;800,"Sports Performance",L928&gt;=800,"Super Performance")</f>
        <v>Standard</v>
      </c>
    </row>
    <row r="929" spans="1:13" x14ac:dyDescent="0.25">
      <c r="A929" s="5" t="s">
        <v>22</v>
      </c>
      <c r="B929" s="3" t="s">
        <v>843</v>
      </c>
      <c r="C929" s="3" t="s">
        <v>332</v>
      </c>
      <c r="D929" s="4">
        <v>582287</v>
      </c>
      <c r="E929" s="3">
        <v>1193</v>
      </c>
      <c r="F929" s="3">
        <v>4</v>
      </c>
      <c r="G929" s="3" t="s">
        <v>10</v>
      </c>
      <c r="H929" s="3" t="s">
        <v>27</v>
      </c>
      <c r="I929" s="3">
        <v>5</v>
      </c>
      <c r="J929" s="3" t="s">
        <v>12</v>
      </c>
      <c r="K929" s="18">
        <v>90</v>
      </c>
      <c r="L929" s="16">
        <v>140</v>
      </c>
      <c r="M929" s="6" t="str" cm="1">
        <f t="array" ref="M929">_xlfn.IFS(L929&lt;100,"Economy",L929&lt;200,"Standard",L929&lt;350,"Powerful",L929&lt;500,"High Performance",L929&lt;800,"Sports Performance",L929&gt;=800,"Super Performance")</f>
        <v>Standard</v>
      </c>
    </row>
    <row r="930" spans="1:13" x14ac:dyDescent="0.25">
      <c r="A930" s="5" t="s">
        <v>22</v>
      </c>
      <c r="B930" s="3" t="s">
        <v>843</v>
      </c>
      <c r="C930" s="3" t="s">
        <v>459</v>
      </c>
      <c r="D930" s="4">
        <v>653926</v>
      </c>
      <c r="E930" s="3">
        <v>1193</v>
      </c>
      <c r="F930" s="3">
        <v>4</v>
      </c>
      <c r="G930" s="3" t="s">
        <v>10</v>
      </c>
      <c r="H930" s="3" t="s">
        <v>27</v>
      </c>
      <c r="I930" s="3">
        <v>5</v>
      </c>
      <c r="J930" s="3" t="s">
        <v>12</v>
      </c>
      <c r="K930" s="18">
        <v>90</v>
      </c>
      <c r="L930" s="16">
        <v>140</v>
      </c>
      <c r="M930" s="6" t="str" cm="1">
        <f t="array" ref="M930">_xlfn.IFS(L930&lt;100,"Economy",L930&lt;200,"Standard",L930&lt;350,"Powerful",L930&lt;500,"High Performance",L930&lt;800,"Sports Performance",L930&gt;=800,"Super Performance")</f>
        <v>Standard</v>
      </c>
    </row>
    <row r="931" spans="1:13" x14ac:dyDescent="0.25">
      <c r="A931" s="5" t="s">
        <v>22</v>
      </c>
      <c r="B931" s="3" t="s">
        <v>843</v>
      </c>
      <c r="C931" s="3" t="s">
        <v>460</v>
      </c>
      <c r="D931" s="4">
        <v>672641</v>
      </c>
      <c r="E931" s="3">
        <v>1193</v>
      </c>
      <c r="F931" s="3">
        <v>4</v>
      </c>
      <c r="G931" s="3" t="s">
        <v>10</v>
      </c>
      <c r="H931" s="3" t="s">
        <v>27</v>
      </c>
      <c r="I931" s="3">
        <v>5</v>
      </c>
      <c r="J931" s="3" t="s">
        <v>12</v>
      </c>
      <c r="K931" s="18">
        <v>90</v>
      </c>
      <c r="L931" s="16">
        <v>140</v>
      </c>
      <c r="M931" s="6" t="str" cm="1">
        <f t="array" ref="M931">_xlfn.IFS(L931&lt;100,"Economy",L931&lt;200,"Standard",L931&lt;350,"Powerful",L931&lt;500,"High Performance",L931&lt;800,"Sports Performance",L931&gt;=800,"Super Performance")</f>
        <v>Standard</v>
      </c>
    </row>
    <row r="932" spans="1:13" x14ac:dyDescent="0.25">
      <c r="A932" s="5" t="s">
        <v>22</v>
      </c>
      <c r="B932" s="3" t="s">
        <v>843</v>
      </c>
      <c r="C932" s="3" t="s">
        <v>458</v>
      </c>
      <c r="D932" s="4">
        <v>732475</v>
      </c>
      <c r="E932" s="3">
        <v>1193</v>
      </c>
      <c r="F932" s="3">
        <v>4</v>
      </c>
      <c r="G932" s="3" t="s">
        <v>10</v>
      </c>
      <c r="H932" s="3" t="s">
        <v>27</v>
      </c>
      <c r="I932" s="3">
        <v>5</v>
      </c>
      <c r="J932" s="3" t="s">
        <v>12</v>
      </c>
      <c r="K932" s="18">
        <v>90</v>
      </c>
      <c r="L932" s="16">
        <v>140</v>
      </c>
      <c r="M932" s="6" t="str" cm="1">
        <f t="array" ref="M932">_xlfn.IFS(L932&lt;100,"Economy",L932&lt;200,"Standard",L932&lt;350,"Powerful",L932&lt;500,"High Performance",L932&lt;800,"Sports Performance",L932&gt;=800,"Super Performance")</f>
        <v>Standard</v>
      </c>
    </row>
    <row r="933" spans="1:13" x14ac:dyDescent="0.25">
      <c r="A933" s="5" t="s">
        <v>93</v>
      </c>
      <c r="B933" s="3" t="s">
        <v>224</v>
      </c>
      <c r="C933" s="3" t="s">
        <v>225</v>
      </c>
      <c r="D933" s="4">
        <v>984689</v>
      </c>
      <c r="E933" s="3">
        <v>1462</v>
      </c>
      <c r="F933" s="3">
        <v>4</v>
      </c>
      <c r="G933" s="3" t="s">
        <v>10</v>
      </c>
      <c r="H933" s="3" t="s">
        <v>226</v>
      </c>
      <c r="I933" s="3">
        <v>6</v>
      </c>
      <c r="J933" s="3" t="s">
        <v>12</v>
      </c>
      <c r="K933" s="18">
        <v>104</v>
      </c>
      <c r="L933" s="16">
        <v>138</v>
      </c>
      <c r="M933" s="6" t="str" cm="1">
        <f t="array" ref="M933">_xlfn.IFS(L933&lt;100,"Economy",L933&lt;200,"Standard",L933&lt;350,"Powerful",L933&lt;500,"High Performance",L933&lt;800,"Sports Performance",L933&gt;=800,"Super Performance")</f>
        <v>Standard</v>
      </c>
    </row>
    <row r="934" spans="1:13" x14ac:dyDescent="0.25">
      <c r="A934" s="5" t="s">
        <v>93</v>
      </c>
      <c r="B934" s="3" t="s">
        <v>224</v>
      </c>
      <c r="C934" s="3" t="s">
        <v>227</v>
      </c>
      <c r="D934" s="4">
        <v>1041189</v>
      </c>
      <c r="E934" s="3">
        <v>1462</v>
      </c>
      <c r="F934" s="3">
        <v>4</v>
      </c>
      <c r="G934" s="3" t="s">
        <v>10</v>
      </c>
      <c r="H934" s="3" t="s">
        <v>226</v>
      </c>
      <c r="I934" s="3">
        <v>6</v>
      </c>
      <c r="J934" s="3" t="s">
        <v>12</v>
      </c>
      <c r="K934" s="18">
        <v>104</v>
      </c>
      <c r="L934" s="16">
        <v>138</v>
      </c>
      <c r="M934" s="6" t="str" cm="1">
        <f t="array" ref="M934">_xlfn.IFS(L934&lt;100,"Economy",L934&lt;200,"Standard",L934&lt;350,"Powerful",L934&lt;500,"High Performance",L934&lt;800,"Sports Performance",L934&gt;=800,"Super Performance")</f>
        <v>Standard</v>
      </c>
    </row>
    <row r="935" spans="1:13" x14ac:dyDescent="0.25">
      <c r="A935" s="5" t="s">
        <v>93</v>
      </c>
      <c r="B935" s="3" t="s">
        <v>224</v>
      </c>
      <c r="C935" s="3" t="s">
        <v>228</v>
      </c>
      <c r="D935" s="4">
        <v>1094689</v>
      </c>
      <c r="E935" s="3">
        <v>1462</v>
      </c>
      <c r="F935" s="3">
        <v>4</v>
      </c>
      <c r="G935" s="3" t="s">
        <v>10</v>
      </c>
      <c r="H935" s="3" t="s">
        <v>226</v>
      </c>
      <c r="I935" s="3">
        <v>6</v>
      </c>
      <c r="J935" s="3" t="s">
        <v>30</v>
      </c>
      <c r="K935" s="18">
        <v>104</v>
      </c>
      <c r="L935" s="16">
        <v>138</v>
      </c>
      <c r="M935" s="6" t="str" cm="1">
        <f t="array" ref="M935">_xlfn.IFS(L935&lt;100,"Economy",L935&lt;200,"Standard",L935&lt;350,"Powerful",L935&lt;500,"High Performance",L935&lt;800,"Sports Performance",L935&gt;=800,"Super Performance")</f>
        <v>Standard</v>
      </c>
    </row>
    <row r="936" spans="1:13" x14ac:dyDescent="0.25">
      <c r="A936" s="5" t="s">
        <v>93</v>
      </c>
      <c r="B936" s="3" t="s">
        <v>224</v>
      </c>
      <c r="C936" s="3" t="s">
        <v>229</v>
      </c>
      <c r="D936" s="4">
        <v>1151189</v>
      </c>
      <c r="E936" s="3">
        <v>1462</v>
      </c>
      <c r="F936" s="3">
        <v>4</v>
      </c>
      <c r="G936" s="3" t="s">
        <v>10</v>
      </c>
      <c r="H936" s="3" t="s">
        <v>226</v>
      </c>
      <c r="I936" s="3">
        <v>6</v>
      </c>
      <c r="J936" s="3" t="s">
        <v>30</v>
      </c>
      <c r="K936" s="18">
        <v>104</v>
      </c>
      <c r="L936" s="16">
        <v>138</v>
      </c>
      <c r="M936" s="6" t="str" cm="1">
        <f t="array" ref="M936">_xlfn.IFS(L936&lt;100,"Economy",L936&lt;200,"Standard",L936&lt;350,"Powerful",L936&lt;500,"High Performance",L936&lt;800,"Sports Performance",L936&gt;=800,"Super Performance")</f>
        <v>Standard</v>
      </c>
    </row>
    <row r="937" spans="1:13" x14ac:dyDescent="0.25">
      <c r="A937" s="5" t="s">
        <v>93</v>
      </c>
      <c r="B937" s="3" t="s">
        <v>263</v>
      </c>
      <c r="C937" s="3" t="s">
        <v>264</v>
      </c>
      <c r="D937" s="4">
        <v>917000</v>
      </c>
      <c r="E937" s="3">
        <v>1462</v>
      </c>
      <c r="F937" s="3">
        <v>4</v>
      </c>
      <c r="G937" s="3" t="s">
        <v>10</v>
      </c>
      <c r="H937" s="3" t="s">
        <v>226</v>
      </c>
      <c r="I937" s="3">
        <v>7</v>
      </c>
      <c r="J937" s="3" t="s">
        <v>12</v>
      </c>
      <c r="K937" s="18">
        <v>104</v>
      </c>
      <c r="L937" s="16">
        <v>138</v>
      </c>
      <c r="M937" s="6" t="str" cm="1">
        <f t="array" ref="M937">_xlfn.IFS(L937&lt;100,"Economy",L937&lt;200,"Standard",L937&lt;350,"Powerful",L937&lt;500,"High Performance",L937&lt;800,"Sports Performance",L937&gt;=800,"Super Performance")</f>
        <v>Standard</v>
      </c>
    </row>
    <row r="938" spans="1:13" x14ac:dyDescent="0.25">
      <c r="A938" s="5" t="s">
        <v>93</v>
      </c>
      <c r="B938" s="3" t="s">
        <v>263</v>
      </c>
      <c r="C938" s="3" t="s">
        <v>267</v>
      </c>
      <c r="D938" s="4">
        <v>1013000</v>
      </c>
      <c r="E938" s="3">
        <v>1462</v>
      </c>
      <c r="F938" s="3">
        <v>4</v>
      </c>
      <c r="G938" s="3" t="s">
        <v>10</v>
      </c>
      <c r="H938" s="3" t="s">
        <v>226</v>
      </c>
      <c r="I938" s="3">
        <v>7</v>
      </c>
      <c r="J938" s="3" t="s">
        <v>30</v>
      </c>
      <c r="K938" s="18">
        <v>104</v>
      </c>
      <c r="L938" s="16">
        <v>138</v>
      </c>
      <c r="M938" s="6" t="str" cm="1">
        <f t="array" ref="M938">_xlfn.IFS(L938&lt;100,"Economy",L938&lt;200,"Standard",L938&lt;350,"Powerful",L938&lt;500,"High Performance",L938&lt;800,"Sports Performance",L938&gt;=800,"Super Performance")</f>
        <v>Standard</v>
      </c>
    </row>
    <row r="939" spans="1:13" x14ac:dyDescent="0.25">
      <c r="A939" s="5" t="s">
        <v>93</v>
      </c>
      <c r="B939" s="3" t="s">
        <v>510</v>
      </c>
      <c r="C939" s="3" t="s">
        <v>515</v>
      </c>
      <c r="D939" s="4">
        <v>958689</v>
      </c>
      <c r="E939" s="3">
        <v>1462</v>
      </c>
      <c r="F939" s="3">
        <v>4</v>
      </c>
      <c r="G939" s="3" t="s">
        <v>10</v>
      </c>
      <c r="H939" s="3" t="s">
        <v>27</v>
      </c>
      <c r="I939" s="3">
        <v>5</v>
      </c>
      <c r="J939" s="3" t="s">
        <v>12</v>
      </c>
      <c r="K939" s="18">
        <v>103</v>
      </c>
      <c r="L939" s="16">
        <v>138</v>
      </c>
      <c r="M939" s="6" t="str" cm="1">
        <f t="array" ref="M939">_xlfn.IFS(L939&lt;100,"Economy",L939&lt;200,"Standard",L939&lt;350,"Powerful",L939&lt;500,"High Performance",L939&lt;800,"Sports Performance",L939&gt;=800,"Super Performance")</f>
        <v>Standard</v>
      </c>
    </row>
    <row r="940" spans="1:13" x14ac:dyDescent="0.25">
      <c r="A940" s="5" t="s">
        <v>93</v>
      </c>
      <c r="B940" s="3" t="s">
        <v>263</v>
      </c>
      <c r="C940" s="3" t="s">
        <v>97</v>
      </c>
      <c r="D940" s="4">
        <v>759000</v>
      </c>
      <c r="E940" s="3">
        <v>1462</v>
      </c>
      <c r="F940" s="3">
        <v>4</v>
      </c>
      <c r="G940" s="3" t="s">
        <v>10</v>
      </c>
      <c r="H940" s="3" t="s">
        <v>226</v>
      </c>
      <c r="I940" s="3">
        <v>7</v>
      </c>
      <c r="J940" s="3" t="s">
        <v>12</v>
      </c>
      <c r="K940" s="18">
        <v>103</v>
      </c>
      <c r="L940" s="16">
        <v>138</v>
      </c>
      <c r="M940" s="6" t="str" cm="1">
        <f t="array" ref="M940">_xlfn.IFS(L940&lt;100,"Economy",L940&lt;200,"Standard",L940&lt;350,"Powerful",L940&lt;500,"High Performance",L940&lt;800,"Sports Performance",L940&gt;=800,"Super Performance")</f>
        <v>Standard</v>
      </c>
    </row>
    <row r="941" spans="1:13" x14ac:dyDescent="0.25">
      <c r="A941" s="5" t="s">
        <v>93</v>
      </c>
      <c r="B941" s="3" t="s">
        <v>510</v>
      </c>
      <c r="C941" s="3" t="s">
        <v>801</v>
      </c>
      <c r="D941" s="4">
        <v>819689</v>
      </c>
      <c r="E941" s="3">
        <v>1462</v>
      </c>
      <c r="F941" s="3">
        <v>4</v>
      </c>
      <c r="G941" s="3" t="s">
        <v>10</v>
      </c>
      <c r="H941" s="3" t="s">
        <v>27</v>
      </c>
      <c r="I941" s="3">
        <v>5</v>
      </c>
      <c r="J941" s="3" t="s">
        <v>12</v>
      </c>
      <c r="K941" s="18">
        <v>103</v>
      </c>
      <c r="L941" s="16">
        <v>138</v>
      </c>
      <c r="M941" s="6" t="str" cm="1">
        <f t="array" ref="M941">_xlfn.IFS(L941&lt;100,"Economy",L941&lt;200,"Standard",L941&lt;350,"Powerful",L941&lt;500,"High Performance",L941&lt;800,"Sports Performance",L941&gt;=800,"Super Performance")</f>
        <v>Standard</v>
      </c>
    </row>
    <row r="942" spans="1:13" x14ac:dyDescent="0.25">
      <c r="A942" s="5" t="s">
        <v>93</v>
      </c>
      <c r="B942" s="3" t="s">
        <v>510</v>
      </c>
      <c r="C942" s="3" t="s">
        <v>802</v>
      </c>
      <c r="D942" s="4">
        <v>881689</v>
      </c>
      <c r="E942" s="3">
        <v>1462</v>
      </c>
      <c r="F942" s="3">
        <v>4</v>
      </c>
      <c r="G942" s="3" t="s">
        <v>10</v>
      </c>
      <c r="H942" s="3" t="s">
        <v>27</v>
      </c>
      <c r="I942" s="3">
        <v>5</v>
      </c>
      <c r="J942" s="3" t="s">
        <v>12</v>
      </c>
      <c r="K942" s="18">
        <v>103</v>
      </c>
      <c r="L942" s="16">
        <v>138</v>
      </c>
      <c r="M942" s="6" t="str" cm="1">
        <f t="array" ref="M942">_xlfn.IFS(L942&lt;100,"Economy",L942&lt;200,"Standard",L942&lt;350,"Powerful",L942&lt;500,"High Performance",L942&lt;800,"Sports Performance",L942&gt;=800,"Super Performance")</f>
        <v>Standard</v>
      </c>
    </row>
    <row r="943" spans="1:13" x14ac:dyDescent="0.25">
      <c r="A943" s="5" t="s">
        <v>93</v>
      </c>
      <c r="B943" s="3" t="s">
        <v>510</v>
      </c>
      <c r="C943" s="3" t="s">
        <v>803</v>
      </c>
      <c r="D943" s="4">
        <v>997689</v>
      </c>
      <c r="E943" s="3">
        <v>1462</v>
      </c>
      <c r="F943" s="3">
        <v>4</v>
      </c>
      <c r="G943" s="3" t="s">
        <v>10</v>
      </c>
      <c r="H943" s="3" t="s">
        <v>27</v>
      </c>
      <c r="I943" s="3">
        <v>5</v>
      </c>
      <c r="J943" s="3" t="s">
        <v>12</v>
      </c>
      <c r="K943" s="18">
        <v>103</v>
      </c>
      <c r="L943" s="16">
        <v>138</v>
      </c>
      <c r="M943" s="6" t="str" cm="1">
        <f t="array" ref="M943">_xlfn.IFS(L943&lt;100,"Economy",L943&lt;200,"Standard",L943&lt;350,"Powerful",L943&lt;500,"High Performance",L943&lt;800,"Sports Performance",L943&gt;=800,"Super Performance")</f>
        <v>Standard</v>
      </c>
    </row>
    <row r="944" spans="1:13" x14ac:dyDescent="0.25">
      <c r="A944" s="5" t="s">
        <v>93</v>
      </c>
      <c r="B944" s="3" t="s">
        <v>510</v>
      </c>
      <c r="C944" s="3" t="s">
        <v>804</v>
      </c>
      <c r="D944" s="4">
        <v>980689</v>
      </c>
      <c r="E944" s="3">
        <v>1462</v>
      </c>
      <c r="F944" s="3">
        <v>4</v>
      </c>
      <c r="G944" s="3" t="s">
        <v>10</v>
      </c>
      <c r="H944" s="3" t="s">
        <v>27</v>
      </c>
      <c r="I944" s="3">
        <v>5</v>
      </c>
      <c r="J944" s="3" t="s">
        <v>30</v>
      </c>
      <c r="K944" s="18">
        <v>103</v>
      </c>
      <c r="L944" s="16">
        <v>138</v>
      </c>
      <c r="M944" s="6" t="str" cm="1">
        <f t="array" ref="M944">_xlfn.IFS(L944&lt;100,"Economy",L944&lt;200,"Standard",L944&lt;350,"Powerful",L944&lt;500,"High Performance",L944&lt;800,"Sports Performance",L944&gt;=800,"Super Performance")</f>
        <v>Standard</v>
      </c>
    </row>
    <row r="945" spans="1:13" x14ac:dyDescent="0.25">
      <c r="A945" s="5" t="s">
        <v>93</v>
      </c>
      <c r="B945" s="3" t="s">
        <v>510</v>
      </c>
      <c r="C945" s="3" t="s">
        <v>805</v>
      </c>
      <c r="D945" s="4">
        <v>1058688</v>
      </c>
      <c r="E945" s="3">
        <v>1462</v>
      </c>
      <c r="F945" s="3">
        <v>4</v>
      </c>
      <c r="G945" s="3" t="s">
        <v>10</v>
      </c>
      <c r="H945" s="3" t="s">
        <v>27</v>
      </c>
      <c r="I945" s="3">
        <v>5</v>
      </c>
      <c r="J945" s="3" t="s">
        <v>30</v>
      </c>
      <c r="K945" s="18">
        <v>103</v>
      </c>
      <c r="L945" s="16">
        <v>138</v>
      </c>
      <c r="M945" s="6" t="str" cm="1">
        <f t="array" ref="M945">_xlfn.IFS(L945&lt;100,"Economy",L945&lt;200,"Standard",L945&lt;350,"Powerful",L945&lt;500,"High Performance",L945&lt;800,"Sports Performance",L945&gt;=800,"Super Performance")</f>
        <v>Standard</v>
      </c>
    </row>
    <row r="946" spans="1:13" x14ac:dyDescent="0.25">
      <c r="A946" s="5" t="s">
        <v>93</v>
      </c>
      <c r="B946" s="3" t="s">
        <v>510</v>
      </c>
      <c r="C946" s="3" t="s">
        <v>806</v>
      </c>
      <c r="D946" s="4">
        <v>1098689</v>
      </c>
      <c r="E946" s="3">
        <v>1462</v>
      </c>
      <c r="F946" s="3">
        <v>4</v>
      </c>
      <c r="G946" s="3" t="s">
        <v>10</v>
      </c>
      <c r="H946" s="3" t="s">
        <v>27</v>
      </c>
      <c r="I946" s="3">
        <v>5</v>
      </c>
      <c r="J946" s="3" t="s">
        <v>30</v>
      </c>
      <c r="K946" s="18">
        <v>103</v>
      </c>
      <c r="L946" s="16">
        <v>138</v>
      </c>
      <c r="M946" s="6" t="str" cm="1">
        <f t="array" ref="M946">_xlfn.IFS(L946&lt;100,"Economy",L946&lt;200,"Standard",L946&lt;350,"Powerful",L946&lt;500,"High Performance",L946&lt;800,"Sports Performance",L946&gt;=800,"Super Performance")</f>
        <v>Standard</v>
      </c>
    </row>
    <row r="947" spans="1:13" x14ac:dyDescent="0.25">
      <c r="A947" s="5" t="s">
        <v>330</v>
      </c>
      <c r="B947" s="3" t="s">
        <v>331</v>
      </c>
      <c r="C947" s="3" t="s">
        <v>332</v>
      </c>
      <c r="D947" s="4">
        <v>707025</v>
      </c>
      <c r="E947" s="3">
        <v>1498</v>
      </c>
      <c r="F947" s="3">
        <v>4</v>
      </c>
      <c r="G947" s="3" t="s">
        <v>10</v>
      </c>
      <c r="H947" s="3" t="s">
        <v>27</v>
      </c>
      <c r="I947" s="3">
        <v>5</v>
      </c>
      <c r="J947" s="3" t="s">
        <v>12</v>
      </c>
      <c r="K947" s="18">
        <v>99</v>
      </c>
      <c r="L947" s="16">
        <v>134</v>
      </c>
      <c r="M947" s="6" t="str" cm="1">
        <f t="array" ref="M947">_xlfn.IFS(L947&lt;100,"Economy",L947&lt;200,"Standard",L947&lt;350,"Powerful",L947&lt;500,"High Performance",L947&lt;800,"Sports Performance",L947&gt;=800,"Super Performance")</f>
        <v>Standard</v>
      </c>
    </row>
    <row r="948" spans="1:13" x14ac:dyDescent="0.25">
      <c r="A948" s="5" t="s">
        <v>330</v>
      </c>
      <c r="B948" s="3" t="s">
        <v>331</v>
      </c>
      <c r="C948" s="3" t="s">
        <v>333</v>
      </c>
      <c r="D948" s="4">
        <v>836461</v>
      </c>
      <c r="E948" s="3">
        <v>1498</v>
      </c>
      <c r="F948" s="3">
        <v>4</v>
      </c>
      <c r="G948" s="3" t="s">
        <v>10</v>
      </c>
      <c r="H948" s="3" t="s">
        <v>27</v>
      </c>
      <c r="I948" s="3">
        <v>5</v>
      </c>
      <c r="J948" s="3" t="s">
        <v>12</v>
      </c>
      <c r="K948" s="18">
        <v>99</v>
      </c>
      <c r="L948" s="16">
        <v>134</v>
      </c>
      <c r="M948" s="6" t="str" cm="1">
        <f t="array" ref="M948">_xlfn.IFS(L948&lt;100,"Economy",L948&lt;200,"Standard",L948&lt;350,"Powerful",L948&lt;500,"High Performance",L948&lt;800,"Sports Performance",L948&gt;=800,"Super Performance")</f>
        <v>Standard</v>
      </c>
    </row>
    <row r="949" spans="1:13" x14ac:dyDescent="0.25">
      <c r="A949" s="5" t="s">
        <v>330</v>
      </c>
      <c r="B949" s="3" t="s">
        <v>331</v>
      </c>
      <c r="C949" s="3" t="s">
        <v>337</v>
      </c>
      <c r="D949" s="4">
        <v>993997</v>
      </c>
      <c r="E949" s="3">
        <v>1498</v>
      </c>
      <c r="F949" s="3">
        <v>4</v>
      </c>
      <c r="G949" s="3" t="s">
        <v>10</v>
      </c>
      <c r="H949" s="3" t="s">
        <v>27</v>
      </c>
      <c r="I949" s="3">
        <v>5</v>
      </c>
      <c r="J949" s="3" t="s">
        <v>30</v>
      </c>
      <c r="K949" s="18">
        <v>101</v>
      </c>
      <c r="L949" s="16">
        <v>134</v>
      </c>
      <c r="M949" s="6" t="str" cm="1">
        <f t="array" ref="M949">_xlfn.IFS(L949&lt;100,"Economy",L949&lt;200,"Standard",L949&lt;350,"Powerful",L949&lt;500,"High Performance",L949&lt;800,"Sports Performance",L949&gt;=800,"Super Performance")</f>
        <v>Standard</v>
      </c>
    </row>
    <row r="950" spans="1:13" x14ac:dyDescent="0.25">
      <c r="A950" s="5" t="s">
        <v>7</v>
      </c>
      <c r="B950" s="3" t="s">
        <v>737</v>
      </c>
      <c r="C950" s="3" t="s">
        <v>739</v>
      </c>
      <c r="D950" s="4">
        <v>933182</v>
      </c>
      <c r="E950" s="3">
        <v>1396</v>
      </c>
      <c r="F950" s="3">
        <v>4</v>
      </c>
      <c r="G950" s="3" t="s">
        <v>10</v>
      </c>
      <c r="H950" s="3" t="s">
        <v>27</v>
      </c>
      <c r="I950" s="3">
        <v>5</v>
      </c>
      <c r="J950" s="3" t="s">
        <v>12</v>
      </c>
      <c r="K950" s="18">
        <v>100</v>
      </c>
      <c r="L950" s="16">
        <v>133</v>
      </c>
      <c r="M950" s="6" t="str" cm="1">
        <f t="array" ref="M950">_xlfn.IFS(L950&lt;100,"Economy",L950&lt;200,"Standard",L950&lt;350,"Powerful",L950&lt;500,"High Performance",L950&lt;800,"Sports Performance",L950&gt;=800,"Super Performance")</f>
        <v>Standard</v>
      </c>
    </row>
    <row r="951" spans="1:13" x14ac:dyDescent="0.25">
      <c r="A951" s="5" t="s">
        <v>7</v>
      </c>
      <c r="B951" s="3" t="s">
        <v>737</v>
      </c>
      <c r="C951" s="3" t="s">
        <v>740</v>
      </c>
      <c r="D951" s="4">
        <v>817867</v>
      </c>
      <c r="E951" s="3">
        <v>1396</v>
      </c>
      <c r="F951" s="3">
        <v>4</v>
      </c>
      <c r="G951" s="3" t="s">
        <v>10</v>
      </c>
      <c r="H951" s="3" t="s">
        <v>27</v>
      </c>
      <c r="I951" s="3">
        <v>5</v>
      </c>
      <c r="J951" s="3" t="s">
        <v>12</v>
      </c>
      <c r="K951" s="18">
        <v>100</v>
      </c>
      <c r="L951" s="16">
        <v>133</v>
      </c>
      <c r="M951" s="6" t="str" cm="1">
        <f t="array" ref="M951">_xlfn.IFS(L951&lt;100,"Economy",L951&lt;200,"Standard",L951&lt;350,"Powerful",L951&lt;500,"High Performance",L951&lt;800,"Sports Performance",L951&gt;=800,"Super Performance")</f>
        <v>Standard</v>
      </c>
    </row>
    <row r="952" spans="1:13" x14ac:dyDescent="0.25">
      <c r="A952" s="5" t="s">
        <v>7</v>
      </c>
      <c r="B952" s="3" t="s">
        <v>737</v>
      </c>
      <c r="C952" s="3" t="s">
        <v>743</v>
      </c>
      <c r="D952" s="4">
        <v>942867</v>
      </c>
      <c r="E952" s="3">
        <v>1396</v>
      </c>
      <c r="F952" s="3">
        <v>4</v>
      </c>
      <c r="G952" s="3" t="s">
        <v>36</v>
      </c>
      <c r="H952" s="3" t="s">
        <v>27</v>
      </c>
      <c r="I952" s="3">
        <v>5</v>
      </c>
      <c r="J952" s="3" t="s">
        <v>12</v>
      </c>
      <c r="K952" s="18">
        <v>100</v>
      </c>
      <c r="L952" s="16">
        <v>133</v>
      </c>
      <c r="M952" s="6" t="str" cm="1">
        <f t="array" ref="M952">_xlfn.IFS(L952&lt;100,"Economy",L952&lt;200,"Standard",L952&lt;350,"Powerful",L952&lt;500,"High Performance",L952&lt;800,"Sports Performance",L952&gt;=800,"Super Performance")</f>
        <v>Standard</v>
      </c>
    </row>
    <row r="953" spans="1:13" x14ac:dyDescent="0.25">
      <c r="A953" s="5" t="s">
        <v>7</v>
      </c>
      <c r="B953" s="3" t="s">
        <v>737</v>
      </c>
      <c r="C953" s="3" t="s">
        <v>535</v>
      </c>
      <c r="D953" s="4">
        <v>999900</v>
      </c>
      <c r="E953" s="3">
        <v>1396</v>
      </c>
      <c r="F953" s="3">
        <v>4</v>
      </c>
      <c r="G953" s="3" t="s">
        <v>36</v>
      </c>
      <c r="H953" s="3" t="s">
        <v>27</v>
      </c>
      <c r="I953" s="3">
        <v>5</v>
      </c>
      <c r="J953" s="3" t="s">
        <v>12</v>
      </c>
      <c r="K953" s="18">
        <v>100</v>
      </c>
      <c r="L953" s="16">
        <v>133</v>
      </c>
      <c r="M953" s="6" t="str" cm="1">
        <f t="array" ref="M953">_xlfn.IFS(L953&lt;100,"Economy",L953&lt;200,"Standard",L953&lt;350,"Powerful",L953&lt;500,"High Performance",L953&lt;800,"Sports Performance",L953&gt;=800,"Super Performance")</f>
        <v>Standard</v>
      </c>
    </row>
    <row r="954" spans="1:13" x14ac:dyDescent="0.25">
      <c r="A954" s="5" t="s">
        <v>55</v>
      </c>
      <c r="B954" s="3" t="s">
        <v>1185</v>
      </c>
      <c r="C954" s="3" t="s">
        <v>58</v>
      </c>
      <c r="D954" s="4">
        <v>718600</v>
      </c>
      <c r="E954" s="3">
        <v>1496</v>
      </c>
      <c r="F954" s="3">
        <v>4</v>
      </c>
      <c r="G954" s="3" t="s">
        <v>10</v>
      </c>
      <c r="H954" s="3" t="s">
        <v>27</v>
      </c>
      <c r="I954" s="3">
        <v>5</v>
      </c>
      <c r="J954" s="3" t="s">
        <v>12</v>
      </c>
      <c r="K954" s="18">
        <v>90</v>
      </c>
      <c r="L954" s="16">
        <v>132</v>
      </c>
      <c r="M954" s="6" t="str" cm="1">
        <f t="array" ref="M954">_xlfn.IFS(L954&lt;100,"Economy",L954&lt;200,"Standard",L954&lt;350,"Powerful",L954&lt;500,"High Performance",L954&lt;800,"Sports Performance",L954&gt;=800,"Super Performance")</f>
        <v>Standard</v>
      </c>
    </row>
    <row r="955" spans="1:13" x14ac:dyDescent="0.25">
      <c r="A955" s="5" t="s">
        <v>55</v>
      </c>
      <c r="B955" s="3" t="s">
        <v>1185</v>
      </c>
      <c r="C955" s="3" t="s">
        <v>462</v>
      </c>
      <c r="D955" s="4">
        <v>627100</v>
      </c>
      <c r="E955" s="3">
        <v>1496</v>
      </c>
      <c r="F955" s="3">
        <v>4</v>
      </c>
      <c r="G955" s="3" t="s">
        <v>10</v>
      </c>
      <c r="H955" s="3" t="s">
        <v>27</v>
      </c>
      <c r="I955" s="3">
        <v>5</v>
      </c>
      <c r="J955" s="3" t="s">
        <v>12</v>
      </c>
      <c r="K955" s="18">
        <v>90</v>
      </c>
      <c r="L955" s="16">
        <v>132</v>
      </c>
      <c r="M955" s="6" t="str" cm="1">
        <f t="array" ref="M955">_xlfn.IFS(L955&lt;100,"Economy",L955&lt;200,"Standard",L955&lt;350,"Powerful",L955&lt;500,"High Performance",L955&lt;800,"Sports Performance",L955&gt;=800,"Super Performance")</f>
        <v>Standard</v>
      </c>
    </row>
    <row r="956" spans="1:13" x14ac:dyDescent="0.25">
      <c r="A956" s="5" t="s">
        <v>55</v>
      </c>
      <c r="B956" s="3" t="s">
        <v>1185</v>
      </c>
      <c r="C956" s="3" t="s">
        <v>816</v>
      </c>
      <c r="D956" s="4">
        <v>778400</v>
      </c>
      <c r="E956" s="3">
        <v>1496</v>
      </c>
      <c r="F956" s="3">
        <v>4</v>
      </c>
      <c r="G956" s="3" t="s">
        <v>10</v>
      </c>
      <c r="H956" s="3" t="s">
        <v>27</v>
      </c>
      <c r="I956" s="3">
        <v>5</v>
      </c>
      <c r="J956" s="3" t="s">
        <v>12</v>
      </c>
      <c r="K956" s="18">
        <v>90</v>
      </c>
      <c r="L956" s="16">
        <v>132</v>
      </c>
      <c r="M956" s="6" t="str" cm="1">
        <f t="array" ref="M956">_xlfn.IFS(L956&lt;100,"Economy",L956&lt;200,"Standard",L956&lt;350,"Powerful",L956&lt;500,"High Performance",L956&lt;800,"Sports Performance",L956&gt;=800,"Super Performance")</f>
        <v>Standard</v>
      </c>
    </row>
    <row r="957" spans="1:13" x14ac:dyDescent="0.25">
      <c r="A957" s="5" t="s">
        <v>55</v>
      </c>
      <c r="B957" s="3" t="s">
        <v>1185</v>
      </c>
      <c r="C957" s="3" t="s">
        <v>1186</v>
      </c>
      <c r="D957" s="4">
        <v>803400</v>
      </c>
      <c r="E957" s="3">
        <v>1496</v>
      </c>
      <c r="F957" s="3">
        <v>4</v>
      </c>
      <c r="G957" s="3" t="s">
        <v>10</v>
      </c>
      <c r="H957" s="3" t="s">
        <v>27</v>
      </c>
      <c r="I957" s="3">
        <v>5</v>
      </c>
      <c r="J957" s="3" t="s">
        <v>12</v>
      </c>
      <c r="K957" s="18">
        <v>90</v>
      </c>
      <c r="L957" s="16">
        <v>132</v>
      </c>
      <c r="M957" s="6" t="str" cm="1">
        <f t="array" ref="M957">_xlfn.IFS(L957&lt;100,"Economy",L957&lt;200,"Standard",L957&lt;350,"Powerful",L957&lt;500,"High Performance",L957&lt;800,"Sports Performance",L957&gt;=800,"Super Performance")</f>
        <v>Standard</v>
      </c>
    </row>
    <row r="958" spans="1:13" x14ac:dyDescent="0.25">
      <c r="A958" s="5" t="s">
        <v>55</v>
      </c>
      <c r="B958" s="3" t="s">
        <v>1185</v>
      </c>
      <c r="C958" s="3" t="s">
        <v>1158</v>
      </c>
      <c r="D958" s="4">
        <v>689600</v>
      </c>
      <c r="E958" s="3">
        <v>1496</v>
      </c>
      <c r="F958" s="3">
        <v>4</v>
      </c>
      <c r="G958" s="3" t="s">
        <v>10</v>
      </c>
      <c r="H958" s="3" t="s">
        <v>27</v>
      </c>
      <c r="I958" s="3">
        <v>5</v>
      </c>
      <c r="J958" s="3" t="s">
        <v>12</v>
      </c>
      <c r="K958" s="18">
        <v>90</v>
      </c>
      <c r="L958" s="16">
        <v>132</v>
      </c>
      <c r="M958" s="6" t="str" cm="1">
        <f t="array" ref="M958">_xlfn.IFS(L958&lt;100,"Economy",L958&lt;200,"Standard",L958&lt;350,"Powerful",L958&lt;500,"High Performance",L958&lt;800,"Sports Performance",L958&gt;=800,"Super Performance")</f>
        <v>Standard</v>
      </c>
    </row>
    <row r="959" spans="1:13" x14ac:dyDescent="0.25">
      <c r="A959" s="5" t="s">
        <v>55</v>
      </c>
      <c r="B959" s="3" t="s">
        <v>461</v>
      </c>
      <c r="C959" s="3" t="s">
        <v>58</v>
      </c>
      <c r="D959" s="4">
        <v>802000</v>
      </c>
      <c r="E959" s="3">
        <v>1496</v>
      </c>
      <c r="F959" s="3">
        <v>4</v>
      </c>
      <c r="G959" s="3" t="s">
        <v>10</v>
      </c>
      <c r="H959" s="3" t="s">
        <v>11</v>
      </c>
      <c r="I959" s="3">
        <v>5</v>
      </c>
      <c r="J959" s="3" t="s">
        <v>12</v>
      </c>
      <c r="K959" s="18">
        <v>90</v>
      </c>
      <c r="L959" s="16">
        <v>132</v>
      </c>
      <c r="M959" s="6" t="str" cm="1">
        <f t="array" ref="M959">_xlfn.IFS(L959&lt;100,"Economy",L959&lt;200,"Standard",L959&lt;350,"Powerful",L959&lt;500,"High Performance",L959&lt;800,"Sports Performance",L959&gt;=800,"Super Performance")</f>
        <v>Standard</v>
      </c>
    </row>
    <row r="960" spans="1:13" x14ac:dyDescent="0.25">
      <c r="A960" s="5" t="s">
        <v>93</v>
      </c>
      <c r="B960" s="3" t="s">
        <v>263</v>
      </c>
      <c r="C960" s="3" t="s">
        <v>265</v>
      </c>
      <c r="D960" s="4">
        <v>936000</v>
      </c>
      <c r="E960" s="3">
        <v>1462</v>
      </c>
      <c r="F960" s="3">
        <v>4</v>
      </c>
      <c r="G960" s="3" t="s">
        <v>10</v>
      </c>
      <c r="H960" s="3" t="s">
        <v>242</v>
      </c>
      <c r="I960" s="3">
        <v>7</v>
      </c>
      <c r="J960" s="3" t="s">
        <v>30</v>
      </c>
      <c r="K960" s="18">
        <v>103</v>
      </c>
      <c r="L960" s="16">
        <v>130</v>
      </c>
      <c r="M960" s="6" t="str" cm="1">
        <f t="array" ref="M960">_xlfn.IFS(L960&lt;100,"Economy",L960&lt;200,"Standard",L960&lt;350,"Powerful",L960&lt;500,"High Performance",L960&lt;800,"Sports Performance",L960&gt;=800,"Super Performance")</f>
        <v>Standard</v>
      </c>
    </row>
    <row r="961" spans="1:13" x14ac:dyDescent="0.25">
      <c r="A961" s="5" t="s">
        <v>93</v>
      </c>
      <c r="B961" s="3" t="s">
        <v>263</v>
      </c>
      <c r="C961" s="3" t="s">
        <v>266</v>
      </c>
      <c r="D961" s="4">
        <v>971000</v>
      </c>
      <c r="E961" s="3">
        <v>1462</v>
      </c>
      <c r="F961" s="3">
        <v>4</v>
      </c>
      <c r="G961" s="3" t="s">
        <v>10</v>
      </c>
      <c r="H961" s="3" t="s">
        <v>242</v>
      </c>
      <c r="I961" s="3">
        <v>7</v>
      </c>
      <c r="J961" s="3" t="s">
        <v>12</v>
      </c>
      <c r="K961" s="18">
        <v>103</v>
      </c>
      <c r="L961" s="16">
        <v>130</v>
      </c>
      <c r="M961" s="6" t="str" cm="1">
        <f t="array" ref="M961">_xlfn.IFS(L961&lt;100,"Economy",L961&lt;200,"Standard",L961&lt;350,"Powerful",L961&lt;500,"High Performance",L961&lt;800,"Sports Performance",L961&gt;=800,"Super Performance")</f>
        <v>Standard</v>
      </c>
    </row>
    <row r="962" spans="1:13" x14ac:dyDescent="0.25">
      <c r="A962" s="5" t="s">
        <v>40</v>
      </c>
      <c r="B962" s="3" t="s">
        <v>41</v>
      </c>
      <c r="C962" s="3" t="s">
        <v>42</v>
      </c>
      <c r="D962" s="4">
        <v>598500</v>
      </c>
      <c r="E962" s="3">
        <v>1194</v>
      </c>
      <c r="F962" s="3">
        <v>4</v>
      </c>
      <c r="G962" s="3" t="s">
        <v>10</v>
      </c>
      <c r="H962" s="3" t="s">
        <v>27</v>
      </c>
      <c r="I962" s="3">
        <v>5</v>
      </c>
      <c r="J962" s="3" t="s">
        <v>12</v>
      </c>
      <c r="K962" s="18">
        <v>96</v>
      </c>
      <c r="L962" s="16">
        <v>120</v>
      </c>
      <c r="M962" s="6" t="str" cm="1">
        <f t="array" ref="M962">_xlfn.IFS(L962&lt;100,"Economy",L962&lt;200,"Standard",L962&lt;350,"Powerful",L962&lt;500,"High Performance",L962&lt;800,"Sports Performance",L962&gt;=800,"Super Performance")</f>
        <v>Standard</v>
      </c>
    </row>
    <row r="963" spans="1:13" x14ac:dyDescent="0.25">
      <c r="A963" s="5" t="s">
        <v>40</v>
      </c>
      <c r="B963" s="3" t="s">
        <v>41</v>
      </c>
      <c r="C963" s="3" t="s">
        <v>43</v>
      </c>
      <c r="D963" s="4">
        <v>697400</v>
      </c>
      <c r="E963" s="3">
        <v>1194</v>
      </c>
      <c r="F963" s="3">
        <v>4</v>
      </c>
      <c r="G963" s="3" t="s">
        <v>10</v>
      </c>
      <c r="H963" s="3" t="s">
        <v>27</v>
      </c>
      <c r="I963" s="3">
        <v>5</v>
      </c>
      <c r="J963" s="3" t="s">
        <v>12</v>
      </c>
      <c r="K963" s="18">
        <v>96</v>
      </c>
      <c r="L963" s="16">
        <v>120</v>
      </c>
      <c r="M963" s="6" t="str" cm="1">
        <f t="array" ref="M963">_xlfn.IFS(L963&lt;100,"Economy",L963&lt;200,"Standard",L963&lt;350,"Powerful",L963&lt;500,"High Performance",L963&lt;800,"Sports Performance",L963&gt;=800,"Super Performance")</f>
        <v>Standard</v>
      </c>
    </row>
    <row r="964" spans="1:13" x14ac:dyDescent="0.25">
      <c r="A964" s="5" t="s">
        <v>40</v>
      </c>
      <c r="B964" s="3" t="s">
        <v>41</v>
      </c>
      <c r="C964" s="3" t="s">
        <v>44</v>
      </c>
      <c r="D964" s="4">
        <v>663400</v>
      </c>
      <c r="E964" s="3">
        <v>1194</v>
      </c>
      <c r="F964" s="3">
        <v>4</v>
      </c>
      <c r="G964" s="3" t="s">
        <v>10</v>
      </c>
      <c r="H964" s="3" t="s">
        <v>27</v>
      </c>
      <c r="I964" s="3">
        <v>5</v>
      </c>
      <c r="J964" s="3" t="s">
        <v>12</v>
      </c>
      <c r="K964" s="18">
        <v>96</v>
      </c>
      <c r="L964" s="16">
        <v>120</v>
      </c>
      <c r="M964" s="6" t="str" cm="1">
        <f t="array" ref="M964">_xlfn.IFS(L964&lt;100,"Economy",L964&lt;200,"Standard",L964&lt;350,"Powerful",L964&lt;500,"High Performance",L964&lt;800,"Sports Performance",L964&gt;=800,"Super Performance")</f>
        <v>Standard</v>
      </c>
    </row>
    <row r="965" spans="1:13" x14ac:dyDescent="0.25">
      <c r="A965" s="5" t="s">
        <v>40</v>
      </c>
      <c r="B965" s="3" t="s">
        <v>41</v>
      </c>
      <c r="C965" s="3" t="s">
        <v>50</v>
      </c>
      <c r="D965" s="4">
        <v>782400</v>
      </c>
      <c r="E965" s="3">
        <v>1194</v>
      </c>
      <c r="F965" s="3">
        <v>4</v>
      </c>
      <c r="G965" s="3" t="s">
        <v>10</v>
      </c>
      <c r="H965" s="3" t="s">
        <v>27</v>
      </c>
      <c r="I965" s="3">
        <v>5</v>
      </c>
      <c r="J965" s="3" t="s">
        <v>12</v>
      </c>
      <c r="K965" s="18">
        <v>96</v>
      </c>
      <c r="L965" s="16">
        <v>120</v>
      </c>
      <c r="M965" s="6" t="str" cm="1">
        <f t="array" ref="M965">_xlfn.IFS(L965&lt;100,"Economy",L965&lt;200,"Standard",L965&lt;350,"Powerful",L965&lt;500,"High Performance",L965&lt;800,"Sports Performance",L965&gt;=800,"Super Performance")</f>
        <v>Standard</v>
      </c>
    </row>
    <row r="966" spans="1:13" x14ac:dyDescent="0.25">
      <c r="A966" s="5" t="s">
        <v>40</v>
      </c>
      <c r="B966" s="3" t="s">
        <v>41</v>
      </c>
      <c r="C966" s="3" t="s">
        <v>51</v>
      </c>
      <c r="D966" s="4">
        <v>737400</v>
      </c>
      <c r="E966" s="3">
        <v>1194</v>
      </c>
      <c r="F966" s="3">
        <v>4</v>
      </c>
      <c r="G966" s="3" t="s">
        <v>10</v>
      </c>
      <c r="H966" s="3" t="s">
        <v>27</v>
      </c>
      <c r="I966" s="3">
        <v>5</v>
      </c>
      <c r="J966" s="3" t="s">
        <v>12</v>
      </c>
      <c r="K966" s="18">
        <v>96</v>
      </c>
      <c r="L966" s="16">
        <v>120</v>
      </c>
      <c r="M966" s="6" t="str" cm="1">
        <f t="array" ref="M966">_xlfn.IFS(L966&lt;100,"Economy",L966&lt;200,"Standard",L966&lt;350,"Powerful",L966&lt;500,"High Performance",L966&lt;800,"Sports Performance",L966&gt;=800,"Super Performance")</f>
        <v>Standard</v>
      </c>
    </row>
    <row r="967" spans="1:13" x14ac:dyDescent="0.25">
      <c r="A967" s="5" t="s">
        <v>40</v>
      </c>
      <c r="B967" s="3" t="s">
        <v>41</v>
      </c>
      <c r="C967" s="3" t="s">
        <v>52</v>
      </c>
      <c r="D967" s="4">
        <v>758314</v>
      </c>
      <c r="E967" s="3">
        <v>1194</v>
      </c>
      <c r="F967" s="3">
        <v>4</v>
      </c>
      <c r="G967" s="3" t="s">
        <v>15</v>
      </c>
      <c r="H967" s="3" t="s">
        <v>27</v>
      </c>
      <c r="I967" s="3">
        <v>5</v>
      </c>
      <c r="J967" s="3" t="s">
        <v>12</v>
      </c>
      <c r="K967" s="18">
        <v>96</v>
      </c>
      <c r="L967" s="16">
        <v>120</v>
      </c>
      <c r="M967" s="6" t="str" cm="1">
        <f t="array" ref="M967">_xlfn.IFS(L967&lt;100,"Economy",L967&lt;200,"Standard",L967&lt;350,"Powerful",L967&lt;500,"High Performance",L967&lt;800,"Sports Performance",L967&gt;=800,"Super Performance")</f>
        <v>Standard</v>
      </c>
    </row>
    <row r="968" spans="1:13" x14ac:dyDescent="0.25">
      <c r="A968" s="5" t="s">
        <v>40</v>
      </c>
      <c r="B968" s="3" t="s">
        <v>41</v>
      </c>
      <c r="C968" s="3" t="s">
        <v>53</v>
      </c>
      <c r="D968" s="4">
        <v>762400</v>
      </c>
      <c r="E968" s="3">
        <v>1194</v>
      </c>
      <c r="F968" s="3">
        <v>4</v>
      </c>
      <c r="G968" s="3" t="s">
        <v>10</v>
      </c>
      <c r="H968" s="3" t="s">
        <v>27</v>
      </c>
      <c r="I968" s="3">
        <v>5</v>
      </c>
      <c r="J968" s="3" t="s">
        <v>12</v>
      </c>
      <c r="K968" s="18">
        <v>96</v>
      </c>
      <c r="L968" s="16">
        <v>120</v>
      </c>
      <c r="M968" s="6" t="str" cm="1">
        <f t="array" ref="M968">_xlfn.IFS(L968&lt;100,"Economy",L968&lt;200,"Standard",L968&lt;350,"Powerful",L968&lt;500,"High Performance",L968&lt;800,"Sports Performance",L968&gt;=800,"Super Performance")</f>
        <v>Standard</v>
      </c>
    </row>
    <row r="969" spans="1:13" x14ac:dyDescent="0.25">
      <c r="A969" s="5" t="s">
        <v>40</v>
      </c>
      <c r="B969" s="3" t="s">
        <v>154</v>
      </c>
      <c r="C969" s="3" t="s">
        <v>155</v>
      </c>
      <c r="D969" s="4">
        <v>523000</v>
      </c>
      <c r="E969" s="3">
        <v>1194</v>
      </c>
      <c r="F969" s="3">
        <v>4</v>
      </c>
      <c r="G969" s="3" t="s">
        <v>10</v>
      </c>
      <c r="H969" s="3" t="s">
        <v>11</v>
      </c>
      <c r="I969" s="3">
        <v>5</v>
      </c>
      <c r="J969" s="3" t="s">
        <v>12</v>
      </c>
      <c r="K969" s="18">
        <v>96</v>
      </c>
      <c r="L969" s="16">
        <v>120</v>
      </c>
      <c r="M969" s="6" t="str" cm="1">
        <f t="array" ref="M969">_xlfn.IFS(L969&lt;100,"Economy",L969&lt;200,"Standard",L969&lt;350,"Powerful",L969&lt;500,"High Performance",L969&lt;800,"Sports Performance",L969&gt;=800,"Super Performance")</f>
        <v>Standard</v>
      </c>
    </row>
    <row r="970" spans="1:13" x14ac:dyDescent="0.25">
      <c r="A970" s="5" t="s">
        <v>40</v>
      </c>
      <c r="B970" s="3" t="s">
        <v>154</v>
      </c>
      <c r="C970" s="3" t="s">
        <v>156</v>
      </c>
      <c r="D970" s="4">
        <v>599900</v>
      </c>
      <c r="E970" s="3">
        <v>1196</v>
      </c>
      <c r="F970" s="3">
        <v>4</v>
      </c>
      <c r="G970" s="3" t="s">
        <v>10</v>
      </c>
      <c r="H970" s="3" t="s">
        <v>11</v>
      </c>
      <c r="I970" s="3">
        <v>5</v>
      </c>
      <c r="J970" s="3" t="s">
        <v>12</v>
      </c>
      <c r="K970" s="18">
        <v>96</v>
      </c>
      <c r="L970" s="16">
        <v>120</v>
      </c>
      <c r="M970" s="6" t="str" cm="1">
        <f t="array" ref="M970">_xlfn.IFS(L970&lt;100,"Economy",L970&lt;200,"Standard",L970&lt;350,"Powerful",L970&lt;500,"High Performance",L970&lt;800,"Sports Performance",L970&gt;=800,"Super Performance")</f>
        <v>Standard</v>
      </c>
    </row>
    <row r="971" spans="1:13" x14ac:dyDescent="0.25">
      <c r="A971" s="5" t="s">
        <v>40</v>
      </c>
      <c r="B971" s="3" t="s">
        <v>154</v>
      </c>
      <c r="C971" s="3" t="s">
        <v>158</v>
      </c>
      <c r="D971" s="4">
        <v>664900</v>
      </c>
      <c r="E971" s="3">
        <v>1194</v>
      </c>
      <c r="F971" s="3">
        <v>4</v>
      </c>
      <c r="G971" s="3" t="s">
        <v>10</v>
      </c>
      <c r="H971" s="3" t="s">
        <v>11</v>
      </c>
      <c r="I971" s="3">
        <v>5</v>
      </c>
      <c r="J971" s="3" t="s">
        <v>12</v>
      </c>
      <c r="K971" s="18">
        <v>96</v>
      </c>
      <c r="L971" s="16">
        <v>120</v>
      </c>
      <c r="M971" s="6" t="str" cm="1">
        <f t="array" ref="M971">_xlfn.IFS(L971&lt;100,"Economy",L971&lt;200,"Standard",L971&lt;350,"Powerful",L971&lt;500,"High Performance",L971&lt;800,"Sports Performance",L971&gt;=800,"Super Performance")</f>
        <v>Standard</v>
      </c>
    </row>
    <row r="972" spans="1:13" x14ac:dyDescent="0.25">
      <c r="A972" s="5" t="s">
        <v>40</v>
      </c>
      <c r="B972" s="3" t="s">
        <v>615</v>
      </c>
      <c r="C972" s="3" t="s">
        <v>616</v>
      </c>
      <c r="D972" s="4">
        <v>591400</v>
      </c>
      <c r="E972" s="3">
        <v>1194</v>
      </c>
      <c r="F972" s="3">
        <v>3</v>
      </c>
      <c r="G972" s="3" t="s">
        <v>10</v>
      </c>
      <c r="H972" s="3" t="s">
        <v>11</v>
      </c>
      <c r="I972" s="3">
        <v>5</v>
      </c>
      <c r="J972" s="3" t="s">
        <v>12</v>
      </c>
      <c r="K972" s="18">
        <v>96</v>
      </c>
      <c r="L972" s="16">
        <v>120</v>
      </c>
      <c r="M972" s="6" t="str" cm="1">
        <f t="array" ref="M972">_xlfn.IFS(L972&lt;100,"Economy",L972&lt;200,"Standard",L972&lt;350,"Powerful",L972&lt;500,"High Performance",L972&lt;800,"Sports Performance",L972&gt;=800,"Super Performance")</f>
        <v>Standard</v>
      </c>
    </row>
    <row r="973" spans="1:13" x14ac:dyDescent="0.25">
      <c r="A973" s="5" t="s">
        <v>40</v>
      </c>
      <c r="B973" s="3" t="s">
        <v>615</v>
      </c>
      <c r="C973" s="3" t="s">
        <v>617</v>
      </c>
      <c r="D973" s="4">
        <v>721400</v>
      </c>
      <c r="E973" s="3">
        <v>1194</v>
      </c>
      <c r="F973" s="3">
        <v>3</v>
      </c>
      <c r="G973" s="3" t="s">
        <v>10</v>
      </c>
      <c r="H973" s="3" t="s">
        <v>11</v>
      </c>
      <c r="I973" s="3">
        <v>5</v>
      </c>
      <c r="J973" s="3" t="s">
        <v>12</v>
      </c>
      <c r="K973" s="18">
        <v>96</v>
      </c>
      <c r="L973" s="16">
        <v>120</v>
      </c>
      <c r="M973" s="6" t="str" cm="1">
        <f t="array" ref="M973">_xlfn.IFS(L973&lt;100,"Economy",L973&lt;200,"Standard",L973&lt;350,"Powerful",L973&lt;500,"High Performance",L973&lt;800,"Sports Performance",L973&gt;=800,"Super Performance")</f>
        <v>Standard</v>
      </c>
    </row>
    <row r="974" spans="1:13" x14ac:dyDescent="0.25">
      <c r="A974" s="5" t="s">
        <v>40</v>
      </c>
      <c r="B974" s="3" t="s">
        <v>615</v>
      </c>
      <c r="C974" s="3" t="s">
        <v>618</v>
      </c>
      <c r="D974" s="4">
        <v>756400</v>
      </c>
      <c r="E974" s="3">
        <v>1194</v>
      </c>
      <c r="F974" s="3">
        <v>3</v>
      </c>
      <c r="G974" s="3" t="s">
        <v>10</v>
      </c>
      <c r="H974" s="3" t="s">
        <v>11</v>
      </c>
      <c r="I974" s="3">
        <v>5</v>
      </c>
      <c r="J974" s="3" t="s">
        <v>12</v>
      </c>
      <c r="K974" s="18">
        <v>96</v>
      </c>
      <c r="L974" s="16">
        <v>120</v>
      </c>
      <c r="M974" s="6" t="str" cm="1">
        <f t="array" ref="M974">_xlfn.IFS(L974&lt;100,"Economy",L974&lt;200,"Standard",L974&lt;350,"Powerful",L974&lt;500,"High Performance",L974&lt;800,"Sports Performance",L974&gt;=800,"Super Performance")</f>
        <v>Standard</v>
      </c>
    </row>
    <row r="975" spans="1:13" x14ac:dyDescent="0.25">
      <c r="A975" s="5" t="s">
        <v>40</v>
      </c>
      <c r="B975" s="3" t="s">
        <v>615</v>
      </c>
      <c r="C975" s="3" t="s">
        <v>619</v>
      </c>
      <c r="D975" s="4">
        <v>681400</v>
      </c>
      <c r="E975" s="3">
        <v>1194</v>
      </c>
      <c r="F975" s="3">
        <v>3</v>
      </c>
      <c r="G975" s="3" t="s">
        <v>10</v>
      </c>
      <c r="H975" s="3" t="s">
        <v>304</v>
      </c>
      <c r="I975" s="3">
        <v>5</v>
      </c>
      <c r="J975" s="3" t="s">
        <v>12</v>
      </c>
      <c r="K975" s="18">
        <v>96</v>
      </c>
      <c r="L975" s="16">
        <v>120</v>
      </c>
      <c r="M975" s="6" t="str" cm="1">
        <f t="array" ref="M975">_xlfn.IFS(L975&lt;100,"Economy",L975&lt;200,"Standard",L975&lt;350,"Powerful",L975&lt;500,"High Performance",L975&lt;800,"Sports Performance",L975&gt;=800,"Super Performance")</f>
        <v>Standard</v>
      </c>
    </row>
    <row r="976" spans="1:13" x14ac:dyDescent="0.25">
      <c r="A976" s="5" t="s">
        <v>93</v>
      </c>
      <c r="B976" s="3" t="s">
        <v>837</v>
      </c>
      <c r="C976" s="3" t="s">
        <v>191</v>
      </c>
      <c r="D976" s="4">
        <v>598940</v>
      </c>
      <c r="E976" s="3">
        <v>1197</v>
      </c>
      <c r="F976" s="3">
        <v>4</v>
      </c>
      <c r="G976" s="3" t="s">
        <v>15</v>
      </c>
      <c r="H976" s="3" t="s">
        <v>27</v>
      </c>
      <c r="I976" s="3">
        <v>5</v>
      </c>
      <c r="J976" s="3" t="s">
        <v>12</v>
      </c>
      <c r="K976" s="18">
        <v>69</v>
      </c>
      <c r="L976" s="16">
        <v>115</v>
      </c>
      <c r="M976" s="6" t="str" cm="1">
        <f t="array" ref="M976">_xlfn.IFS(L976&lt;100,"Economy",L976&lt;200,"Standard",L976&lt;350,"Powerful",L976&lt;500,"High Performance",L976&lt;800,"Sports Performance",L976&gt;=800,"Super Performance")</f>
        <v>Standard</v>
      </c>
    </row>
    <row r="977" spans="1:13" x14ac:dyDescent="0.25">
      <c r="A977" s="5" t="s">
        <v>93</v>
      </c>
      <c r="B977" s="3" t="s">
        <v>838</v>
      </c>
      <c r="C977" s="3" t="s">
        <v>97</v>
      </c>
      <c r="D977" s="4">
        <v>582613</v>
      </c>
      <c r="E977" s="3">
        <v>1197</v>
      </c>
      <c r="F977" s="3">
        <v>4</v>
      </c>
      <c r="G977" s="3" t="s">
        <v>10</v>
      </c>
      <c r="H977" s="3" t="s">
        <v>27</v>
      </c>
      <c r="I977" s="3">
        <v>5</v>
      </c>
      <c r="J977" s="3" t="s">
        <v>12</v>
      </c>
      <c r="K977" s="18">
        <v>84.3</v>
      </c>
      <c r="L977" s="16">
        <v>115</v>
      </c>
      <c r="M977" s="6" t="str" cm="1">
        <f t="array" ref="M977">_xlfn.IFS(L977&lt;100,"Economy",L977&lt;200,"Standard",L977&lt;350,"Powerful",L977&lt;500,"High Performance",L977&lt;800,"Sports Performance",L977&gt;=800,"Super Performance")</f>
        <v>Standard</v>
      </c>
    </row>
    <row r="978" spans="1:13" x14ac:dyDescent="0.25">
      <c r="A978" s="5" t="s">
        <v>93</v>
      </c>
      <c r="B978" s="3" t="s">
        <v>838</v>
      </c>
      <c r="C978" s="3" t="s">
        <v>99</v>
      </c>
      <c r="D978" s="4">
        <v>673112</v>
      </c>
      <c r="E978" s="3">
        <v>1197</v>
      </c>
      <c r="F978" s="3">
        <v>4</v>
      </c>
      <c r="G978" s="3" t="s">
        <v>10</v>
      </c>
      <c r="H978" s="3" t="s">
        <v>27</v>
      </c>
      <c r="I978" s="3">
        <v>5</v>
      </c>
      <c r="J978" s="3" t="s">
        <v>12</v>
      </c>
      <c r="K978" s="18">
        <v>84.3</v>
      </c>
      <c r="L978" s="16">
        <v>115</v>
      </c>
      <c r="M978" s="6" t="str" cm="1">
        <f t="array" ref="M978">_xlfn.IFS(L978&lt;100,"Economy",L978&lt;200,"Standard",L978&lt;350,"Powerful",L978&lt;500,"High Performance",L978&lt;800,"Sports Performance",L978&gt;=800,"Super Performance")</f>
        <v>Standard</v>
      </c>
    </row>
    <row r="979" spans="1:13" x14ac:dyDescent="0.25">
      <c r="A979" s="5" t="s">
        <v>93</v>
      </c>
      <c r="B979" s="3" t="s">
        <v>838</v>
      </c>
      <c r="C979" s="3" t="s">
        <v>264</v>
      </c>
      <c r="D979" s="4">
        <v>732113</v>
      </c>
      <c r="E979" s="3">
        <v>1197</v>
      </c>
      <c r="F979" s="3">
        <v>4</v>
      </c>
      <c r="G979" s="3" t="s">
        <v>10</v>
      </c>
      <c r="H979" s="3" t="s">
        <v>27</v>
      </c>
      <c r="I979" s="3">
        <v>5</v>
      </c>
      <c r="J979" s="3" t="s">
        <v>12</v>
      </c>
      <c r="K979" s="18">
        <v>84.3</v>
      </c>
      <c r="L979" s="16">
        <v>115</v>
      </c>
      <c r="M979" s="6" t="str" cm="1">
        <f t="array" ref="M979">_xlfn.IFS(L979&lt;100,"Economy",L979&lt;200,"Standard",L979&lt;350,"Powerful",L979&lt;500,"High Performance",L979&lt;800,"Sports Performance",L979&gt;=800,"Super Performance")</f>
        <v>Standard</v>
      </c>
    </row>
    <row r="980" spans="1:13" x14ac:dyDescent="0.25">
      <c r="A980" s="5" t="s">
        <v>93</v>
      </c>
      <c r="B980" s="3" t="s">
        <v>838</v>
      </c>
      <c r="C980" s="3" t="s">
        <v>713</v>
      </c>
      <c r="D980" s="4">
        <v>720112</v>
      </c>
      <c r="E980" s="3">
        <v>1197</v>
      </c>
      <c r="F980" s="3">
        <v>4</v>
      </c>
      <c r="G980" s="3" t="s">
        <v>10</v>
      </c>
      <c r="H980" s="3" t="s">
        <v>27</v>
      </c>
      <c r="I980" s="3">
        <v>5</v>
      </c>
      <c r="J980" s="3" t="s">
        <v>30</v>
      </c>
      <c r="K980" s="18">
        <v>84.3</v>
      </c>
      <c r="L980" s="16">
        <v>115</v>
      </c>
      <c r="M980" s="6" t="str" cm="1">
        <f t="array" ref="M980">_xlfn.IFS(L980&lt;100,"Economy",L980&lt;200,"Standard",L980&lt;350,"Powerful",L980&lt;500,"High Performance",L980&lt;800,"Sports Performance",L980&gt;=800,"Super Performance")</f>
        <v>Standard</v>
      </c>
    </row>
    <row r="981" spans="1:13" x14ac:dyDescent="0.25">
      <c r="A981" s="5" t="s">
        <v>93</v>
      </c>
      <c r="B981" s="3" t="s">
        <v>838</v>
      </c>
      <c r="C981" s="3" t="s">
        <v>266</v>
      </c>
      <c r="D981" s="4">
        <v>821613</v>
      </c>
      <c r="E981" s="3">
        <v>1197</v>
      </c>
      <c r="F981" s="3">
        <v>4</v>
      </c>
      <c r="G981" s="3" t="s">
        <v>10</v>
      </c>
      <c r="H981" s="3" t="s">
        <v>27</v>
      </c>
      <c r="I981" s="3">
        <v>5</v>
      </c>
      <c r="J981" s="3" t="s">
        <v>12</v>
      </c>
      <c r="K981" s="18">
        <v>84.3</v>
      </c>
      <c r="L981" s="16">
        <v>115</v>
      </c>
      <c r="M981" s="6" t="str" cm="1">
        <f t="array" ref="M981">_xlfn.IFS(L981&lt;100,"Economy",L981&lt;200,"Standard",L981&lt;350,"Powerful",L981&lt;500,"High Performance",L981&lt;800,"Sports Performance",L981&gt;=800,"Super Performance")</f>
        <v>Standard</v>
      </c>
    </row>
    <row r="982" spans="1:13" x14ac:dyDescent="0.25">
      <c r="A982" s="5" t="s">
        <v>93</v>
      </c>
      <c r="B982" s="3" t="s">
        <v>838</v>
      </c>
      <c r="C982" s="3" t="s">
        <v>267</v>
      </c>
      <c r="D982" s="4">
        <v>779113</v>
      </c>
      <c r="E982" s="3">
        <v>1197</v>
      </c>
      <c r="F982" s="3">
        <v>4</v>
      </c>
      <c r="G982" s="3" t="s">
        <v>10</v>
      </c>
      <c r="H982" s="3" t="s">
        <v>27</v>
      </c>
      <c r="I982" s="3">
        <v>5</v>
      </c>
      <c r="J982" s="3" t="s">
        <v>30</v>
      </c>
      <c r="K982" s="18">
        <v>84.3</v>
      </c>
      <c r="L982" s="16">
        <v>115</v>
      </c>
      <c r="M982" s="6" t="str" cm="1">
        <f t="array" ref="M982">_xlfn.IFS(L982&lt;100,"Economy",L982&lt;200,"Standard",L982&lt;350,"Powerful",L982&lt;500,"High Performance",L982&lt;800,"Sports Performance",L982&gt;=800,"Super Performance")</f>
        <v>Standard</v>
      </c>
    </row>
    <row r="983" spans="1:13" x14ac:dyDescent="0.25">
      <c r="A983" s="5" t="s">
        <v>93</v>
      </c>
      <c r="B983" s="3" t="s">
        <v>838</v>
      </c>
      <c r="C983" s="3" t="s">
        <v>721</v>
      </c>
      <c r="D983" s="4">
        <v>868613</v>
      </c>
      <c r="E983" s="3">
        <v>1197</v>
      </c>
      <c r="F983" s="3">
        <v>4</v>
      </c>
      <c r="G983" s="3" t="s">
        <v>10</v>
      </c>
      <c r="H983" s="3" t="s">
        <v>27</v>
      </c>
      <c r="I983" s="3">
        <v>5</v>
      </c>
      <c r="J983" s="3" t="s">
        <v>30</v>
      </c>
      <c r="K983" s="18">
        <v>84.3</v>
      </c>
      <c r="L983" s="16">
        <v>115</v>
      </c>
      <c r="M983" s="6" t="str" cm="1">
        <f t="array" ref="M983">_xlfn.IFS(L983&lt;100,"Economy",L983&lt;200,"Standard",L983&lt;350,"Powerful",L983&lt;500,"High Performance",L983&lt;800,"Sports Performance",L983&gt;=800,"Super Performance")</f>
        <v>Standard</v>
      </c>
    </row>
    <row r="984" spans="1:13" x14ac:dyDescent="0.25">
      <c r="A984" s="5" t="s">
        <v>7</v>
      </c>
      <c r="B984" s="3" t="s">
        <v>863</v>
      </c>
      <c r="C984" s="3" t="s">
        <v>872</v>
      </c>
      <c r="D984" s="4">
        <v>725000</v>
      </c>
      <c r="E984" s="3">
        <v>1197</v>
      </c>
      <c r="F984" s="3">
        <v>4</v>
      </c>
      <c r="G984" s="3" t="s">
        <v>10</v>
      </c>
      <c r="H984" s="3" t="s">
        <v>66</v>
      </c>
      <c r="I984" s="3">
        <v>5</v>
      </c>
      <c r="J984" s="3" t="s">
        <v>12</v>
      </c>
      <c r="K984" s="18">
        <v>82</v>
      </c>
      <c r="L984" s="16">
        <v>115</v>
      </c>
      <c r="M984" s="6" t="str" cm="1">
        <f t="array" ref="M984">_xlfn.IFS(L984&lt;100,"Economy",L984&lt;200,"Standard",L984&lt;350,"Powerful",L984&lt;500,"High Performance",L984&lt;800,"Sports Performance",L984&gt;=800,"Super Performance")</f>
        <v>Standard</v>
      </c>
    </row>
    <row r="985" spans="1:13" x14ac:dyDescent="0.25">
      <c r="A985" s="5" t="s">
        <v>93</v>
      </c>
      <c r="B985" s="3" t="s">
        <v>900</v>
      </c>
      <c r="C985" s="3" t="s">
        <v>905</v>
      </c>
      <c r="D985" s="4">
        <v>758212</v>
      </c>
      <c r="E985" s="3">
        <v>1197</v>
      </c>
      <c r="F985" s="3">
        <v>4</v>
      </c>
      <c r="G985" s="3" t="s">
        <v>10</v>
      </c>
      <c r="H985" s="3" t="s">
        <v>11</v>
      </c>
      <c r="I985" s="3">
        <v>5</v>
      </c>
      <c r="J985" s="3" t="s">
        <v>12</v>
      </c>
      <c r="K985" s="18">
        <v>83</v>
      </c>
      <c r="L985" s="16">
        <v>115</v>
      </c>
      <c r="M985" s="6" t="str" cm="1">
        <f t="array" ref="M985">_xlfn.IFS(L985&lt;100,"Economy",L985&lt;200,"Standard",L985&lt;350,"Powerful",L985&lt;500,"High Performance",L985&lt;800,"Sports Performance",L985&gt;=800,"Super Performance")</f>
        <v>Standard</v>
      </c>
    </row>
    <row r="986" spans="1:13" x14ac:dyDescent="0.25">
      <c r="A986" s="5" t="s">
        <v>93</v>
      </c>
      <c r="B986" s="3" t="s">
        <v>900</v>
      </c>
      <c r="C986" s="3" t="s">
        <v>906</v>
      </c>
      <c r="D986" s="4">
        <v>890212</v>
      </c>
      <c r="E986" s="3">
        <v>1197</v>
      </c>
      <c r="F986" s="3">
        <v>4</v>
      </c>
      <c r="G986" s="3" t="s">
        <v>10</v>
      </c>
      <c r="H986" s="3" t="s">
        <v>11</v>
      </c>
      <c r="I986" s="3">
        <v>5</v>
      </c>
      <c r="J986" s="3" t="s">
        <v>30</v>
      </c>
      <c r="K986" s="18">
        <v>83</v>
      </c>
      <c r="L986" s="16">
        <v>115</v>
      </c>
      <c r="M986" s="6" t="str" cm="1">
        <f t="array" ref="M986">_xlfn.IFS(L986&lt;100,"Economy",L986&lt;200,"Standard",L986&lt;350,"Powerful",L986&lt;500,"High Performance",L986&lt;800,"Sports Performance",L986&gt;=800,"Super Performance")</f>
        <v>Standard</v>
      </c>
    </row>
    <row r="987" spans="1:13" x14ac:dyDescent="0.25">
      <c r="A987" s="5" t="s">
        <v>93</v>
      </c>
      <c r="B987" s="3" t="s">
        <v>900</v>
      </c>
      <c r="C987" s="3" t="s">
        <v>907</v>
      </c>
      <c r="D987" s="4">
        <v>636612</v>
      </c>
      <c r="E987" s="3">
        <v>1197</v>
      </c>
      <c r="F987" s="3">
        <v>4</v>
      </c>
      <c r="G987" s="3" t="s">
        <v>10</v>
      </c>
      <c r="H987" s="3" t="s">
        <v>11</v>
      </c>
      <c r="I987" s="3">
        <v>5</v>
      </c>
      <c r="J987" s="3" t="s">
        <v>12</v>
      </c>
      <c r="K987" s="18">
        <v>83</v>
      </c>
      <c r="L987" s="16">
        <v>115</v>
      </c>
      <c r="M987" s="6" t="str" cm="1">
        <f t="array" ref="M987">_xlfn.IFS(L987&lt;100,"Economy",L987&lt;200,"Standard",L987&lt;350,"Powerful",L987&lt;500,"High Performance",L987&lt;800,"Sports Performance",L987&gt;=800,"Super Performance")</f>
        <v>Standard</v>
      </c>
    </row>
    <row r="988" spans="1:13" x14ac:dyDescent="0.25">
      <c r="A988" s="5" t="s">
        <v>93</v>
      </c>
      <c r="B988" s="3" t="s">
        <v>900</v>
      </c>
      <c r="C988" s="3" t="s">
        <v>908</v>
      </c>
      <c r="D988" s="4">
        <v>768612</v>
      </c>
      <c r="E988" s="3">
        <v>1197</v>
      </c>
      <c r="F988" s="3">
        <v>4</v>
      </c>
      <c r="G988" s="3" t="s">
        <v>10</v>
      </c>
      <c r="H988" s="3" t="s">
        <v>11</v>
      </c>
      <c r="I988" s="3">
        <v>5</v>
      </c>
      <c r="J988" s="3" t="s">
        <v>30</v>
      </c>
      <c r="K988" s="18">
        <v>83</v>
      </c>
      <c r="L988" s="16">
        <v>115</v>
      </c>
      <c r="M988" s="6" t="str" cm="1">
        <f t="array" ref="M988">_xlfn.IFS(L988&lt;100,"Economy",L988&lt;200,"Standard",L988&lt;350,"Powerful",L988&lt;500,"High Performance",L988&lt;800,"Sports Performance",L988&gt;=800,"Super Performance")</f>
        <v>Standard</v>
      </c>
    </row>
    <row r="989" spans="1:13" x14ac:dyDescent="0.25">
      <c r="A989" s="5" t="s">
        <v>93</v>
      </c>
      <c r="B989" s="3" t="s">
        <v>900</v>
      </c>
      <c r="C989" s="3" t="s">
        <v>909</v>
      </c>
      <c r="D989" s="4">
        <v>558602</v>
      </c>
      <c r="E989" s="3">
        <v>1197</v>
      </c>
      <c r="F989" s="3">
        <v>4</v>
      </c>
      <c r="G989" s="3" t="s">
        <v>10</v>
      </c>
      <c r="H989" s="3" t="s">
        <v>11</v>
      </c>
      <c r="I989" s="3">
        <v>5</v>
      </c>
      <c r="J989" s="3" t="s">
        <v>12</v>
      </c>
      <c r="K989" s="18">
        <v>83</v>
      </c>
      <c r="L989" s="16">
        <v>115</v>
      </c>
      <c r="M989" s="6" t="str" cm="1">
        <f t="array" ref="M989">_xlfn.IFS(L989&lt;100,"Economy",L989&lt;200,"Standard",L989&lt;350,"Powerful",L989&lt;500,"High Performance",L989&lt;800,"Sports Performance",L989&gt;=800,"Super Performance")</f>
        <v>Standard</v>
      </c>
    </row>
    <row r="990" spans="1:13" x14ac:dyDescent="0.25">
      <c r="A990" s="5" t="s">
        <v>93</v>
      </c>
      <c r="B990" s="3" t="s">
        <v>900</v>
      </c>
      <c r="C990" s="3" t="s">
        <v>910</v>
      </c>
      <c r="D990" s="4">
        <v>697912</v>
      </c>
      <c r="E990" s="3">
        <v>1197</v>
      </c>
      <c r="F990" s="3">
        <v>4</v>
      </c>
      <c r="G990" s="3" t="s">
        <v>10</v>
      </c>
      <c r="H990" s="3" t="s">
        <v>11</v>
      </c>
      <c r="I990" s="3">
        <v>5</v>
      </c>
      <c r="J990" s="3" t="s">
        <v>12</v>
      </c>
      <c r="K990" s="18">
        <v>83</v>
      </c>
      <c r="L990" s="16">
        <v>115</v>
      </c>
      <c r="M990" s="6" t="str" cm="1">
        <f t="array" ref="M990">_xlfn.IFS(L990&lt;100,"Economy",L990&lt;200,"Standard",L990&lt;350,"Powerful",L990&lt;500,"High Performance",L990&lt;800,"Sports Performance",L990&gt;=800,"Super Performance")</f>
        <v>Standard</v>
      </c>
    </row>
    <row r="991" spans="1:13" x14ac:dyDescent="0.25">
      <c r="A991" s="5" t="s">
        <v>93</v>
      </c>
      <c r="B991" s="3" t="s">
        <v>900</v>
      </c>
      <c r="C991" s="3" t="s">
        <v>911</v>
      </c>
      <c r="D991" s="4">
        <v>733412</v>
      </c>
      <c r="E991" s="3">
        <v>1197</v>
      </c>
      <c r="F991" s="3">
        <v>4</v>
      </c>
      <c r="G991" s="3" t="s">
        <v>10</v>
      </c>
      <c r="H991" s="3" t="s">
        <v>11</v>
      </c>
      <c r="I991" s="3">
        <v>5</v>
      </c>
      <c r="J991" s="3" t="s">
        <v>12</v>
      </c>
      <c r="K991" s="18">
        <v>83</v>
      </c>
      <c r="L991" s="16">
        <v>115</v>
      </c>
      <c r="M991" s="6" t="str" cm="1">
        <f t="array" ref="M991">_xlfn.IFS(L991&lt;100,"Economy",L991&lt;200,"Standard",L991&lt;350,"Powerful",L991&lt;500,"High Performance",L991&lt;800,"Sports Performance",L991&gt;=800,"Super Performance")</f>
        <v>Standard</v>
      </c>
    </row>
    <row r="992" spans="1:13" x14ac:dyDescent="0.25">
      <c r="A992" s="5" t="s">
        <v>93</v>
      </c>
      <c r="B992" s="3" t="s">
        <v>900</v>
      </c>
      <c r="C992" s="3" t="s">
        <v>912</v>
      </c>
      <c r="D992" s="4">
        <v>789912</v>
      </c>
      <c r="E992" s="3">
        <v>1197</v>
      </c>
      <c r="F992" s="3">
        <v>4</v>
      </c>
      <c r="G992" s="3" t="s">
        <v>10</v>
      </c>
      <c r="H992" s="3" t="s">
        <v>11</v>
      </c>
      <c r="I992" s="3">
        <v>5</v>
      </c>
      <c r="J992" s="3" t="s">
        <v>12</v>
      </c>
      <c r="K992" s="18">
        <v>83</v>
      </c>
      <c r="L992" s="16">
        <v>115</v>
      </c>
      <c r="M992" s="6" t="str" cm="1">
        <f t="array" ref="M992">_xlfn.IFS(L992&lt;100,"Economy",L992&lt;200,"Standard",L992&lt;350,"Powerful",L992&lt;500,"High Performance",L992&lt;800,"Sports Performance",L992&gt;=800,"Super Performance")</f>
        <v>Standard</v>
      </c>
    </row>
    <row r="993" spans="1:13" x14ac:dyDescent="0.25">
      <c r="A993" s="5" t="s">
        <v>93</v>
      </c>
      <c r="B993" s="3" t="s">
        <v>900</v>
      </c>
      <c r="C993" s="3" t="s">
        <v>913</v>
      </c>
      <c r="D993" s="4">
        <v>829912</v>
      </c>
      <c r="E993" s="3">
        <v>1197</v>
      </c>
      <c r="F993" s="3">
        <v>4</v>
      </c>
      <c r="G993" s="3" t="s">
        <v>10</v>
      </c>
      <c r="H993" s="3" t="s">
        <v>11</v>
      </c>
      <c r="I993" s="3">
        <v>5</v>
      </c>
      <c r="J993" s="3" t="s">
        <v>30</v>
      </c>
      <c r="K993" s="18">
        <v>83</v>
      </c>
      <c r="L993" s="16">
        <v>115</v>
      </c>
      <c r="M993" s="6" t="str" cm="1">
        <f t="array" ref="M993">_xlfn.IFS(L993&lt;100,"Economy",L993&lt;200,"Standard",L993&lt;350,"Powerful",L993&lt;500,"High Performance",L993&lt;800,"Sports Performance",L993&gt;=800,"Super Performance")</f>
        <v>Standard</v>
      </c>
    </row>
    <row r="994" spans="1:13" x14ac:dyDescent="0.25">
      <c r="A994" s="5" t="s">
        <v>202</v>
      </c>
      <c r="B994" s="3" t="s">
        <v>968</v>
      </c>
      <c r="C994" s="3" t="s">
        <v>969</v>
      </c>
      <c r="D994" s="4">
        <v>488194</v>
      </c>
      <c r="E994" s="3">
        <v>1198</v>
      </c>
      <c r="F994" s="3">
        <v>3</v>
      </c>
      <c r="G994" s="3" t="s">
        <v>10</v>
      </c>
      <c r="H994" s="3" t="s">
        <v>11</v>
      </c>
      <c r="I994" s="3">
        <v>6</v>
      </c>
      <c r="J994" s="3" t="s">
        <v>12</v>
      </c>
      <c r="K994" s="18">
        <v>82</v>
      </c>
      <c r="L994" s="16">
        <v>115</v>
      </c>
      <c r="M994" s="6" t="str" cm="1">
        <f t="array" ref="M994">_xlfn.IFS(L994&lt;100,"Economy",L994&lt;200,"Standard",L994&lt;350,"Powerful",L994&lt;500,"High Performance",L994&lt;800,"Sports Performance",L994&gt;=800,"Super Performance")</f>
        <v>Standard</v>
      </c>
    </row>
    <row r="995" spans="1:13" x14ac:dyDescent="0.25">
      <c r="A995" s="5" t="s">
        <v>202</v>
      </c>
      <c r="B995" s="3" t="s">
        <v>968</v>
      </c>
      <c r="C995" s="3" t="s">
        <v>970</v>
      </c>
      <c r="D995" s="4">
        <v>532184</v>
      </c>
      <c r="E995" s="3">
        <v>1198</v>
      </c>
      <c r="F995" s="3">
        <v>3</v>
      </c>
      <c r="G995" s="3" t="s">
        <v>10</v>
      </c>
      <c r="H995" s="3" t="s">
        <v>11</v>
      </c>
      <c r="I995" s="3">
        <v>6</v>
      </c>
      <c r="J995" s="3" t="s">
        <v>12</v>
      </c>
      <c r="K995" s="18">
        <v>82</v>
      </c>
      <c r="L995" s="16">
        <v>115</v>
      </c>
      <c r="M995" s="6" t="str" cm="1">
        <f t="array" ref="M995">_xlfn.IFS(L995&lt;100,"Economy",L995&lt;200,"Standard",L995&lt;350,"Powerful",L995&lt;500,"High Performance",L995&lt;800,"Sports Performance",L995&gt;=800,"Super Performance")</f>
        <v>Standard</v>
      </c>
    </row>
    <row r="996" spans="1:13" x14ac:dyDescent="0.25">
      <c r="A996" s="5" t="s">
        <v>202</v>
      </c>
      <c r="B996" s="3" t="s">
        <v>968</v>
      </c>
      <c r="C996" s="3" t="s">
        <v>974</v>
      </c>
      <c r="D996" s="4">
        <v>579645</v>
      </c>
      <c r="E996" s="3">
        <v>1198</v>
      </c>
      <c r="F996" s="3">
        <v>3</v>
      </c>
      <c r="G996" s="3" t="s">
        <v>10</v>
      </c>
      <c r="H996" s="3" t="s">
        <v>11</v>
      </c>
      <c r="I996" s="3">
        <v>6</v>
      </c>
      <c r="J996" s="3" t="s">
        <v>12</v>
      </c>
      <c r="K996" s="18">
        <v>82</v>
      </c>
      <c r="L996" s="16">
        <v>115</v>
      </c>
      <c r="M996" s="6" t="str" cm="1">
        <f t="array" ref="M996">_xlfn.IFS(L996&lt;100,"Economy",L996&lt;200,"Standard",L996&lt;350,"Powerful",L996&lt;500,"High Performance",L996&lt;800,"Sports Performance",L996&gt;=800,"Super Performance")</f>
        <v>Standard</v>
      </c>
    </row>
    <row r="997" spans="1:13" x14ac:dyDescent="0.25">
      <c r="A997" s="5" t="s">
        <v>202</v>
      </c>
      <c r="B997" s="3" t="s">
        <v>968</v>
      </c>
      <c r="C997" s="3" t="s">
        <v>975</v>
      </c>
      <c r="D997" s="4">
        <v>631144</v>
      </c>
      <c r="E997" s="3">
        <v>1198</v>
      </c>
      <c r="F997" s="3">
        <v>3</v>
      </c>
      <c r="G997" s="3" t="s">
        <v>10</v>
      </c>
      <c r="H997" s="3" t="s">
        <v>11</v>
      </c>
      <c r="I997" s="3">
        <v>6</v>
      </c>
      <c r="J997" s="3" t="s">
        <v>12</v>
      </c>
      <c r="K997" s="18">
        <v>82</v>
      </c>
      <c r="L997" s="16">
        <v>115</v>
      </c>
      <c r="M997" s="6" t="str" cm="1">
        <f t="array" ref="M997">_xlfn.IFS(L997&lt;100,"Economy",L997&lt;200,"Standard",L997&lt;350,"Powerful",L997&lt;500,"High Performance",L997&lt;800,"Sports Performance",L997&gt;=800,"Super Performance")</f>
        <v>Standard</v>
      </c>
    </row>
    <row r="998" spans="1:13" x14ac:dyDescent="0.25">
      <c r="A998" s="5" t="s">
        <v>202</v>
      </c>
      <c r="B998" s="3" t="s">
        <v>968</v>
      </c>
      <c r="C998" s="3" t="s">
        <v>977</v>
      </c>
      <c r="D998" s="4">
        <v>693550</v>
      </c>
      <c r="E998" s="3">
        <v>1198</v>
      </c>
      <c r="F998" s="3">
        <v>3</v>
      </c>
      <c r="G998" s="3" t="s">
        <v>10</v>
      </c>
      <c r="H998" s="3" t="s">
        <v>11</v>
      </c>
      <c r="I998" s="3">
        <v>6</v>
      </c>
      <c r="J998" s="3" t="s">
        <v>12</v>
      </c>
      <c r="K998" s="18">
        <v>82</v>
      </c>
      <c r="L998" s="16">
        <v>115</v>
      </c>
      <c r="M998" s="6" t="str" cm="1">
        <f t="array" ref="M998">_xlfn.IFS(L998&lt;100,"Economy",L998&lt;200,"Standard",L998&lt;350,"Powerful",L998&lt;500,"High Performance",L998&lt;800,"Sports Performance",L998&gt;=800,"Super Performance")</f>
        <v>Standard</v>
      </c>
    </row>
    <row r="999" spans="1:13" x14ac:dyDescent="0.25">
      <c r="A999" s="5" t="s">
        <v>202</v>
      </c>
      <c r="B999" s="3" t="s">
        <v>968</v>
      </c>
      <c r="C999" s="3" t="s">
        <v>979</v>
      </c>
      <c r="D999" s="4">
        <v>701045</v>
      </c>
      <c r="E999" s="3">
        <v>1198</v>
      </c>
      <c r="F999" s="3">
        <v>3</v>
      </c>
      <c r="G999" s="3" t="s">
        <v>10</v>
      </c>
      <c r="H999" s="3" t="s">
        <v>11</v>
      </c>
      <c r="I999" s="3">
        <v>6</v>
      </c>
      <c r="J999" s="3" t="s">
        <v>12</v>
      </c>
      <c r="K999" s="18">
        <v>82</v>
      </c>
      <c r="L999" s="16">
        <v>115</v>
      </c>
      <c r="M999" s="6" t="str" cm="1">
        <f t="array" ref="M999">_xlfn.IFS(L999&lt;100,"Economy",L999&lt;200,"Standard",L999&lt;350,"Powerful",L999&lt;500,"High Performance",L999&lt;800,"Sports Performance",L999&gt;=800,"Super Performance")</f>
        <v>Standard</v>
      </c>
    </row>
    <row r="1000" spans="1:13" x14ac:dyDescent="0.25">
      <c r="A1000" s="5" t="s">
        <v>202</v>
      </c>
      <c r="B1000" s="3" t="s">
        <v>968</v>
      </c>
      <c r="C1000" s="3" t="s">
        <v>982</v>
      </c>
      <c r="D1000" s="4">
        <v>542913</v>
      </c>
      <c r="E1000" s="3">
        <v>1198</v>
      </c>
      <c r="F1000" s="3">
        <v>3</v>
      </c>
      <c r="G1000" s="3" t="s">
        <v>10</v>
      </c>
      <c r="H1000" s="3" t="s">
        <v>11</v>
      </c>
      <c r="I1000" s="3">
        <v>6</v>
      </c>
      <c r="J1000" s="3" t="s">
        <v>12</v>
      </c>
      <c r="K1000" s="18">
        <v>82</v>
      </c>
      <c r="L1000" s="16">
        <v>115</v>
      </c>
      <c r="M1000" s="6" t="str" cm="1">
        <f t="array" ref="M1000">_xlfn.IFS(L1000&lt;100,"Economy",L1000&lt;200,"Standard",L1000&lt;350,"Powerful",L1000&lt;500,"High Performance",L1000&lt;800,"Sports Performance",L1000&gt;=800,"Super Performance")</f>
        <v>Standard</v>
      </c>
    </row>
    <row r="1001" spans="1:13" x14ac:dyDescent="0.25">
      <c r="A1001" s="5" t="s">
        <v>202</v>
      </c>
      <c r="B1001" s="3" t="s">
        <v>968</v>
      </c>
      <c r="C1001" s="3" t="s">
        <v>1129</v>
      </c>
      <c r="D1001" s="4">
        <v>573250</v>
      </c>
      <c r="E1001" s="3">
        <v>1198</v>
      </c>
      <c r="F1001" s="3">
        <v>3</v>
      </c>
      <c r="G1001" s="3" t="s">
        <v>10</v>
      </c>
      <c r="H1001" s="3" t="s">
        <v>11</v>
      </c>
      <c r="I1001" s="3">
        <v>5</v>
      </c>
      <c r="J1001" s="3" t="s">
        <v>12</v>
      </c>
      <c r="K1001" s="18">
        <v>82</v>
      </c>
      <c r="L1001" s="16">
        <v>115</v>
      </c>
      <c r="M1001" s="6" t="str" cm="1">
        <f t="array" ref="M1001">_xlfn.IFS(L1001&lt;100,"Economy",L1001&lt;200,"Standard",L1001&lt;350,"Powerful",L1001&lt;500,"High Performance",L1001&lt;800,"Sports Performance",L1001&gt;=800,"Super Performance")</f>
        <v>Standard</v>
      </c>
    </row>
    <row r="1002" spans="1:13" x14ac:dyDescent="0.25">
      <c r="A1002" s="5" t="s">
        <v>202</v>
      </c>
      <c r="B1002" s="3" t="s">
        <v>968</v>
      </c>
      <c r="C1002" s="3" t="s">
        <v>1130</v>
      </c>
      <c r="D1002" s="4">
        <v>631146</v>
      </c>
      <c r="E1002" s="3">
        <v>1198</v>
      </c>
      <c r="F1002" s="3">
        <v>3</v>
      </c>
      <c r="G1002" s="3" t="s">
        <v>10</v>
      </c>
      <c r="H1002" s="3" t="s">
        <v>11</v>
      </c>
      <c r="I1002" s="3">
        <v>5</v>
      </c>
      <c r="J1002" s="3" t="s">
        <v>12</v>
      </c>
      <c r="K1002" s="18">
        <v>82</v>
      </c>
      <c r="L1002" s="16">
        <v>115</v>
      </c>
      <c r="M1002" s="6" t="str" cm="1">
        <f t="array" ref="M1002">_xlfn.IFS(L1002&lt;100,"Economy",L1002&lt;200,"Standard",L1002&lt;350,"Powerful",L1002&lt;500,"High Performance",L1002&lt;800,"Sports Performance",L1002&gt;=800,"Super Performance")</f>
        <v>Standard</v>
      </c>
    </row>
    <row r="1003" spans="1:13" x14ac:dyDescent="0.25">
      <c r="A1003" s="5" t="s">
        <v>202</v>
      </c>
      <c r="B1003" s="3" t="s">
        <v>968</v>
      </c>
      <c r="C1003" s="3" t="s">
        <v>1131</v>
      </c>
      <c r="D1003" s="4">
        <v>687175</v>
      </c>
      <c r="E1003" s="3">
        <v>1198</v>
      </c>
      <c r="F1003" s="3">
        <v>3</v>
      </c>
      <c r="G1003" s="3" t="s">
        <v>10</v>
      </c>
      <c r="H1003" s="3" t="s">
        <v>11</v>
      </c>
      <c r="I1003" s="3">
        <v>5</v>
      </c>
      <c r="J1003" s="3" t="s">
        <v>12</v>
      </c>
      <c r="K1003" s="18">
        <v>82</v>
      </c>
      <c r="L1003" s="16">
        <v>115</v>
      </c>
      <c r="M1003" s="6" t="str" cm="1">
        <f t="array" ref="M1003">_xlfn.IFS(L1003&lt;100,"Economy",L1003&lt;200,"Standard",L1003&lt;350,"Powerful",L1003&lt;500,"High Performance",L1003&lt;800,"Sports Performance",L1003&gt;=800,"Super Performance")</f>
        <v>Standard</v>
      </c>
    </row>
    <row r="1004" spans="1:13" x14ac:dyDescent="0.25">
      <c r="A1004" s="5" t="s">
        <v>202</v>
      </c>
      <c r="B1004" s="3" t="s">
        <v>968</v>
      </c>
      <c r="C1004" s="3" t="s">
        <v>1136</v>
      </c>
      <c r="D1004" s="4">
        <v>524312</v>
      </c>
      <c r="E1004" s="3">
        <v>1198</v>
      </c>
      <c r="F1004" s="3">
        <v>3</v>
      </c>
      <c r="G1004" s="3" t="s">
        <v>10</v>
      </c>
      <c r="H1004" s="3" t="s">
        <v>11</v>
      </c>
      <c r="I1004" s="3">
        <v>5</v>
      </c>
      <c r="J1004" s="3" t="s">
        <v>12</v>
      </c>
      <c r="K1004" s="18">
        <v>82</v>
      </c>
      <c r="L1004" s="16">
        <v>115</v>
      </c>
      <c r="M1004" s="6" t="str" cm="1">
        <f t="array" ref="M1004">_xlfn.IFS(L1004&lt;100,"Economy",L1004&lt;200,"Standard",L1004&lt;350,"Powerful",L1004&lt;500,"High Performance",L1004&lt;800,"Sports Performance",L1004&gt;=800,"Super Performance")</f>
        <v>Standard</v>
      </c>
    </row>
    <row r="1005" spans="1:13" x14ac:dyDescent="0.25">
      <c r="A1005" s="5" t="s">
        <v>93</v>
      </c>
      <c r="B1005" s="3" t="s">
        <v>837</v>
      </c>
      <c r="C1005" s="3" t="s">
        <v>97</v>
      </c>
      <c r="D1005" s="4">
        <v>553423</v>
      </c>
      <c r="E1005" s="3">
        <v>1197</v>
      </c>
      <c r="F1005" s="3">
        <v>4</v>
      </c>
      <c r="G1005" s="3" t="s">
        <v>10</v>
      </c>
      <c r="H1005" s="3" t="s">
        <v>27</v>
      </c>
      <c r="I1005" s="3">
        <v>5</v>
      </c>
      <c r="J1005" s="3" t="s">
        <v>12</v>
      </c>
      <c r="K1005" s="18">
        <v>83</v>
      </c>
      <c r="L1005" s="16">
        <v>115</v>
      </c>
      <c r="M1005" s="6" t="str" cm="1">
        <f t="array" ref="M1005">_xlfn.IFS(L1005&lt;100,"Economy",L1005&lt;200,"Standard",L1005&lt;350,"Powerful",L1005&lt;500,"High Performance",L1005&lt;800,"Sports Performance",L1005&gt;=800,"Super Performance")</f>
        <v>Standard</v>
      </c>
    </row>
    <row r="1006" spans="1:13" x14ac:dyDescent="0.25">
      <c r="A1006" s="5" t="s">
        <v>7</v>
      </c>
      <c r="B1006" s="3" t="s">
        <v>1173</v>
      </c>
      <c r="C1006" s="3" t="s">
        <v>1175</v>
      </c>
      <c r="D1006" s="4">
        <v>721693</v>
      </c>
      <c r="E1006" s="3">
        <v>1197</v>
      </c>
      <c r="F1006" s="3">
        <v>4</v>
      </c>
      <c r="G1006" s="3" t="s">
        <v>10</v>
      </c>
      <c r="H1006" s="3" t="s">
        <v>11</v>
      </c>
      <c r="I1006" s="3">
        <v>5</v>
      </c>
      <c r="J1006" s="3" t="s">
        <v>12</v>
      </c>
      <c r="K1006" s="18">
        <v>84</v>
      </c>
      <c r="L1006" s="16">
        <v>115</v>
      </c>
      <c r="M1006" s="6" t="str" cm="1">
        <f t="array" ref="M1006">_xlfn.IFS(L1006&lt;100,"Economy",L1006&lt;200,"Standard",L1006&lt;350,"Powerful",L1006&lt;500,"High Performance",L1006&lt;800,"Sports Performance",L1006&gt;=800,"Super Performance")</f>
        <v>Standard</v>
      </c>
    </row>
    <row r="1007" spans="1:13" x14ac:dyDescent="0.25">
      <c r="A1007" s="5" t="s">
        <v>7</v>
      </c>
      <c r="B1007" s="3" t="s">
        <v>1173</v>
      </c>
      <c r="C1007" s="3" t="s">
        <v>1176</v>
      </c>
      <c r="D1007" s="4">
        <v>634950</v>
      </c>
      <c r="E1007" s="3">
        <v>1197</v>
      </c>
      <c r="F1007" s="3">
        <v>4</v>
      </c>
      <c r="G1007" s="3" t="s">
        <v>10</v>
      </c>
      <c r="H1007" s="3" t="s">
        <v>11</v>
      </c>
      <c r="I1007" s="3">
        <v>5</v>
      </c>
      <c r="J1007" s="3" t="s">
        <v>12</v>
      </c>
      <c r="K1007" s="18">
        <v>84</v>
      </c>
      <c r="L1007" s="16">
        <v>115</v>
      </c>
      <c r="M1007" s="6" t="str" cm="1">
        <f t="array" ref="M1007">_xlfn.IFS(L1007&lt;100,"Economy",L1007&lt;200,"Standard",L1007&lt;350,"Powerful",L1007&lt;500,"High Performance",L1007&lt;800,"Sports Performance",L1007&gt;=800,"Super Performance")</f>
        <v>Standard</v>
      </c>
    </row>
    <row r="1008" spans="1:13" x14ac:dyDescent="0.25">
      <c r="A1008" s="5" t="s">
        <v>7</v>
      </c>
      <c r="B1008" s="3" t="s">
        <v>1173</v>
      </c>
      <c r="C1008" s="3" t="s">
        <v>1181</v>
      </c>
      <c r="D1008" s="4">
        <v>831693</v>
      </c>
      <c r="E1008" s="3">
        <v>1197</v>
      </c>
      <c r="F1008" s="3">
        <v>4</v>
      </c>
      <c r="G1008" s="3" t="s">
        <v>10</v>
      </c>
      <c r="H1008" s="3" t="s">
        <v>11</v>
      </c>
      <c r="I1008" s="3">
        <v>5</v>
      </c>
      <c r="J1008" s="3" t="s">
        <v>12</v>
      </c>
      <c r="K1008" s="18">
        <v>84</v>
      </c>
      <c r="L1008" s="16">
        <v>115</v>
      </c>
      <c r="M1008" s="6" t="str" cm="1">
        <f t="array" ref="M1008">_xlfn.IFS(L1008&lt;100,"Economy",L1008&lt;200,"Standard",L1008&lt;350,"Powerful",L1008&lt;500,"High Performance",L1008&lt;800,"Sports Performance",L1008&gt;=800,"Super Performance")</f>
        <v>Standard</v>
      </c>
    </row>
    <row r="1009" spans="1:13" x14ac:dyDescent="0.25">
      <c r="A1009" s="5" t="s">
        <v>7</v>
      </c>
      <c r="B1009" s="3" t="s">
        <v>1173</v>
      </c>
      <c r="C1009" s="3" t="s">
        <v>1182</v>
      </c>
      <c r="D1009" s="4">
        <v>751693</v>
      </c>
      <c r="E1009" s="3">
        <v>1197</v>
      </c>
      <c r="F1009" s="3">
        <v>4</v>
      </c>
      <c r="G1009" s="3" t="s">
        <v>10</v>
      </c>
      <c r="H1009" s="3" t="s">
        <v>11</v>
      </c>
      <c r="I1009" s="3">
        <v>5</v>
      </c>
      <c r="J1009" s="3" t="s">
        <v>12</v>
      </c>
      <c r="K1009" s="18">
        <v>84</v>
      </c>
      <c r="L1009" s="16">
        <v>115</v>
      </c>
      <c r="M1009" s="6" t="str" cm="1">
        <f t="array" ref="M1009">_xlfn.IFS(L1009&lt;100,"Economy",L1009&lt;200,"Standard",L1009&lt;350,"Powerful",L1009&lt;500,"High Performance",L1009&lt;800,"Sports Performance",L1009&gt;=800,"Super Performance")</f>
        <v>Standard</v>
      </c>
    </row>
    <row r="1010" spans="1:13" x14ac:dyDescent="0.25">
      <c r="A1010" s="5" t="s">
        <v>7</v>
      </c>
      <c r="B1010" s="3" t="s">
        <v>1173</v>
      </c>
      <c r="C1010" s="3" t="s">
        <v>1183</v>
      </c>
      <c r="D1010" s="4">
        <v>920993</v>
      </c>
      <c r="E1010" s="3">
        <v>1197</v>
      </c>
      <c r="F1010" s="3">
        <v>4</v>
      </c>
      <c r="G1010" s="3" t="s">
        <v>10</v>
      </c>
      <c r="H1010" s="3" t="s">
        <v>11</v>
      </c>
      <c r="I1010" s="3">
        <v>5</v>
      </c>
      <c r="J1010" s="3" t="s">
        <v>30</v>
      </c>
      <c r="K1010" s="18">
        <v>83</v>
      </c>
      <c r="L1010" s="16">
        <v>115</v>
      </c>
      <c r="M1010" s="6" t="str" cm="1">
        <f t="array" ref="M1010">_xlfn.IFS(L1010&lt;100,"Economy",L1010&lt;200,"Standard",L1010&lt;350,"Powerful",L1010&lt;500,"High Performance",L1010&lt;800,"Sports Performance",L1010&gt;=800,"Super Performance")</f>
        <v>Standard</v>
      </c>
    </row>
    <row r="1011" spans="1:13" x14ac:dyDescent="0.25">
      <c r="A1011" s="5" t="s">
        <v>301</v>
      </c>
      <c r="B1011" s="3" t="s">
        <v>1269</v>
      </c>
      <c r="C1011" s="3">
        <v>1.4</v>
      </c>
      <c r="D1011" s="4">
        <v>646336</v>
      </c>
      <c r="E1011" s="3">
        <v>1368</v>
      </c>
      <c r="F1011" s="3">
        <v>4</v>
      </c>
      <c r="G1011" s="3" t="s">
        <v>10</v>
      </c>
      <c r="H1011" s="3" t="s">
        <v>27</v>
      </c>
      <c r="I1011" s="3">
        <v>5</v>
      </c>
      <c r="J1011" s="3" t="s">
        <v>12</v>
      </c>
      <c r="K1011" s="18">
        <v>90</v>
      </c>
      <c r="L1011" s="16">
        <v>115</v>
      </c>
      <c r="M1011" s="6" t="str" cm="1">
        <f t="array" ref="M1011">_xlfn.IFS(L1011&lt;100,"Economy",L1011&lt;200,"Standard",L1011&lt;350,"Powerful",L1011&lt;500,"High Performance",L1011&lt;800,"Sports Performance",L1011&gt;=800,"Super Performance")</f>
        <v>Standard</v>
      </c>
    </row>
    <row r="1012" spans="1:13" x14ac:dyDescent="0.25">
      <c r="A1012" s="5" t="s">
        <v>7</v>
      </c>
      <c r="B1012" s="3" t="s">
        <v>1173</v>
      </c>
      <c r="C1012" s="3" t="s">
        <v>1336</v>
      </c>
      <c r="D1012" s="4">
        <v>559693</v>
      </c>
      <c r="E1012" s="3">
        <v>1197</v>
      </c>
      <c r="F1012" s="3">
        <v>4</v>
      </c>
      <c r="G1012" s="3" t="s">
        <v>10</v>
      </c>
      <c r="H1012" s="3" t="s">
        <v>11</v>
      </c>
      <c r="I1012" s="3">
        <v>5</v>
      </c>
      <c r="J1012" s="3" t="s">
        <v>12</v>
      </c>
      <c r="K1012" s="18">
        <v>84</v>
      </c>
      <c r="L1012" s="16">
        <v>115</v>
      </c>
      <c r="M1012" s="6" t="str" cm="1">
        <f t="array" ref="M1012">_xlfn.IFS(L1012&lt;100,"Economy",L1012&lt;200,"Standard",L1012&lt;350,"Powerful",L1012&lt;500,"High Performance",L1012&lt;800,"Sports Performance",L1012&gt;=800,"Super Performance")</f>
        <v>Standard</v>
      </c>
    </row>
    <row r="1013" spans="1:13" x14ac:dyDescent="0.25">
      <c r="A1013" s="5" t="s">
        <v>22</v>
      </c>
      <c r="B1013" s="3" t="s">
        <v>23</v>
      </c>
      <c r="C1013" s="3" t="s">
        <v>24</v>
      </c>
      <c r="D1013" s="4">
        <v>460000</v>
      </c>
      <c r="E1013" s="3">
        <v>1199</v>
      </c>
      <c r="F1013" s="3">
        <v>3</v>
      </c>
      <c r="G1013" s="3" t="s">
        <v>10</v>
      </c>
      <c r="H1013" s="3" t="s">
        <v>11</v>
      </c>
      <c r="I1013" s="3">
        <v>5</v>
      </c>
      <c r="J1013" s="3" t="s">
        <v>12</v>
      </c>
      <c r="K1013" s="18">
        <v>86</v>
      </c>
      <c r="L1013" s="16">
        <v>114</v>
      </c>
      <c r="M1013" s="6" t="str" cm="1">
        <f t="array" ref="M1013">_xlfn.IFS(L1013&lt;100,"Economy",L1013&lt;200,"Standard",L1013&lt;350,"Powerful",L1013&lt;500,"High Performance",L1013&lt;800,"Sports Performance",L1013&gt;=800,"Super Performance")</f>
        <v>Standard</v>
      </c>
    </row>
    <row r="1014" spans="1:13" x14ac:dyDescent="0.25">
      <c r="A1014" s="5" t="s">
        <v>7</v>
      </c>
      <c r="B1014" s="3" t="s">
        <v>25</v>
      </c>
      <c r="C1014" s="3" t="s">
        <v>26</v>
      </c>
      <c r="D1014" s="4">
        <v>579900</v>
      </c>
      <c r="E1014" s="3">
        <v>1197</v>
      </c>
      <c r="F1014" s="3">
        <v>0</v>
      </c>
      <c r="G1014" s="3" t="s">
        <v>10</v>
      </c>
      <c r="H1014" s="3" t="s">
        <v>27</v>
      </c>
      <c r="I1014" s="3">
        <v>5</v>
      </c>
      <c r="J1014" s="3" t="s">
        <v>12</v>
      </c>
      <c r="K1014" s="18">
        <v>83</v>
      </c>
      <c r="L1014" s="16">
        <v>114</v>
      </c>
      <c r="M1014" s="6" t="str" cm="1">
        <f t="array" ref="M1014">_xlfn.IFS(L1014&lt;100,"Economy",L1014&lt;200,"Standard",L1014&lt;350,"Powerful",L1014&lt;500,"High Performance",L1014&lt;800,"Sports Performance",L1014&gt;=800,"Super Performance")</f>
        <v>Standard</v>
      </c>
    </row>
    <row r="1015" spans="1:13" x14ac:dyDescent="0.25">
      <c r="A1015" s="5" t="s">
        <v>7</v>
      </c>
      <c r="B1015" s="3" t="s">
        <v>25</v>
      </c>
      <c r="C1015" s="3" t="s">
        <v>28</v>
      </c>
      <c r="D1015" s="4">
        <v>655900</v>
      </c>
      <c r="E1015" s="3">
        <v>1197</v>
      </c>
      <c r="F1015" s="3">
        <v>0</v>
      </c>
      <c r="G1015" s="3" t="s">
        <v>10</v>
      </c>
      <c r="H1015" s="3" t="s">
        <v>27</v>
      </c>
      <c r="I1015" s="3">
        <v>5</v>
      </c>
      <c r="J1015" s="3" t="s">
        <v>12</v>
      </c>
      <c r="K1015" s="18">
        <v>83</v>
      </c>
      <c r="L1015" s="16">
        <v>114</v>
      </c>
      <c r="M1015" s="6" t="str" cm="1">
        <f t="array" ref="M1015">_xlfn.IFS(L1015&lt;100,"Economy",L1015&lt;200,"Standard",L1015&lt;350,"Powerful",L1015&lt;500,"High Performance",L1015&lt;800,"Sports Performance",L1015&gt;=800,"Super Performance")</f>
        <v>Standard</v>
      </c>
    </row>
    <row r="1016" spans="1:13" x14ac:dyDescent="0.25">
      <c r="A1016" s="5" t="s">
        <v>7</v>
      </c>
      <c r="B1016" s="3" t="s">
        <v>25</v>
      </c>
      <c r="C1016" s="3" t="s">
        <v>29</v>
      </c>
      <c r="D1016" s="4">
        <v>705800</v>
      </c>
      <c r="E1016" s="3">
        <v>1197</v>
      </c>
      <c r="F1016" s="3">
        <v>0</v>
      </c>
      <c r="G1016" s="3" t="s">
        <v>10</v>
      </c>
      <c r="H1016" s="3" t="s">
        <v>27</v>
      </c>
      <c r="I1016" s="3">
        <v>5</v>
      </c>
      <c r="J1016" s="3" t="s">
        <v>30</v>
      </c>
      <c r="K1016" s="18">
        <v>83</v>
      </c>
      <c r="L1016" s="16">
        <v>114</v>
      </c>
      <c r="M1016" s="6" t="str" cm="1">
        <f t="array" ref="M1016">_xlfn.IFS(L1016&lt;100,"Economy",L1016&lt;200,"Standard",L1016&lt;350,"Powerful",L1016&lt;500,"High Performance",L1016&lt;800,"Sports Performance",L1016&gt;=800,"Super Performance")</f>
        <v>Standard</v>
      </c>
    </row>
    <row r="1017" spans="1:13" x14ac:dyDescent="0.25">
      <c r="A1017" s="5" t="s">
        <v>7</v>
      </c>
      <c r="B1017" s="3" t="s">
        <v>25</v>
      </c>
      <c r="C1017" s="3" t="s">
        <v>31</v>
      </c>
      <c r="D1017" s="4">
        <v>729900</v>
      </c>
      <c r="E1017" s="3">
        <v>1197</v>
      </c>
      <c r="F1017" s="3">
        <v>0</v>
      </c>
      <c r="G1017" s="3" t="s">
        <v>10</v>
      </c>
      <c r="H1017" s="3" t="s">
        <v>27</v>
      </c>
      <c r="I1017" s="3">
        <v>5</v>
      </c>
      <c r="J1017" s="3" t="s">
        <v>12</v>
      </c>
      <c r="K1017" s="18">
        <v>83</v>
      </c>
      <c r="L1017" s="16">
        <v>114</v>
      </c>
      <c r="M1017" s="6" t="str" cm="1">
        <f t="array" ref="M1017">_xlfn.IFS(L1017&lt;100,"Economy",L1017&lt;200,"Standard",L1017&lt;350,"Powerful",L1017&lt;500,"High Performance",L1017&lt;800,"Sports Performance",L1017&gt;=800,"Super Performance")</f>
        <v>Standard</v>
      </c>
    </row>
    <row r="1018" spans="1:13" x14ac:dyDescent="0.25">
      <c r="A1018" s="5" t="s">
        <v>7</v>
      </c>
      <c r="B1018" s="3" t="s">
        <v>25</v>
      </c>
      <c r="C1018" s="3" t="s">
        <v>32</v>
      </c>
      <c r="D1018" s="4">
        <v>804800</v>
      </c>
      <c r="E1018" s="3">
        <v>1197</v>
      </c>
      <c r="F1018" s="3">
        <v>0</v>
      </c>
      <c r="G1018" s="3" t="s">
        <v>10</v>
      </c>
      <c r="H1018" s="3" t="s">
        <v>27</v>
      </c>
      <c r="I1018" s="3">
        <v>5</v>
      </c>
      <c r="J1018" s="3" t="s">
        <v>30</v>
      </c>
      <c r="K1018" s="18">
        <v>83</v>
      </c>
      <c r="L1018" s="16">
        <v>114</v>
      </c>
      <c r="M1018" s="6" t="str" cm="1">
        <f t="array" ref="M1018">_xlfn.IFS(L1018&lt;100,"Economy",L1018&lt;200,"Standard",L1018&lt;350,"Powerful",L1018&lt;500,"High Performance",L1018&lt;800,"Sports Performance",L1018&gt;=800,"Super Performance")</f>
        <v>Standard</v>
      </c>
    </row>
    <row r="1019" spans="1:13" x14ac:dyDescent="0.25">
      <c r="A1019" s="5" t="s">
        <v>7</v>
      </c>
      <c r="B1019" s="3" t="s">
        <v>25</v>
      </c>
      <c r="C1019" s="3" t="s">
        <v>33</v>
      </c>
      <c r="D1019" s="4">
        <v>785900</v>
      </c>
      <c r="E1019" s="3">
        <v>1197</v>
      </c>
      <c r="F1019" s="3">
        <v>0</v>
      </c>
      <c r="G1019" s="3" t="s">
        <v>10</v>
      </c>
      <c r="H1019" s="3" t="s">
        <v>27</v>
      </c>
      <c r="I1019" s="3">
        <v>5</v>
      </c>
      <c r="J1019" s="3" t="s">
        <v>12</v>
      </c>
      <c r="K1019" s="18">
        <v>83</v>
      </c>
      <c r="L1019" s="16">
        <v>114</v>
      </c>
      <c r="M1019" s="6" t="str" cm="1">
        <f t="array" ref="M1019">_xlfn.IFS(L1019&lt;100,"Economy",L1019&lt;200,"Standard",L1019&lt;350,"Powerful",L1019&lt;500,"High Performance",L1019&lt;800,"Sports Performance",L1019&gt;=800,"Super Performance")</f>
        <v>Standard</v>
      </c>
    </row>
    <row r="1020" spans="1:13" x14ac:dyDescent="0.25">
      <c r="A1020" s="5" t="s">
        <v>22</v>
      </c>
      <c r="B1020" s="3" t="s">
        <v>695</v>
      </c>
      <c r="C1020" s="3" t="s">
        <v>696</v>
      </c>
      <c r="D1020" s="4">
        <v>594993</v>
      </c>
      <c r="E1020" s="3">
        <v>1199</v>
      </c>
      <c r="F1020" s="3">
        <v>3</v>
      </c>
      <c r="G1020" s="3" t="s">
        <v>10</v>
      </c>
      <c r="H1020" s="3" t="s">
        <v>304</v>
      </c>
      <c r="I1020" s="3">
        <v>5</v>
      </c>
      <c r="J1020" s="3" t="s">
        <v>12</v>
      </c>
      <c r="K1020" s="18">
        <v>85</v>
      </c>
      <c r="L1020" s="16">
        <v>114</v>
      </c>
      <c r="M1020" s="6" t="str" cm="1">
        <f t="array" ref="M1020">_xlfn.IFS(L1020&lt;100,"Economy",L1020&lt;200,"Standard",L1020&lt;350,"Powerful",L1020&lt;500,"High Performance",L1020&lt;800,"Sports Performance",L1020&gt;=800,"Super Performance")</f>
        <v>Standard</v>
      </c>
    </row>
    <row r="1021" spans="1:13" x14ac:dyDescent="0.25">
      <c r="A1021" s="5" t="s">
        <v>22</v>
      </c>
      <c r="B1021" s="3" t="s">
        <v>695</v>
      </c>
      <c r="C1021" s="3" t="s">
        <v>698</v>
      </c>
      <c r="D1021" s="4">
        <v>639993</v>
      </c>
      <c r="E1021" s="3">
        <v>1199</v>
      </c>
      <c r="F1021" s="3">
        <v>3</v>
      </c>
      <c r="G1021" s="3" t="s">
        <v>10</v>
      </c>
      <c r="H1021" s="3" t="s">
        <v>304</v>
      </c>
      <c r="I1021" s="3">
        <v>5</v>
      </c>
      <c r="J1021" s="3" t="s">
        <v>17</v>
      </c>
      <c r="K1021" s="18">
        <v>85</v>
      </c>
      <c r="L1021" s="16">
        <v>114</v>
      </c>
      <c r="M1021" s="6" t="str" cm="1">
        <f t="array" ref="M1021">_xlfn.IFS(L1021&lt;100,"Economy",L1021&lt;200,"Standard",L1021&lt;350,"Powerful",L1021&lt;500,"High Performance",L1021&lt;800,"Sports Performance",L1021&gt;=800,"Super Performance")</f>
        <v>Standard</v>
      </c>
    </row>
    <row r="1022" spans="1:13" x14ac:dyDescent="0.25">
      <c r="A1022" s="5" t="s">
        <v>7</v>
      </c>
      <c r="B1022" s="3" t="s">
        <v>709</v>
      </c>
      <c r="C1022" s="3" t="s">
        <v>710</v>
      </c>
      <c r="D1022" s="4">
        <v>545946</v>
      </c>
      <c r="E1022" s="3">
        <v>1197</v>
      </c>
      <c r="F1022" s="3">
        <v>4</v>
      </c>
      <c r="G1022" s="3" t="s">
        <v>15</v>
      </c>
      <c r="H1022" s="3" t="s">
        <v>11</v>
      </c>
      <c r="I1022" s="3">
        <v>5</v>
      </c>
      <c r="J1022" s="3" t="s">
        <v>12</v>
      </c>
      <c r="K1022" s="18">
        <v>83</v>
      </c>
      <c r="L1022" s="16">
        <v>114</v>
      </c>
      <c r="M1022" s="6" t="str" cm="1">
        <f t="array" ref="M1022">_xlfn.IFS(L1022&lt;100,"Economy",L1022&lt;200,"Standard",L1022&lt;350,"Powerful",L1022&lt;500,"High Performance",L1022&lt;800,"Sports Performance",L1022&gt;=800,"Super Performance")</f>
        <v>Standard</v>
      </c>
    </row>
    <row r="1023" spans="1:13" x14ac:dyDescent="0.25">
      <c r="A1023" s="5" t="s">
        <v>7</v>
      </c>
      <c r="B1023" s="3" t="s">
        <v>709</v>
      </c>
      <c r="C1023" s="3" t="s">
        <v>711</v>
      </c>
      <c r="D1023" s="4">
        <v>528804</v>
      </c>
      <c r="E1023" s="3">
        <v>1197</v>
      </c>
      <c r="F1023" s="3">
        <v>4</v>
      </c>
      <c r="G1023" s="3" t="s">
        <v>15</v>
      </c>
      <c r="H1023" s="3" t="s">
        <v>11</v>
      </c>
      <c r="I1023" s="3">
        <v>5</v>
      </c>
      <c r="J1023" s="3" t="s">
        <v>12</v>
      </c>
      <c r="K1023" s="18">
        <v>83</v>
      </c>
      <c r="L1023" s="16">
        <v>114</v>
      </c>
      <c r="M1023" s="6" t="str" cm="1">
        <f t="array" ref="M1023">_xlfn.IFS(L1023&lt;100,"Economy",L1023&lt;200,"Standard",L1023&lt;350,"Powerful",L1023&lt;500,"High Performance",L1023&lt;800,"Sports Performance",L1023&gt;=800,"Super Performance")</f>
        <v>Standard</v>
      </c>
    </row>
    <row r="1024" spans="1:13" x14ac:dyDescent="0.25">
      <c r="A1024" s="5" t="s">
        <v>7</v>
      </c>
      <c r="B1024" s="3" t="s">
        <v>763</v>
      </c>
      <c r="C1024" s="3" t="s">
        <v>764</v>
      </c>
      <c r="D1024" s="4">
        <v>653452</v>
      </c>
      <c r="E1024" s="3">
        <v>1197</v>
      </c>
      <c r="F1024" s="3">
        <v>4</v>
      </c>
      <c r="G1024" s="3" t="s">
        <v>15</v>
      </c>
      <c r="H1024" s="3" t="s">
        <v>11</v>
      </c>
      <c r="I1024" s="3">
        <v>5</v>
      </c>
      <c r="J1024" s="3" t="s">
        <v>12</v>
      </c>
      <c r="K1024" s="18">
        <v>82</v>
      </c>
      <c r="L1024" s="16">
        <v>114</v>
      </c>
      <c r="M1024" s="6" t="str" cm="1">
        <f t="array" ref="M1024">_xlfn.IFS(L1024&lt;100,"Economy",L1024&lt;200,"Standard",L1024&lt;350,"Powerful",L1024&lt;500,"High Performance",L1024&lt;800,"Sports Performance",L1024&gt;=800,"Super Performance")</f>
        <v>Standard</v>
      </c>
    </row>
    <row r="1025" spans="1:13" x14ac:dyDescent="0.25">
      <c r="A1025" s="5" t="s">
        <v>7</v>
      </c>
      <c r="B1025" s="3" t="s">
        <v>179</v>
      </c>
      <c r="C1025" s="3" t="s">
        <v>793</v>
      </c>
      <c r="D1025" s="4">
        <v>504990</v>
      </c>
      <c r="E1025" s="3">
        <v>1197</v>
      </c>
      <c r="F1025" s="3">
        <v>4</v>
      </c>
      <c r="G1025" s="3" t="s">
        <v>10</v>
      </c>
      <c r="H1025" s="3" t="s">
        <v>11</v>
      </c>
      <c r="I1025" s="3">
        <v>5</v>
      </c>
      <c r="J1025" s="3" t="s">
        <v>12</v>
      </c>
      <c r="K1025" s="18">
        <v>83</v>
      </c>
      <c r="L1025" s="16">
        <v>114</v>
      </c>
      <c r="M1025" s="6" t="str" cm="1">
        <f t="array" ref="M1025">_xlfn.IFS(L1025&lt;100,"Economy",L1025&lt;200,"Standard",L1025&lt;350,"Powerful",L1025&lt;500,"High Performance",L1025&lt;800,"Sports Performance",L1025&gt;=800,"Super Performance")</f>
        <v>Standard</v>
      </c>
    </row>
    <row r="1026" spans="1:13" x14ac:dyDescent="0.25">
      <c r="A1026" s="5" t="s">
        <v>7</v>
      </c>
      <c r="B1026" s="3" t="s">
        <v>179</v>
      </c>
      <c r="C1026" s="3" t="s">
        <v>794</v>
      </c>
      <c r="D1026" s="4">
        <v>589610</v>
      </c>
      <c r="E1026" s="3">
        <v>1197</v>
      </c>
      <c r="F1026" s="3">
        <v>4</v>
      </c>
      <c r="G1026" s="3" t="s">
        <v>10</v>
      </c>
      <c r="H1026" s="3" t="s">
        <v>11</v>
      </c>
      <c r="I1026" s="3">
        <v>5</v>
      </c>
      <c r="J1026" s="3" t="s">
        <v>12</v>
      </c>
      <c r="K1026" s="18">
        <v>83</v>
      </c>
      <c r="L1026" s="16">
        <v>114</v>
      </c>
      <c r="M1026" s="6" t="str" cm="1">
        <f t="array" ref="M1026">_xlfn.IFS(L1026&lt;100,"Economy",L1026&lt;200,"Standard",L1026&lt;350,"Powerful",L1026&lt;500,"High Performance",L1026&lt;800,"Sports Performance",L1026&gt;=800,"Super Performance")</f>
        <v>Standard</v>
      </c>
    </row>
    <row r="1027" spans="1:13" x14ac:dyDescent="0.25">
      <c r="A1027" s="5" t="s">
        <v>7</v>
      </c>
      <c r="B1027" s="3" t="s">
        <v>179</v>
      </c>
      <c r="C1027" s="3" t="s">
        <v>795</v>
      </c>
      <c r="D1027" s="4">
        <v>642610</v>
      </c>
      <c r="E1027" s="3">
        <v>1197</v>
      </c>
      <c r="F1027" s="3">
        <v>4</v>
      </c>
      <c r="G1027" s="3" t="s">
        <v>10</v>
      </c>
      <c r="H1027" s="3" t="s">
        <v>11</v>
      </c>
      <c r="I1027" s="3">
        <v>5</v>
      </c>
      <c r="J1027" s="3" t="s">
        <v>30</v>
      </c>
      <c r="K1027" s="18">
        <v>83</v>
      </c>
      <c r="L1027" s="16">
        <v>114</v>
      </c>
      <c r="M1027" s="6" t="str" cm="1">
        <f t="array" ref="M1027">_xlfn.IFS(L1027&lt;100,"Economy",L1027&lt;200,"Standard",L1027&lt;350,"Powerful",L1027&lt;500,"High Performance",L1027&lt;800,"Sports Performance",L1027&gt;=800,"Super Performance")</f>
        <v>Standard</v>
      </c>
    </row>
    <row r="1028" spans="1:13" x14ac:dyDescent="0.25">
      <c r="A1028" s="5" t="s">
        <v>7</v>
      </c>
      <c r="B1028" s="3" t="s">
        <v>179</v>
      </c>
      <c r="C1028" s="3" t="s">
        <v>796</v>
      </c>
      <c r="D1028" s="4">
        <v>643350</v>
      </c>
      <c r="E1028" s="3">
        <v>1197</v>
      </c>
      <c r="F1028" s="3">
        <v>4</v>
      </c>
      <c r="G1028" s="3" t="s">
        <v>10</v>
      </c>
      <c r="H1028" s="3" t="s">
        <v>11</v>
      </c>
      <c r="I1028" s="3">
        <v>5</v>
      </c>
      <c r="J1028" s="3" t="s">
        <v>12</v>
      </c>
      <c r="K1028" s="18">
        <v>83</v>
      </c>
      <c r="L1028" s="16">
        <v>114</v>
      </c>
      <c r="M1028" s="6" t="str" cm="1">
        <f t="array" ref="M1028">_xlfn.IFS(L1028&lt;100,"Economy",L1028&lt;200,"Standard",L1028&lt;350,"Powerful",L1028&lt;500,"High Performance",L1028&lt;800,"Sports Performance",L1028&gt;=800,"Super Performance")</f>
        <v>Standard</v>
      </c>
    </row>
    <row r="1029" spans="1:13" x14ac:dyDescent="0.25">
      <c r="A1029" s="5" t="s">
        <v>7</v>
      </c>
      <c r="B1029" s="3" t="s">
        <v>179</v>
      </c>
      <c r="C1029" s="3" t="s">
        <v>797</v>
      </c>
      <c r="D1029" s="4">
        <v>703350</v>
      </c>
      <c r="E1029" s="3">
        <v>1197</v>
      </c>
      <c r="F1029" s="3">
        <v>4</v>
      </c>
      <c r="G1029" s="3" t="s">
        <v>10</v>
      </c>
      <c r="H1029" s="3" t="s">
        <v>11</v>
      </c>
      <c r="I1029" s="3">
        <v>5</v>
      </c>
      <c r="J1029" s="3" t="s">
        <v>30</v>
      </c>
      <c r="K1029" s="18">
        <v>83</v>
      </c>
      <c r="L1029" s="16">
        <v>114</v>
      </c>
      <c r="M1029" s="6" t="str" cm="1">
        <f t="array" ref="M1029">_xlfn.IFS(L1029&lt;100,"Economy",L1029&lt;200,"Standard",L1029&lt;350,"Powerful",L1029&lt;500,"High Performance",L1029&lt;800,"Sports Performance",L1029&gt;=800,"Super Performance")</f>
        <v>Standard</v>
      </c>
    </row>
    <row r="1030" spans="1:13" x14ac:dyDescent="0.25">
      <c r="A1030" s="5" t="s">
        <v>7</v>
      </c>
      <c r="B1030" s="3" t="s">
        <v>179</v>
      </c>
      <c r="C1030" s="3" t="s">
        <v>798</v>
      </c>
      <c r="D1030" s="4">
        <v>673350</v>
      </c>
      <c r="E1030" s="3">
        <v>1197</v>
      </c>
      <c r="F1030" s="3">
        <v>4</v>
      </c>
      <c r="G1030" s="3" t="s">
        <v>10</v>
      </c>
      <c r="H1030" s="3" t="s">
        <v>11</v>
      </c>
      <c r="I1030" s="3">
        <v>5</v>
      </c>
      <c r="J1030" s="3" t="s">
        <v>12</v>
      </c>
      <c r="K1030" s="18">
        <v>83</v>
      </c>
      <c r="L1030" s="16">
        <v>114</v>
      </c>
      <c r="M1030" s="6" t="str" cm="1">
        <f t="array" ref="M1030">_xlfn.IFS(L1030&lt;100,"Economy",L1030&lt;200,"Standard",L1030&lt;350,"Powerful",L1030&lt;500,"High Performance",L1030&lt;800,"Sports Performance",L1030&gt;=800,"Super Performance")</f>
        <v>Standard</v>
      </c>
    </row>
    <row r="1031" spans="1:13" x14ac:dyDescent="0.25">
      <c r="A1031" s="5" t="s">
        <v>7</v>
      </c>
      <c r="B1031" s="3" t="s">
        <v>179</v>
      </c>
      <c r="C1031" s="3" t="s">
        <v>799</v>
      </c>
      <c r="D1031" s="4">
        <v>718950</v>
      </c>
      <c r="E1031" s="3">
        <v>1197</v>
      </c>
      <c r="F1031" s="3">
        <v>4</v>
      </c>
      <c r="G1031" s="3" t="s">
        <v>10</v>
      </c>
      <c r="H1031" s="3" t="s">
        <v>11</v>
      </c>
      <c r="I1031" s="3">
        <v>5</v>
      </c>
      <c r="J1031" s="3" t="s">
        <v>12</v>
      </c>
      <c r="K1031" s="18">
        <v>83</v>
      </c>
      <c r="L1031" s="16">
        <v>114</v>
      </c>
      <c r="M1031" s="6" t="str" cm="1">
        <f t="array" ref="M1031">_xlfn.IFS(L1031&lt;100,"Economy",L1031&lt;200,"Standard",L1031&lt;350,"Powerful",L1031&lt;500,"High Performance",L1031&lt;800,"Sports Performance",L1031&gt;=800,"Super Performance")</f>
        <v>Standard</v>
      </c>
    </row>
    <row r="1032" spans="1:13" x14ac:dyDescent="0.25">
      <c r="A1032" s="5" t="s">
        <v>7</v>
      </c>
      <c r="B1032" s="3" t="s">
        <v>832</v>
      </c>
      <c r="C1032" s="3" t="s">
        <v>833</v>
      </c>
      <c r="D1032" s="4">
        <v>556130</v>
      </c>
      <c r="E1032" s="3">
        <v>1197</v>
      </c>
      <c r="F1032" s="3">
        <v>4</v>
      </c>
      <c r="G1032" s="3" t="s">
        <v>272</v>
      </c>
      <c r="H1032" s="3" t="s">
        <v>27</v>
      </c>
      <c r="I1032" s="3">
        <v>5</v>
      </c>
      <c r="J1032" s="3" t="s">
        <v>12</v>
      </c>
      <c r="K1032" s="18">
        <v>83</v>
      </c>
      <c r="L1032" s="16">
        <v>114</v>
      </c>
      <c r="M1032" s="6" t="str" cm="1">
        <f t="array" ref="M1032">_xlfn.IFS(L1032&lt;100,"Economy",L1032&lt;200,"Standard",L1032&lt;350,"Powerful",L1032&lt;500,"High Performance",L1032&lt;800,"Sports Performance",L1032&gt;=800,"Super Performance")</f>
        <v>Standard</v>
      </c>
    </row>
    <row r="1033" spans="1:13" x14ac:dyDescent="0.25">
      <c r="A1033" s="5" t="s">
        <v>7</v>
      </c>
      <c r="B1033" s="3" t="s">
        <v>832</v>
      </c>
      <c r="C1033" s="3" t="s">
        <v>609</v>
      </c>
      <c r="D1033" s="4">
        <v>536859</v>
      </c>
      <c r="E1033" s="3">
        <v>1197</v>
      </c>
      <c r="F1033" s="3">
        <v>4</v>
      </c>
      <c r="G1033" s="3" t="s">
        <v>10</v>
      </c>
      <c r="H1033" s="3" t="s">
        <v>27</v>
      </c>
      <c r="I1033" s="3">
        <v>5</v>
      </c>
      <c r="J1033" s="3" t="s">
        <v>12</v>
      </c>
      <c r="K1033" s="18">
        <v>83</v>
      </c>
      <c r="L1033" s="16">
        <v>114</v>
      </c>
      <c r="M1033" s="6" t="str" cm="1">
        <f t="array" ref="M1033">_xlfn.IFS(L1033&lt;100,"Economy",L1033&lt;200,"Standard",L1033&lt;350,"Powerful",L1033&lt;500,"High Performance",L1033&lt;800,"Sports Performance",L1033&gt;=800,"Super Performance")</f>
        <v>Standard</v>
      </c>
    </row>
    <row r="1034" spans="1:13" x14ac:dyDescent="0.25">
      <c r="A1034" s="5" t="s">
        <v>7</v>
      </c>
      <c r="B1034" s="3" t="s">
        <v>832</v>
      </c>
      <c r="C1034" s="3" t="s">
        <v>834</v>
      </c>
      <c r="D1034" s="4">
        <v>536859</v>
      </c>
      <c r="E1034" s="3">
        <v>1197</v>
      </c>
      <c r="F1034" s="3">
        <v>4</v>
      </c>
      <c r="G1034" s="3" t="s">
        <v>272</v>
      </c>
      <c r="H1034" s="3" t="s">
        <v>27</v>
      </c>
      <c r="I1034" s="3">
        <v>5</v>
      </c>
      <c r="J1034" s="3" t="s">
        <v>12</v>
      </c>
      <c r="K1034" s="18">
        <v>81.8</v>
      </c>
      <c r="L1034" s="16">
        <v>114</v>
      </c>
      <c r="M1034" s="6" t="str" cm="1">
        <f t="array" ref="M1034">_xlfn.IFS(L1034&lt;100,"Economy",L1034&lt;200,"Standard",L1034&lt;350,"Powerful",L1034&lt;500,"High Performance",L1034&lt;800,"Sports Performance",L1034&gt;=800,"Super Performance")</f>
        <v>Standard</v>
      </c>
    </row>
    <row r="1035" spans="1:13" x14ac:dyDescent="0.25">
      <c r="A1035" s="5" t="s">
        <v>7</v>
      </c>
      <c r="B1035" s="3" t="s">
        <v>832</v>
      </c>
      <c r="C1035" s="3" t="s">
        <v>835</v>
      </c>
      <c r="D1035" s="4">
        <v>639616</v>
      </c>
      <c r="E1035" s="3">
        <v>1197</v>
      </c>
      <c r="F1035" s="3">
        <v>4</v>
      </c>
      <c r="G1035" s="3" t="s">
        <v>36</v>
      </c>
      <c r="H1035" s="3" t="s">
        <v>27</v>
      </c>
      <c r="I1035" s="3">
        <v>5</v>
      </c>
      <c r="J1035" s="3" t="s">
        <v>12</v>
      </c>
      <c r="K1035" s="18">
        <v>70</v>
      </c>
      <c r="L1035" s="16">
        <v>114</v>
      </c>
      <c r="M1035" s="6" t="str" cm="1">
        <f t="array" ref="M1035">_xlfn.IFS(L1035&lt;100,"Economy",L1035&lt;200,"Standard",L1035&lt;350,"Powerful",L1035&lt;500,"High Performance",L1035&lt;800,"Sports Performance",L1035&gt;=800,"Super Performance")</f>
        <v>Standard</v>
      </c>
    </row>
    <row r="1036" spans="1:13" x14ac:dyDescent="0.25">
      <c r="A1036" s="5" t="s">
        <v>7</v>
      </c>
      <c r="B1036" s="3" t="s">
        <v>832</v>
      </c>
      <c r="C1036" s="3" t="s">
        <v>836</v>
      </c>
      <c r="D1036" s="4">
        <v>620297</v>
      </c>
      <c r="E1036" s="3">
        <v>1197</v>
      </c>
      <c r="F1036" s="3">
        <v>4</v>
      </c>
      <c r="G1036" s="3" t="s">
        <v>36</v>
      </c>
      <c r="H1036" s="3" t="s">
        <v>27</v>
      </c>
      <c r="I1036" s="3">
        <v>5</v>
      </c>
      <c r="J1036" s="3" t="s">
        <v>12</v>
      </c>
      <c r="K1036" s="18">
        <v>71</v>
      </c>
      <c r="L1036" s="16">
        <v>114</v>
      </c>
      <c r="M1036" s="6" t="str" cm="1">
        <f t="array" ref="M1036">_xlfn.IFS(L1036&lt;100,"Economy",L1036&lt;200,"Standard",L1036&lt;350,"Powerful",L1036&lt;500,"High Performance",L1036&lt;800,"Sports Performance",L1036&gt;=800,"Super Performance")</f>
        <v>Standard</v>
      </c>
    </row>
    <row r="1037" spans="1:13" x14ac:dyDescent="0.25">
      <c r="A1037" s="5" t="s">
        <v>7</v>
      </c>
      <c r="B1037" s="3" t="s">
        <v>882</v>
      </c>
      <c r="C1037" s="3" t="s">
        <v>883</v>
      </c>
      <c r="D1037" s="4">
        <v>774035</v>
      </c>
      <c r="E1037" s="3">
        <v>1197</v>
      </c>
      <c r="F1037" s="3">
        <v>4</v>
      </c>
      <c r="G1037" s="3" t="s">
        <v>10</v>
      </c>
      <c r="H1037" s="3" t="s">
        <v>11</v>
      </c>
      <c r="I1037" s="3">
        <v>5</v>
      </c>
      <c r="J1037" s="3" t="s">
        <v>12</v>
      </c>
      <c r="K1037" s="18">
        <v>83</v>
      </c>
      <c r="L1037" s="16">
        <v>114</v>
      </c>
      <c r="M1037" s="6" t="str" cm="1">
        <f t="array" ref="M1037">_xlfn.IFS(L1037&lt;100,"Economy",L1037&lt;200,"Standard",L1037&lt;350,"Powerful",L1037&lt;500,"High Performance",L1037&lt;800,"Sports Performance",L1037&gt;=800,"Super Performance")</f>
        <v>Standard</v>
      </c>
    </row>
    <row r="1038" spans="1:13" x14ac:dyDescent="0.25">
      <c r="A1038" s="5" t="s">
        <v>7</v>
      </c>
      <c r="B1038" s="3" t="s">
        <v>924</v>
      </c>
      <c r="C1038" s="3" t="s">
        <v>925</v>
      </c>
      <c r="D1038" s="4">
        <v>643769</v>
      </c>
      <c r="E1038" s="3">
        <v>1197</v>
      </c>
      <c r="F1038" s="3">
        <v>4</v>
      </c>
      <c r="G1038" s="3" t="s">
        <v>10</v>
      </c>
      <c r="H1038" s="3" t="s">
        <v>27</v>
      </c>
      <c r="I1038" s="3">
        <v>5</v>
      </c>
      <c r="J1038" s="3" t="s">
        <v>12</v>
      </c>
      <c r="K1038" s="18">
        <v>83</v>
      </c>
      <c r="L1038" s="16">
        <v>114</v>
      </c>
      <c r="M1038" s="6" t="str" cm="1">
        <f t="array" ref="M1038">_xlfn.IFS(L1038&lt;100,"Economy",L1038&lt;200,"Standard",L1038&lt;350,"Powerful",L1038&lt;500,"High Performance",L1038&lt;800,"Sports Performance",L1038&gt;=800,"Super Performance")</f>
        <v>Standard</v>
      </c>
    </row>
    <row r="1039" spans="1:13" x14ac:dyDescent="0.25">
      <c r="A1039" s="5" t="s">
        <v>7</v>
      </c>
      <c r="B1039" s="3" t="s">
        <v>924</v>
      </c>
      <c r="C1039" s="3" t="s">
        <v>926</v>
      </c>
      <c r="D1039" s="4">
        <v>733734</v>
      </c>
      <c r="E1039" s="3">
        <v>1197</v>
      </c>
      <c r="F1039" s="3">
        <v>4</v>
      </c>
      <c r="G1039" s="3" t="s">
        <v>10</v>
      </c>
      <c r="H1039" s="3" t="s">
        <v>27</v>
      </c>
      <c r="I1039" s="3">
        <v>5</v>
      </c>
      <c r="J1039" s="3" t="s">
        <v>30</v>
      </c>
      <c r="K1039" s="18">
        <v>82</v>
      </c>
      <c r="L1039" s="16">
        <v>114</v>
      </c>
      <c r="M1039" s="6" t="str" cm="1">
        <f t="array" ref="M1039">_xlfn.IFS(L1039&lt;100,"Economy",L1039&lt;200,"Standard",L1039&lt;350,"Powerful",L1039&lt;500,"High Performance",L1039&lt;800,"Sports Performance",L1039&gt;=800,"Super Performance")</f>
        <v>Standard</v>
      </c>
    </row>
    <row r="1040" spans="1:13" x14ac:dyDescent="0.25">
      <c r="A1040" s="5" t="s">
        <v>7</v>
      </c>
      <c r="B1040" s="3" t="s">
        <v>924</v>
      </c>
      <c r="C1040" s="3" t="s">
        <v>927</v>
      </c>
      <c r="D1040" s="4">
        <v>705546</v>
      </c>
      <c r="E1040" s="3">
        <v>1197</v>
      </c>
      <c r="F1040" s="3">
        <v>4</v>
      </c>
      <c r="G1040" s="3" t="s">
        <v>10</v>
      </c>
      <c r="H1040" s="3" t="s">
        <v>27</v>
      </c>
      <c r="I1040" s="3">
        <v>5</v>
      </c>
      <c r="J1040" s="3" t="s">
        <v>12</v>
      </c>
      <c r="K1040" s="18">
        <v>82</v>
      </c>
      <c r="L1040" s="16">
        <v>114</v>
      </c>
      <c r="M1040" s="6" t="str" cm="1">
        <f t="array" ref="M1040">_xlfn.IFS(L1040&lt;100,"Economy",L1040&lt;200,"Standard",L1040&lt;350,"Powerful",L1040&lt;500,"High Performance",L1040&lt;800,"Sports Performance",L1040&gt;=800,"Super Performance")</f>
        <v>Standard</v>
      </c>
    </row>
    <row r="1041" spans="1:13" x14ac:dyDescent="0.25">
      <c r="A1041" s="5" t="s">
        <v>7</v>
      </c>
      <c r="B1041" s="3" t="s">
        <v>924</v>
      </c>
      <c r="C1041" s="3" t="s">
        <v>928</v>
      </c>
      <c r="D1041" s="4">
        <v>782346</v>
      </c>
      <c r="E1041" s="3">
        <v>1197</v>
      </c>
      <c r="F1041" s="3">
        <v>4</v>
      </c>
      <c r="G1041" s="3" t="s">
        <v>10</v>
      </c>
      <c r="H1041" s="3" t="s">
        <v>27</v>
      </c>
      <c r="I1041" s="3">
        <v>5</v>
      </c>
      <c r="J1041" s="3" t="s">
        <v>12</v>
      </c>
      <c r="K1041" s="18">
        <v>82</v>
      </c>
      <c r="L1041" s="16">
        <v>114</v>
      </c>
      <c r="M1041" s="6" t="str" cm="1">
        <f t="array" ref="M1041">_xlfn.IFS(L1041&lt;100,"Economy",L1041&lt;200,"Standard",L1041&lt;350,"Powerful",L1041&lt;500,"High Performance",L1041&lt;800,"Sports Performance",L1041&gt;=800,"Super Performance")</f>
        <v>Standard</v>
      </c>
    </row>
    <row r="1042" spans="1:13" x14ac:dyDescent="0.25">
      <c r="A1042" s="5" t="s">
        <v>7</v>
      </c>
      <c r="B1042" s="3" t="s">
        <v>924</v>
      </c>
      <c r="C1042" s="3" t="s">
        <v>930</v>
      </c>
      <c r="D1042" s="4">
        <v>581078</v>
      </c>
      <c r="E1042" s="3">
        <v>1197</v>
      </c>
      <c r="F1042" s="3">
        <v>4</v>
      </c>
      <c r="G1042" s="3" t="s">
        <v>10</v>
      </c>
      <c r="H1042" s="3" t="s">
        <v>27</v>
      </c>
      <c r="I1042" s="3">
        <v>5</v>
      </c>
      <c r="J1042" s="3" t="s">
        <v>12</v>
      </c>
      <c r="K1042" s="18">
        <v>83</v>
      </c>
      <c r="L1042" s="16">
        <v>114</v>
      </c>
      <c r="M1042" s="6" t="str" cm="1">
        <f t="array" ref="M1042">_xlfn.IFS(L1042&lt;100,"Economy",L1042&lt;200,"Standard",L1042&lt;350,"Powerful",L1042&lt;500,"High Performance",L1042&lt;800,"Sports Performance",L1042&gt;=800,"Super Performance")</f>
        <v>Standard</v>
      </c>
    </row>
    <row r="1043" spans="1:13" x14ac:dyDescent="0.25">
      <c r="A1043" s="5" t="s">
        <v>22</v>
      </c>
      <c r="B1043" s="3" t="s">
        <v>23</v>
      </c>
      <c r="C1043" s="3" t="s">
        <v>1115</v>
      </c>
      <c r="D1043" s="4">
        <v>520000</v>
      </c>
      <c r="E1043" s="3">
        <v>1199</v>
      </c>
      <c r="F1043" s="3">
        <v>3</v>
      </c>
      <c r="G1043" s="3" t="s">
        <v>10</v>
      </c>
      <c r="H1043" s="3" t="s">
        <v>11</v>
      </c>
      <c r="I1043" s="3">
        <v>5</v>
      </c>
      <c r="J1043" s="3" t="s">
        <v>12</v>
      </c>
      <c r="K1043" s="18">
        <v>86</v>
      </c>
      <c r="L1043" s="16">
        <v>114</v>
      </c>
      <c r="M1043" s="6" t="str" cm="1">
        <f t="array" ref="M1043">_xlfn.IFS(L1043&lt;100,"Economy",L1043&lt;200,"Standard",L1043&lt;350,"Powerful",L1043&lt;500,"High Performance",L1043&lt;800,"Sports Performance",L1043&gt;=800,"Super Performance")</f>
        <v>Standard</v>
      </c>
    </row>
    <row r="1044" spans="1:13" x14ac:dyDescent="0.25">
      <c r="A1044" s="5" t="s">
        <v>22</v>
      </c>
      <c r="B1044" s="3" t="s">
        <v>23</v>
      </c>
      <c r="C1044" s="3" t="s">
        <v>1116</v>
      </c>
      <c r="D1044" s="4">
        <v>570000</v>
      </c>
      <c r="E1044" s="3">
        <v>1199</v>
      </c>
      <c r="F1044" s="3">
        <v>3</v>
      </c>
      <c r="G1044" s="3" t="s">
        <v>10</v>
      </c>
      <c r="H1044" s="3" t="s">
        <v>11</v>
      </c>
      <c r="I1044" s="3">
        <v>5</v>
      </c>
      <c r="J1044" s="3" t="s">
        <v>12</v>
      </c>
      <c r="K1044" s="18">
        <v>86</v>
      </c>
      <c r="L1044" s="16">
        <v>114</v>
      </c>
      <c r="M1044" s="6" t="str" cm="1">
        <f t="array" ref="M1044">_xlfn.IFS(L1044&lt;100,"Economy",L1044&lt;200,"Standard",L1044&lt;350,"Powerful",L1044&lt;500,"High Performance",L1044&lt;800,"Sports Performance",L1044&gt;=800,"Super Performance")</f>
        <v>Standard</v>
      </c>
    </row>
    <row r="1045" spans="1:13" x14ac:dyDescent="0.25">
      <c r="A1045" s="5" t="s">
        <v>22</v>
      </c>
      <c r="B1045" s="3" t="s">
        <v>23</v>
      </c>
      <c r="C1045" s="3" t="s">
        <v>1117</v>
      </c>
      <c r="D1045" s="4">
        <v>599000</v>
      </c>
      <c r="E1045" s="3">
        <v>1199</v>
      </c>
      <c r="F1045" s="3">
        <v>3</v>
      </c>
      <c r="G1045" s="3" t="s">
        <v>10</v>
      </c>
      <c r="H1045" s="3" t="s">
        <v>11</v>
      </c>
      <c r="I1045" s="3">
        <v>5</v>
      </c>
      <c r="J1045" s="3" t="s">
        <v>12</v>
      </c>
      <c r="K1045" s="18">
        <v>86</v>
      </c>
      <c r="L1045" s="16">
        <v>114</v>
      </c>
      <c r="M1045" s="6" t="str" cm="1">
        <f t="array" ref="M1045">_xlfn.IFS(L1045&lt;100,"Economy",L1045&lt;200,"Standard",L1045&lt;350,"Powerful",L1045&lt;500,"High Performance",L1045&lt;800,"Sports Performance",L1045&gt;=800,"Super Performance")</f>
        <v>Standard</v>
      </c>
    </row>
    <row r="1046" spans="1:13" x14ac:dyDescent="0.25">
      <c r="A1046" s="5" t="s">
        <v>22</v>
      </c>
      <c r="B1046" s="3" t="s">
        <v>23</v>
      </c>
      <c r="C1046" s="3" t="s">
        <v>1118</v>
      </c>
      <c r="D1046" s="4">
        <v>610000</v>
      </c>
      <c r="E1046" s="3">
        <v>1199</v>
      </c>
      <c r="F1046" s="3">
        <v>3</v>
      </c>
      <c r="G1046" s="3" t="s">
        <v>10</v>
      </c>
      <c r="H1046" s="3" t="s">
        <v>11</v>
      </c>
      <c r="I1046" s="3">
        <v>5</v>
      </c>
      <c r="J1046" s="3" t="s">
        <v>12</v>
      </c>
      <c r="K1046" s="18">
        <v>86</v>
      </c>
      <c r="L1046" s="16">
        <v>114</v>
      </c>
      <c r="M1046" s="6" t="str" cm="1">
        <f t="array" ref="M1046">_xlfn.IFS(L1046&lt;100,"Economy",L1046&lt;200,"Standard",L1046&lt;350,"Powerful",L1046&lt;500,"High Performance",L1046&lt;800,"Sports Performance",L1046&gt;=800,"Super Performance")</f>
        <v>Standard</v>
      </c>
    </row>
    <row r="1047" spans="1:13" x14ac:dyDescent="0.25">
      <c r="A1047" s="5" t="s">
        <v>22</v>
      </c>
      <c r="B1047" s="3" t="s">
        <v>23</v>
      </c>
      <c r="C1047" s="3" t="s">
        <v>1119</v>
      </c>
      <c r="D1047" s="4">
        <v>620000</v>
      </c>
      <c r="E1047" s="3">
        <v>1199</v>
      </c>
      <c r="F1047" s="3">
        <v>3</v>
      </c>
      <c r="G1047" s="3" t="s">
        <v>10</v>
      </c>
      <c r="H1047" s="3" t="s">
        <v>11</v>
      </c>
      <c r="I1047" s="3">
        <v>5</v>
      </c>
      <c r="J1047" s="3" t="s">
        <v>17</v>
      </c>
      <c r="K1047" s="18">
        <v>86</v>
      </c>
      <c r="L1047" s="16">
        <v>114</v>
      </c>
      <c r="M1047" s="6" t="str" cm="1">
        <f t="array" ref="M1047">_xlfn.IFS(L1047&lt;100,"Economy",L1047&lt;200,"Standard",L1047&lt;350,"Powerful",L1047&lt;500,"High Performance",L1047&lt;800,"Sports Performance",L1047&gt;=800,"Super Performance")</f>
        <v>Standard</v>
      </c>
    </row>
    <row r="1048" spans="1:13" x14ac:dyDescent="0.25">
      <c r="A1048" s="5" t="s">
        <v>22</v>
      </c>
      <c r="B1048" s="3" t="s">
        <v>23</v>
      </c>
      <c r="C1048" s="3" t="s">
        <v>1120</v>
      </c>
      <c r="D1048" s="4">
        <v>649000</v>
      </c>
      <c r="E1048" s="3">
        <v>1199</v>
      </c>
      <c r="F1048" s="3">
        <v>3</v>
      </c>
      <c r="G1048" s="3" t="s">
        <v>10</v>
      </c>
      <c r="H1048" s="3" t="s">
        <v>11</v>
      </c>
      <c r="I1048" s="3">
        <v>5</v>
      </c>
      <c r="J1048" s="3" t="s">
        <v>17</v>
      </c>
      <c r="K1048" s="18">
        <v>86</v>
      </c>
      <c r="L1048" s="16">
        <v>114</v>
      </c>
      <c r="M1048" s="6" t="str" cm="1">
        <f t="array" ref="M1048">_xlfn.IFS(L1048&lt;100,"Economy",L1048&lt;200,"Standard",L1048&lt;350,"Powerful",L1048&lt;500,"High Performance",L1048&lt;800,"Sports Performance",L1048&gt;=800,"Super Performance")</f>
        <v>Standard</v>
      </c>
    </row>
    <row r="1049" spans="1:13" x14ac:dyDescent="0.25">
      <c r="A1049" s="5" t="s">
        <v>22</v>
      </c>
      <c r="B1049" s="3" t="s">
        <v>23</v>
      </c>
      <c r="C1049" s="3" t="s">
        <v>1121</v>
      </c>
      <c r="D1049" s="4">
        <v>660000</v>
      </c>
      <c r="E1049" s="3">
        <v>1199</v>
      </c>
      <c r="F1049" s="3">
        <v>3</v>
      </c>
      <c r="G1049" s="3" t="s">
        <v>10</v>
      </c>
      <c r="H1049" s="3" t="s">
        <v>11</v>
      </c>
      <c r="I1049" s="3">
        <v>5</v>
      </c>
      <c r="J1049" s="3" t="s">
        <v>17</v>
      </c>
      <c r="K1049" s="18">
        <v>86</v>
      </c>
      <c r="L1049" s="16">
        <v>114</v>
      </c>
      <c r="M1049" s="6" t="str" cm="1">
        <f t="array" ref="M1049">_xlfn.IFS(L1049&lt;100,"Economy",L1049&lt;200,"Standard",L1049&lt;350,"Powerful",L1049&lt;500,"High Performance",L1049&lt;800,"Sports Performance",L1049&gt;=800,"Super Performance")</f>
        <v>Standard</v>
      </c>
    </row>
    <row r="1050" spans="1:13" x14ac:dyDescent="0.25">
      <c r="A1050" s="5" t="s">
        <v>7</v>
      </c>
      <c r="B1050" s="3" t="s">
        <v>1173</v>
      </c>
      <c r="C1050" s="3" t="s">
        <v>1178</v>
      </c>
      <c r="D1050" s="4">
        <v>808993</v>
      </c>
      <c r="E1050" s="3">
        <v>1197</v>
      </c>
      <c r="F1050" s="3">
        <v>4</v>
      </c>
      <c r="G1050" s="3" t="s">
        <v>10</v>
      </c>
      <c r="H1050" s="3" t="s">
        <v>11</v>
      </c>
      <c r="I1050" s="3">
        <v>5</v>
      </c>
      <c r="J1050" s="3" t="s">
        <v>12</v>
      </c>
      <c r="K1050" s="18">
        <v>84</v>
      </c>
      <c r="L1050" s="16">
        <v>114</v>
      </c>
      <c r="M1050" s="6" t="str" cm="1">
        <f t="array" ref="M1050">_xlfn.IFS(L1050&lt;100,"Economy",L1050&lt;200,"Standard",L1050&lt;350,"Powerful",L1050&lt;500,"High Performance",L1050&lt;800,"Sports Performance",L1050&gt;=800,"Super Performance")</f>
        <v>Standard</v>
      </c>
    </row>
    <row r="1051" spans="1:13" x14ac:dyDescent="0.25">
      <c r="A1051" s="5" t="s">
        <v>7</v>
      </c>
      <c r="B1051" s="3" t="s">
        <v>882</v>
      </c>
      <c r="C1051" s="3" t="s">
        <v>1232</v>
      </c>
      <c r="D1051" s="4">
        <v>858536</v>
      </c>
      <c r="E1051" s="3">
        <v>1197</v>
      </c>
      <c r="F1051" s="3">
        <v>4</v>
      </c>
      <c r="G1051" s="3" t="s">
        <v>10</v>
      </c>
      <c r="H1051" s="3" t="s">
        <v>11</v>
      </c>
      <c r="I1051" s="3">
        <v>5</v>
      </c>
      <c r="J1051" s="3" t="s">
        <v>12</v>
      </c>
      <c r="K1051" s="18">
        <v>83</v>
      </c>
      <c r="L1051" s="16">
        <v>114</v>
      </c>
      <c r="M1051" s="6" t="str" cm="1">
        <f t="array" ref="M1051">_xlfn.IFS(L1051&lt;100,"Economy",L1051&lt;200,"Standard",L1051&lt;350,"Powerful",L1051&lt;500,"High Performance",L1051&lt;800,"Sports Performance",L1051&gt;=800,"Super Performance")</f>
        <v>Standard</v>
      </c>
    </row>
    <row r="1052" spans="1:13" x14ac:dyDescent="0.25">
      <c r="A1052" s="5" t="s">
        <v>7</v>
      </c>
      <c r="B1052" s="3" t="s">
        <v>882</v>
      </c>
      <c r="C1052" s="3" t="s">
        <v>1235</v>
      </c>
      <c r="D1052" s="4">
        <v>882298</v>
      </c>
      <c r="E1052" s="3">
        <v>1197</v>
      </c>
      <c r="F1052" s="3">
        <v>4</v>
      </c>
      <c r="G1052" s="3" t="s">
        <v>10</v>
      </c>
      <c r="H1052" s="3" t="s">
        <v>11</v>
      </c>
      <c r="I1052" s="3">
        <v>5</v>
      </c>
      <c r="J1052" s="3" t="s">
        <v>12</v>
      </c>
      <c r="K1052" s="18">
        <v>83</v>
      </c>
      <c r="L1052" s="16">
        <v>114</v>
      </c>
      <c r="M1052" s="6" t="str" cm="1">
        <f t="array" ref="M1052">_xlfn.IFS(L1052&lt;100,"Economy",L1052&lt;200,"Standard",L1052&lt;350,"Powerful",L1052&lt;500,"High Performance",L1052&lt;800,"Sports Performance",L1052&gt;=800,"Super Performance")</f>
        <v>Standard</v>
      </c>
    </row>
    <row r="1053" spans="1:13" x14ac:dyDescent="0.25">
      <c r="A1053" s="5" t="s">
        <v>7</v>
      </c>
      <c r="B1053" s="3" t="s">
        <v>832</v>
      </c>
      <c r="C1053" s="3" t="s">
        <v>1333</v>
      </c>
      <c r="D1053" s="4">
        <v>556130</v>
      </c>
      <c r="E1053" s="3">
        <v>1197</v>
      </c>
      <c r="F1053" s="3">
        <v>4</v>
      </c>
      <c r="G1053" s="3" t="s">
        <v>10</v>
      </c>
      <c r="H1053" s="3" t="s">
        <v>27</v>
      </c>
      <c r="I1053" s="3">
        <v>5</v>
      </c>
      <c r="J1053" s="3" t="s">
        <v>12</v>
      </c>
      <c r="K1053" s="18">
        <v>83</v>
      </c>
      <c r="L1053" s="16">
        <v>114</v>
      </c>
      <c r="M1053" s="6" t="str" cm="1">
        <f t="array" ref="M1053">_xlfn.IFS(L1053&lt;100,"Economy",L1053&lt;200,"Standard",L1053&lt;350,"Powerful",L1053&lt;500,"High Performance",L1053&lt;800,"Sports Performance",L1053&gt;=800,"Super Performance")</f>
        <v>Standard</v>
      </c>
    </row>
    <row r="1054" spans="1:13" x14ac:dyDescent="0.25">
      <c r="A1054" s="5" t="s">
        <v>7</v>
      </c>
      <c r="B1054" s="3" t="s">
        <v>709</v>
      </c>
      <c r="C1054" s="3" t="s">
        <v>1352</v>
      </c>
      <c r="D1054" s="4">
        <v>460369</v>
      </c>
      <c r="E1054" s="3">
        <v>1197</v>
      </c>
      <c r="F1054" s="3">
        <v>4</v>
      </c>
      <c r="G1054" s="3" t="s">
        <v>10</v>
      </c>
      <c r="H1054" s="3" t="s">
        <v>11</v>
      </c>
      <c r="I1054" s="3">
        <v>5</v>
      </c>
      <c r="J1054" s="3" t="s">
        <v>12</v>
      </c>
      <c r="K1054" s="18">
        <v>83</v>
      </c>
      <c r="L1054" s="16">
        <v>114</v>
      </c>
      <c r="M1054" s="6" t="str" cm="1">
        <f t="array" ref="M1054">_xlfn.IFS(L1054&lt;100,"Economy",L1054&lt;200,"Standard",L1054&lt;350,"Powerful",L1054&lt;500,"High Performance",L1054&lt;800,"Sports Performance",L1054&gt;=800,"Super Performance")</f>
        <v>Standard</v>
      </c>
    </row>
    <row r="1055" spans="1:13" x14ac:dyDescent="0.25">
      <c r="A1055" s="5" t="s">
        <v>7</v>
      </c>
      <c r="B1055" s="3" t="s">
        <v>709</v>
      </c>
      <c r="C1055" s="3" t="s">
        <v>1354</v>
      </c>
      <c r="D1055" s="4">
        <v>477511</v>
      </c>
      <c r="E1055" s="3">
        <v>1197</v>
      </c>
      <c r="F1055" s="3">
        <v>4</v>
      </c>
      <c r="G1055" s="3" t="s">
        <v>10</v>
      </c>
      <c r="H1055" s="3" t="s">
        <v>11</v>
      </c>
      <c r="I1055" s="3">
        <v>5</v>
      </c>
      <c r="J1055" s="3" t="s">
        <v>12</v>
      </c>
      <c r="K1055" s="18">
        <v>83</v>
      </c>
      <c r="L1055" s="16">
        <v>114</v>
      </c>
      <c r="M1055" s="6" t="str" cm="1">
        <f t="array" ref="M1055">_xlfn.IFS(L1055&lt;100,"Economy",L1055&lt;200,"Standard",L1055&lt;350,"Powerful",L1055&lt;500,"High Performance",L1055&lt;800,"Sports Performance",L1055&gt;=800,"Super Performance")</f>
        <v>Standard</v>
      </c>
    </row>
    <row r="1056" spans="1:13" x14ac:dyDescent="0.25">
      <c r="A1056" s="5" t="s">
        <v>7</v>
      </c>
      <c r="B1056" s="3" t="s">
        <v>763</v>
      </c>
      <c r="C1056" s="3" t="s">
        <v>1368</v>
      </c>
      <c r="D1056" s="4">
        <v>586428</v>
      </c>
      <c r="E1056" s="3">
        <v>1197</v>
      </c>
      <c r="F1056" s="3">
        <v>4</v>
      </c>
      <c r="G1056" s="3" t="s">
        <v>10</v>
      </c>
      <c r="H1056" s="3" t="s">
        <v>11</v>
      </c>
      <c r="I1056" s="3">
        <v>5</v>
      </c>
      <c r="J1056" s="3" t="s">
        <v>12</v>
      </c>
      <c r="K1056" s="18">
        <v>83</v>
      </c>
      <c r="L1056" s="16">
        <v>114</v>
      </c>
      <c r="M1056" s="6" t="str" cm="1">
        <f t="array" ref="M1056">_xlfn.IFS(L1056&lt;100,"Economy",L1056&lt;200,"Standard",L1056&lt;350,"Powerful",L1056&lt;500,"High Performance",L1056&lt;800,"Sports Performance",L1056&gt;=800,"Super Performance")</f>
        <v>Standard</v>
      </c>
    </row>
    <row r="1057" spans="1:13" x14ac:dyDescent="0.25">
      <c r="A1057" s="5" t="s">
        <v>7</v>
      </c>
      <c r="B1057" s="3" t="s">
        <v>763</v>
      </c>
      <c r="C1057" s="3" t="s">
        <v>1370</v>
      </c>
      <c r="D1057" s="4">
        <v>620637</v>
      </c>
      <c r="E1057" s="3">
        <v>1197</v>
      </c>
      <c r="F1057" s="3">
        <v>4</v>
      </c>
      <c r="G1057" s="3" t="s">
        <v>10</v>
      </c>
      <c r="H1057" s="3" t="s">
        <v>11</v>
      </c>
      <c r="I1057" s="3">
        <v>5</v>
      </c>
      <c r="J1057" s="3" t="s">
        <v>12</v>
      </c>
      <c r="K1057" s="18">
        <v>83</v>
      </c>
      <c r="L1057" s="16">
        <v>114</v>
      </c>
      <c r="M1057" s="6" t="str" cm="1">
        <f t="array" ref="M1057">_xlfn.IFS(L1057&lt;100,"Economy",L1057&lt;200,"Standard",L1057&lt;350,"Powerful",L1057&lt;500,"High Performance",L1057&lt;800,"Sports Performance",L1057&gt;=800,"Super Performance")</f>
        <v>Standard</v>
      </c>
    </row>
    <row r="1058" spans="1:13" x14ac:dyDescent="0.25">
      <c r="A1058" s="5" t="s">
        <v>7</v>
      </c>
      <c r="B1058" s="3" t="s">
        <v>763</v>
      </c>
      <c r="C1058" s="3" t="s">
        <v>1371</v>
      </c>
      <c r="D1058" s="4">
        <v>652328</v>
      </c>
      <c r="E1058" s="3">
        <v>1197</v>
      </c>
      <c r="F1058" s="3">
        <v>4</v>
      </c>
      <c r="G1058" s="3" t="s">
        <v>10</v>
      </c>
      <c r="H1058" s="3" t="s">
        <v>11</v>
      </c>
      <c r="I1058" s="3">
        <v>5</v>
      </c>
      <c r="J1058" s="3" t="s">
        <v>30</v>
      </c>
      <c r="K1058" s="18">
        <v>83</v>
      </c>
      <c r="L1058" s="16">
        <v>114</v>
      </c>
      <c r="M1058" s="6" t="str" cm="1">
        <f t="array" ref="M1058">_xlfn.IFS(L1058&lt;100,"Economy",L1058&lt;200,"Standard",L1058&lt;350,"Powerful",L1058&lt;500,"High Performance",L1058&lt;800,"Sports Performance",L1058&gt;=800,"Super Performance")</f>
        <v>Standard</v>
      </c>
    </row>
    <row r="1059" spans="1:13" x14ac:dyDescent="0.25">
      <c r="A1059" s="5" t="s">
        <v>7</v>
      </c>
      <c r="B1059" s="3" t="s">
        <v>763</v>
      </c>
      <c r="C1059" s="3" t="s">
        <v>1372</v>
      </c>
      <c r="D1059" s="4">
        <v>705538</v>
      </c>
      <c r="E1059" s="3">
        <v>1197</v>
      </c>
      <c r="F1059" s="3">
        <v>4</v>
      </c>
      <c r="G1059" s="3" t="s">
        <v>10</v>
      </c>
      <c r="H1059" s="3" t="s">
        <v>11</v>
      </c>
      <c r="I1059" s="3">
        <v>5</v>
      </c>
      <c r="J1059" s="3" t="s">
        <v>30</v>
      </c>
      <c r="K1059" s="18">
        <v>83</v>
      </c>
      <c r="L1059" s="16">
        <v>114</v>
      </c>
      <c r="M1059" s="6" t="str" cm="1">
        <f t="array" ref="M1059">_xlfn.IFS(L1059&lt;100,"Economy",L1059&lt;200,"Standard",L1059&lt;350,"Powerful",L1059&lt;500,"High Performance",L1059&lt;800,"Sports Performance",L1059&gt;=800,"Super Performance")</f>
        <v>Standard</v>
      </c>
    </row>
    <row r="1060" spans="1:13" x14ac:dyDescent="0.25">
      <c r="A1060" s="5" t="s">
        <v>7</v>
      </c>
      <c r="B1060" s="3" t="s">
        <v>763</v>
      </c>
      <c r="C1060" s="3" t="s">
        <v>1375</v>
      </c>
      <c r="D1060" s="4">
        <v>640537</v>
      </c>
      <c r="E1060" s="3">
        <v>1197</v>
      </c>
      <c r="F1060" s="3">
        <v>4</v>
      </c>
      <c r="G1060" s="3" t="s">
        <v>10</v>
      </c>
      <c r="H1060" s="3" t="s">
        <v>11</v>
      </c>
      <c r="I1060" s="3">
        <v>5</v>
      </c>
      <c r="J1060" s="3" t="s">
        <v>12</v>
      </c>
      <c r="K1060" s="18">
        <v>83</v>
      </c>
      <c r="L1060" s="16">
        <v>114</v>
      </c>
      <c r="M1060" s="6" t="str" cm="1">
        <f t="array" ref="M1060">_xlfn.IFS(L1060&lt;100,"Economy",L1060&lt;200,"Standard",L1060&lt;350,"Powerful",L1060&lt;500,"High Performance",L1060&lt;800,"Sports Performance",L1060&gt;=800,"Super Performance")</f>
        <v>Standard</v>
      </c>
    </row>
    <row r="1061" spans="1:13" x14ac:dyDescent="0.25">
      <c r="A1061" s="5" t="s">
        <v>55</v>
      </c>
      <c r="B1061" s="3" t="s">
        <v>56</v>
      </c>
      <c r="C1061" s="3" t="s">
        <v>57</v>
      </c>
      <c r="D1061" s="4">
        <v>721900</v>
      </c>
      <c r="E1061" s="3">
        <v>1197</v>
      </c>
      <c r="F1061" s="3">
        <v>4</v>
      </c>
      <c r="G1061" s="3" t="s">
        <v>10</v>
      </c>
      <c r="H1061" s="3" t="s">
        <v>11</v>
      </c>
      <c r="I1061" s="3">
        <v>5</v>
      </c>
      <c r="J1061" s="3" t="s">
        <v>12</v>
      </c>
      <c r="K1061" s="18">
        <v>89</v>
      </c>
      <c r="L1061" s="16">
        <v>113</v>
      </c>
      <c r="M1061" s="6" t="str" cm="1">
        <f t="array" ref="M1061">_xlfn.IFS(L1061&lt;100,"Economy",L1061&lt;200,"Standard",L1061&lt;350,"Powerful",L1061&lt;500,"High Performance",L1061&lt;800,"Sports Performance",L1061&gt;=800,"Super Performance")</f>
        <v>Standard</v>
      </c>
    </row>
    <row r="1062" spans="1:13" x14ac:dyDescent="0.25">
      <c r="A1062" s="5" t="s">
        <v>55</v>
      </c>
      <c r="B1062" s="3" t="s">
        <v>56</v>
      </c>
      <c r="C1062" s="3" t="s">
        <v>58</v>
      </c>
      <c r="D1062" s="4">
        <v>758200</v>
      </c>
      <c r="E1062" s="3">
        <v>1197</v>
      </c>
      <c r="F1062" s="3">
        <v>4</v>
      </c>
      <c r="G1062" s="3" t="s">
        <v>10</v>
      </c>
      <c r="H1062" s="3" t="s">
        <v>11</v>
      </c>
      <c r="I1062" s="3">
        <v>5</v>
      </c>
      <c r="J1062" s="3" t="s">
        <v>12</v>
      </c>
      <c r="K1062" s="18">
        <v>82</v>
      </c>
      <c r="L1062" s="16">
        <v>113</v>
      </c>
      <c r="M1062" s="6" t="str" cm="1">
        <f t="array" ref="M1062">_xlfn.IFS(L1062&lt;100,"Economy",L1062&lt;200,"Standard",L1062&lt;350,"Powerful",L1062&lt;500,"High Performance",L1062&lt;800,"Sports Performance",L1062&gt;=800,"Super Performance")</f>
        <v>Standard</v>
      </c>
    </row>
    <row r="1063" spans="1:13" x14ac:dyDescent="0.25">
      <c r="A1063" s="5" t="s">
        <v>55</v>
      </c>
      <c r="B1063" s="3" t="s">
        <v>56</v>
      </c>
      <c r="C1063" s="3" t="s">
        <v>59</v>
      </c>
      <c r="D1063" s="4">
        <v>829900</v>
      </c>
      <c r="E1063" s="3">
        <v>1197</v>
      </c>
      <c r="F1063" s="3">
        <v>4</v>
      </c>
      <c r="G1063" s="3" t="s">
        <v>10</v>
      </c>
      <c r="H1063" s="3" t="s">
        <v>11</v>
      </c>
      <c r="I1063" s="3">
        <v>5</v>
      </c>
      <c r="J1063" s="3" t="s">
        <v>60</v>
      </c>
      <c r="K1063" s="18">
        <v>82</v>
      </c>
      <c r="L1063" s="16">
        <v>113</v>
      </c>
      <c r="M1063" s="6" t="str" cm="1">
        <f t="array" ref="M1063">_xlfn.IFS(L1063&lt;100,"Economy",L1063&lt;200,"Standard",L1063&lt;350,"Powerful",L1063&lt;500,"High Performance",L1063&lt;800,"Sports Performance",L1063&gt;=800,"Super Performance")</f>
        <v>Standard</v>
      </c>
    </row>
    <row r="1064" spans="1:13" x14ac:dyDescent="0.25">
      <c r="A1064" s="5" t="s">
        <v>55</v>
      </c>
      <c r="B1064" s="3" t="s">
        <v>56</v>
      </c>
      <c r="C1064" s="3" t="s">
        <v>61</v>
      </c>
      <c r="D1064" s="4">
        <v>890200</v>
      </c>
      <c r="E1064" s="3">
        <v>1197</v>
      </c>
      <c r="F1064" s="3">
        <v>4</v>
      </c>
      <c r="G1064" s="3" t="s">
        <v>10</v>
      </c>
      <c r="H1064" s="3" t="s">
        <v>11</v>
      </c>
      <c r="I1064" s="3">
        <v>5</v>
      </c>
      <c r="J1064" s="3" t="s">
        <v>60</v>
      </c>
      <c r="K1064" s="18">
        <v>82</v>
      </c>
      <c r="L1064" s="16">
        <v>113</v>
      </c>
      <c r="M1064" s="6" t="str" cm="1">
        <f t="array" ref="M1064">_xlfn.IFS(L1064&lt;100,"Economy",L1064&lt;200,"Standard",L1064&lt;350,"Powerful",L1064&lt;500,"High Performance",L1064&lt;800,"Sports Performance",L1064&gt;=800,"Super Performance")</f>
        <v>Standard</v>
      </c>
    </row>
    <row r="1065" spans="1:13" x14ac:dyDescent="0.25">
      <c r="A1065" s="5" t="s">
        <v>55</v>
      </c>
      <c r="B1065" s="3" t="s">
        <v>56</v>
      </c>
      <c r="C1065" s="3" t="s">
        <v>62</v>
      </c>
      <c r="D1065" s="4">
        <v>697900</v>
      </c>
      <c r="E1065" s="3">
        <v>1197</v>
      </c>
      <c r="F1065" s="3">
        <v>4</v>
      </c>
      <c r="G1065" s="3" t="s">
        <v>10</v>
      </c>
      <c r="H1065" s="3" t="s">
        <v>11</v>
      </c>
      <c r="I1065" s="3">
        <v>5</v>
      </c>
      <c r="J1065" s="3" t="s">
        <v>12</v>
      </c>
      <c r="K1065" s="18">
        <v>82</v>
      </c>
      <c r="L1065" s="16">
        <v>113</v>
      </c>
      <c r="M1065" s="6" t="str" cm="1">
        <f t="array" ref="M1065">_xlfn.IFS(L1065&lt;100,"Economy",L1065&lt;200,"Standard",L1065&lt;350,"Powerful",L1065&lt;500,"High Performance",L1065&lt;800,"Sports Performance",L1065&gt;=800,"Super Performance")</f>
        <v>Standard</v>
      </c>
    </row>
    <row r="1066" spans="1:13" x14ac:dyDescent="0.25">
      <c r="A1066" s="5" t="s">
        <v>182</v>
      </c>
      <c r="B1066" s="3" t="s">
        <v>183</v>
      </c>
      <c r="C1066" s="3" t="s">
        <v>185</v>
      </c>
      <c r="D1066" s="4">
        <v>513501</v>
      </c>
      <c r="E1066" s="3">
        <v>1197</v>
      </c>
      <c r="F1066" s="3">
        <v>3</v>
      </c>
      <c r="G1066" s="3" t="s">
        <v>10</v>
      </c>
      <c r="H1066" s="3" t="s">
        <v>11</v>
      </c>
      <c r="I1066" s="3">
        <v>5</v>
      </c>
      <c r="J1066" s="3" t="s">
        <v>12</v>
      </c>
      <c r="K1066" s="18">
        <v>83</v>
      </c>
      <c r="L1066" s="16">
        <v>113</v>
      </c>
      <c r="M1066" s="6" t="str" cm="1">
        <f t="array" ref="M1066">_xlfn.IFS(L1066&lt;100,"Economy",L1066&lt;200,"Standard",L1066&lt;350,"Powerful",L1066&lt;500,"High Performance",L1066&lt;800,"Sports Performance",L1066&gt;=800,"Super Performance")</f>
        <v>Standard</v>
      </c>
    </row>
    <row r="1067" spans="1:13" x14ac:dyDescent="0.25">
      <c r="A1067" s="5" t="s">
        <v>182</v>
      </c>
      <c r="B1067" s="3" t="s">
        <v>183</v>
      </c>
      <c r="C1067" s="3" t="s">
        <v>186</v>
      </c>
      <c r="D1067" s="4">
        <v>560500</v>
      </c>
      <c r="E1067" s="3">
        <v>1197</v>
      </c>
      <c r="F1067" s="3">
        <v>3</v>
      </c>
      <c r="G1067" s="3" t="s">
        <v>10</v>
      </c>
      <c r="H1067" s="3" t="s">
        <v>11</v>
      </c>
      <c r="I1067" s="3">
        <v>5</v>
      </c>
      <c r="J1067" s="3" t="s">
        <v>30</v>
      </c>
      <c r="K1067" s="18">
        <v>83</v>
      </c>
      <c r="L1067" s="16">
        <v>113</v>
      </c>
      <c r="M1067" s="6" t="str" cm="1">
        <f t="array" ref="M1067">_xlfn.IFS(L1067&lt;100,"Economy",L1067&lt;200,"Standard",L1067&lt;350,"Powerful",L1067&lt;500,"High Performance",L1067&lt;800,"Sports Performance",L1067&gt;=800,"Super Performance")</f>
        <v>Standard</v>
      </c>
    </row>
    <row r="1068" spans="1:13" x14ac:dyDescent="0.25">
      <c r="A1068" s="5" t="s">
        <v>182</v>
      </c>
      <c r="B1068" s="3" t="s">
        <v>183</v>
      </c>
      <c r="C1068" s="3" t="s">
        <v>187</v>
      </c>
      <c r="D1068" s="4">
        <v>594800</v>
      </c>
      <c r="E1068" s="3">
        <v>1197</v>
      </c>
      <c r="F1068" s="3">
        <v>3</v>
      </c>
      <c r="G1068" s="3" t="s">
        <v>10</v>
      </c>
      <c r="H1068" s="3" t="s">
        <v>11</v>
      </c>
      <c r="I1068" s="3">
        <v>5</v>
      </c>
      <c r="J1068" s="3" t="s">
        <v>30</v>
      </c>
      <c r="K1068" s="18">
        <v>83</v>
      </c>
      <c r="L1068" s="16">
        <v>113</v>
      </c>
      <c r="M1068" s="6" t="str" cm="1">
        <f t="array" ref="M1068">_xlfn.IFS(L1068&lt;100,"Economy",L1068&lt;200,"Standard",L1068&lt;350,"Powerful",L1068&lt;500,"High Performance",L1068&lt;800,"Sports Performance",L1068&gt;=800,"Super Performance")</f>
        <v>Standard</v>
      </c>
    </row>
    <row r="1069" spans="1:13" x14ac:dyDescent="0.25">
      <c r="A1069" s="5" t="s">
        <v>182</v>
      </c>
      <c r="B1069" s="3" t="s">
        <v>183</v>
      </c>
      <c r="C1069" s="3" t="s">
        <v>188</v>
      </c>
      <c r="D1069" s="4">
        <v>520500</v>
      </c>
      <c r="E1069" s="3">
        <v>1197</v>
      </c>
      <c r="F1069" s="3">
        <v>3</v>
      </c>
      <c r="G1069" s="3" t="s">
        <v>10</v>
      </c>
      <c r="H1069" s="3" t="s">
        <v>11</v>
      </c>
      <c r="I1069" s="3">
        <v>5</v>
      </c>
      <c r="J1069" s="3" t="s">
        <v>12</v>
      </c>
      <c r="K1069" s="18">
        <v>83</v>
      </c>
      <c r="L1069" s="16">
        <v>113</v>
      </c>
      <c r="M1069" s="6" t="str" cm="1">
        <f t="array" ref="M1069">_xlfn.IFS(L1069&lt;100,"Economy",L1069&lt;200,"Standard",L1069&lt;350,"Powerful",L1069&lt;500,"High Performance",L1069&lt;800,"Sports Performance",L1069&gt;=800,"Super Performance")</f>
        <v>Standard</v>
      </c>
    </row>
    <row r="1070" spans="1:13" x14ac:dyDescent="0.25">
      <c r="A1070" s="5" t="s">
        <v>182</v>
      </c>
      <c r="B1070" s="3" t="s">
        <v>183</v>
      </c>
      <c r="C1070" s="3" t="s">
        <v>189</v>
      </c>
      <c r="D1070" s="4">
        <v>567500</v>
      </c>
      <c r="E1070" s="3">
        <v>1197</v>
      </c>
      <c r="F1070" s="3">
        <v>3</v>
      </c>
      <c r="G1070" s="3" t="s">
        <v>10</v>
      </c>
      <c r="H1070" s="3" t="s">
        <v>11</v>
      </c>
      <c r="I1070" s="3">
        <v>5</v>
      </c>
      <c r="J1070" s="3" t="s">
        <v>30</v>
      </c>
      <c r="K1070" s="18">
        <v>83</v>
      </c>
      <c r="L1070" s="16">
        <v>113</v>
      </c>
      <c r="M1070" s="6" t="str" cm="1">
        <f t="array" ref="M1070">_xlfn.IFS(L1070&lt;100,"Economy",L1070&lt;200,"Standard",L1070&lt;350,"Powerful",L1070&lt;500,"High Performance",L1070&lt;800,"Sports Performance",L1070&gt;=800,"Super Performance")</f>
        <v>Standard</v>
      </c>
    </row>
    <row r="1071" spans="1:13" x14ac:dyDescent="0.25">
      <c r="A1071" s="5" t="s">
        <v>93</v>
      </c>
      <c r="B1071" s="3" t="s">
        <v>448</v>
      </c>
      <c r="C1071" s="3" t="s">
        <v>449</v>
      </c>
      <c r="D1071" s="4">
        <v>713898</v>
      </c>
      <c r="E1071" s="3">
        <v>1197</v>
      </c>
      <c r="F1071" s="3">
        <v>4</v>
      </c>
      <c r="G1071" s="3" t="s">
        <v>10</v>
      </c>
      <c r="H1071" s="3" t="s">
        <v>11</v>
      </c>
      <c r="I1071" s="3">
        <v>5</v>
      </c>
      <c r="J1071" s="3" t="s">
        <v>17</v>
      </c>
      <c r="K1071" s="18">
        <v>83</v>
      </c>
      <c r="L1071" s="16">
        <v>113</v>
      </c>
      <c r="M1071" s="6" t="str" cm="1">
        <f t="array" ref="M1071">_xlfn.IFS(L1071&lt;100,"Economy",L1071&lt;200,"Standard",L1071&lt;350,"Powerful",L1071&lt;500,"High Performance",L1071&lt;800,"Sports Performance",L1071&gt;=800,"Super Performance")</f>
        <v>Standard</v>
      </c>
    </row>
    <row r="1072" spans="1:13" x14ac:dyDescent="0.25">
      <c r="A1072" s="5" t="s">
        <v>93</v>
      </c>
      <c r="B1072" s="3" t="s">
        <v>448</v>
      </c>
      <c r="C1072" s="3" t="s">
        <v>450</v>
      </c>
      <c r="D1072" s="4">
        <v>666898</v>
      </c>
      <c r="E1072" s="3">
        <v>1197</v>
      </c>
      <c r="F1072" s="3">
        <v>4</v>
      </c>
      <c r="G1072" s="3" t="s">
        <v>10</v>
      </c>
      <c r="H1072" s="3" t="s">
        <v>11</v>
      </c>
      <c r="I1072" s="3">
        <v>5</v>
      </c>
      <c r="J1072" s="3" t="s">
        <v>12</v>
      </c>
      <c r="K1072" s="18">
        <v>83</v>
      </c>
      <c r="L1072" s="16">
        <v>113</v>
      </c>
      <c r="M1072" s="6" t="str" cm="1">
        <f t="array" ref="M1072">_xlfn.IFS(L1072&lt;100,"Economy",L1072&lt;200,"Standard",L1072&lt;350,"Powerful",L1072&lt;500,"High Performance",L1072&lt;800,"Sports Performance",L1072&gt;=800,"Super Performance")</f>
        <v>Standard</v>
      </c>
    </row>
    <row r="1073" spans="1:13" x14ac:dyDescent="0.25">
      <c r="A1073" s="5" t="s">
        <v>93</v>
      </c>
      <c r="B1073" s="3" t="s">
        <v>448</v>
      </c>
      <c r="C1073" s="3" t="s">
        <v>451</v>
      </c>
      <c r="D1073" s="4">
        <v>483320</v>
      </c>
      <c r="E1073" s="3">
        <v>1197</v>
      </c>
      <c r="F1073" s="3">
        <v>4</v>
      </c>
      <c r="G1073" s="3" t="s">
        <v>10</v>
      </c>
      <c r="H1073" s="3" t="s">
        <v>11</v>
      </c>
      <c r="I1073" s="3">
        <v>5</v>
      </c>
      <c r="J1073" s="3" t="s">
        <v>12</v>
      </c>
      <c r="K1073" s="18">
        <v>83</v>
      </c>
      <c r="L1073" s="16">
        <v>113</v>
      </c>
      <c r="M1073" s="6" t="str" cm="1">
        <f t="array" ref="M1073">_xlfn.IFS(L1073&lt;100,"Economy",L1073&lt;200,"Standard",L1073&lt;350,"Powerful",L1073&lt;500,"High Performance",L1073&lt;800,"Sports Performance",L1073&gt;=800,"Super Performance")</f>
        <v>Standard</v>
      </c>
    </row>
    <row r="1074" spans="1:13" x14ac:dyDescent="0.25">
      <c r="A1074" s="5" t="s">
        <v>93</v>
      </c>
      <c r="B1074" s="3" t="s">
        <v>448</v>
      </c>
      <c r="C1074" s="3" t="s">
        <v>452</v>
      </c>
      <c r="D1074" s="4">
        <v>630320</v>
      </c>
      <c r="E1074" s="3">
        <v>1197</v>
      </c>
      <c r="F1074" s="3">
        <v>4</v>
      </c>
      <c r="G1074" s="3" t="s">
        <v>10</v>
      </c>
      <c r="H1074" s="3" t="s">
        <v>11</v>
      </c>
      <c r="I1074" s="3">
        <v>5</v>
      </c>
      <c r="J1074" s="3" t="s">
        <v>17</v>
      </c>
      <c r="K1074" s="18">
        <v>83</v>
      </c>
      <c r="L1074" s="16">
        <v>113</v>
      </c>
      <c r="M1074" s="6" t="str" cm="1">
        <f t="array" ref="M1074">_xlfn.IFS(L1074&lt;100,"Economy",L1074&lt;200,"Standard",L1074&lt;350,"Powerful",L1074&lt;500,"High Performance",L1074&lt;800,"Sports Performance",L1074&gt;=800,"Super Performance")</f>
        <v>Standard</v>
      </c>
    </row>
    <row r="1075" spans="1:13" x14ac:dyDescent="0.25">
      <c r="A1075" s="5" t="s">
        <v>93</v>
      </c>
      <c r="B1075" s="3" t="s">
        <v>448</v>
      </c>
      <c r="C1075" s="3" t="s">
        <v>453</v>
      </c>
      <c r="D1075" s="4">
        <v>583320</v>
      </c>
      <c r="E1075" s="3">
        <v>1197</v>
      </c>
      <c r="F1075" s="3">
        <v>4</v>
      </c>
      <c r="G1075" s="3" t="s">
        <v>10</v>
      </c>
      <c r="H1075" s="3" t="s">
        <v>11</v>
      </c>
      <c r="I1075" s="3">
        <v>5</v>
      </c>
      <c r="J1075" s="3" t="s">
        <v>12</v>
      </c>
      <c r="K1075" s="18">
        <v>83</v>
      </c>
      <c r="L1075" s="16">
        <v>113</v>
      </c>
      <c r="M1075" s="6" t="str" cm="1">
        <f t="array" ref="M1075">_xlfn.IFS(L1075&lt;100,"Economy",L1075&lt;200,"Standard",L1075&lt;350,"Powerful",L1075&lt;500,"High Performance",L1075&lt;800,"Sports Performance",L1075&gt;=800,"Super Performance")</f>
        <v>Standard</v>
      </c>
    </row>
    <row r="1076" spans="1:13" x14ac:dyDescent="0.25">
      <c r="A1076" s="5" t="s">
        <v>22</v>
      </c>
      <c r="B1076" s="3" t="s">
        <v>631</v>
      </c>
      <c r="C1076" s="3" t="s">
        <v>332</v>
      </c>
      <c r="D1076" s="4">
        <v>529000</v>
      </c>
      <c r="E1076" s="3">
        <v>1199</v>
      </c>
      <c r="F1076" s="3">
        <v>3</v>
      </c>
      <c r="G1076" s="3" t="s">
        <v>10</v>
      </c>
      <c r="H1076" s="3" t="s">
        <v>11</v>
      </c>
      <c r="I1076" s="3">
        <v>5</v>
      </c>
      <c r="J1076" s="3" t="s">
        <v>12</v>
      </c>
      <c r="K1076" s="18">
        <v>86</v>
      </c>
      <c r="L1076" s="16">
        <v>113</v>
      </c>
      <c r="M1076" s="6" t="str" cm="1">
        <f t="array" ref="M1076">_xlfn.IFS(L1076&lt;100,"Economy",L1076&lt;200,"Standard",L1076&lt;350,"Powerful",L1076&lt;500,"High Performance",L1076&lt;800,"Sports Performance",L1076&gt;=800,"Super Performance")</f>
        <v>Standard</v>
      </c>
    </row>
    <row r="1077" spans="1:13" x14ac:dyDescent="0.25">
      <c r="A1077" s="5" t="s">
        <v>93</v>
      </c>
      <c r="B1077" s="3" t="s">
        <v>712</v>
      </c>
      <c r="C1077" s="3" t="s">
        <v>99</v>
      </c>
      <c r="D1077" s="4">
        <v>619000</v>
      </c>
      <c r="E1077" s="3">
        <v>1197</v>
      </c>
      <c r="F1077" s="3">
        <v>4</v>
      </c>
      <c r="G1077" s="3" t="s">
        <v>10</v>
      </c>
      <c r="H1077" s="3" t="s">
        <v>11</v>
      </c>
      <c r="I1077" s="3">
        <v>5</v>
      </c>
      <c r="J1077" s="3" t="s">
        <v>12</v>
      </c>
      <c r="K1077" s="18">
        <v>83</v>
      </c>
      <c r="L1077" s="16">
        <v>113</v>
      </c>
      <c r="M1077" s="6" t="str" cm="1">
        <f t="array" ref="M1077">_xlfn.IFS(L1077&lt;100,"Economy",L1077&lt;200,"Standard",L1077&lt;350,"Powerful",L1077&lt;500,"High Performance",L1077&lt;800,"Sports Performance",L1077&gt;=800,"Super Performance")</f>
        <v>Standard</v>
      </c>
    </row>
    <row r="1078" spans="1:13" x14ac:dyDescent="0.25">
      <c r="A1078" s="5" t="s">
        <v>93</v>
      </c>
      <c r="B1078" s="3" t="s">
        <v>712</v>
      </c>
      <c r="C1078" s="3" t="s">
        <v>713</v>
      </c>
      <c r="D1078" s="4">
        <v>666000</v>
      </c>
      <c r="E1078" s="3">
        <v>1197</v>
      </c>
      <c r="F1078" s="3">
        <v>4</v>
      </c>
      <c r="G1078" s="3" t="s">
        <v>10</v>
      </c>
      <c r="H1078" s="3" t="s">
        <v>11</v>
      </c>
      <c r="I1078" s="3">
        <v>5</v>
      </c>
      <c r="J1078" s="3" t="s">
        <v>30</v>
      </c>
      <c r="K1078" s="18">
        <v>83</v>
      </c>
      <c r="L1078" s="16">
        <v>113</v>
      </c>
      <c r="M1078" s="6" t="str" cm="1">
        <f t="array" ref="M1078">_xlfn.IFS(L1078&lt;100,"Economy",L1078&lt;200,"Standard",L1078&lt;350,"Powerful",L1078&lt;500,"High Performance",L1078&lt;800,"Sports Performance",L1078&gt;=800,"Super Performance")</f>
        <v>Standard</v>
      </c>
    </row>
    <row r="1079" spans="1:13" x14ac:dyDescent="0.25">
      <c r="A1079" s="5" t="s">
        <v>93</v>
      </c>
      <c r="B1079" s="3" t="s">
        <v>712</v>
      </c>
      <c r="C1079" s="3" t="s">
        <v>264</v>
      </c>
      <c r="D1079" s="4">
        <v>678000</v>
      </c>
      <c r="E1079" s="3">
        <v>1197</v>
      </c>
      <c r="F1079" s="3">
        <v>4</v>
      </c>
      <c r="G1079" s="3" t="s">
        <v>10</v>
      </c>
      <c r="H1079" s="3" t="s">
        <v>11</v>
      </c>
      <c r="I1079" s="3">
        <v>5</v>
      </c>
      <c r="J1079" s="3" t="s">
        <v>12</v>
      </c>
      <c r="K1079" s="18">
        <v>83</v>
      </c>
      <c r="L1079" s="16">
        <v>113</v>
      </c>
      <c r="M1079" s="6" t="str" cm="1">
        <f t="array" ref="M1079">_xlfn.IFS(L1079&lt;100,"Economy",L1079&lt;200,"Standard",L1079&lt;350,"Powerful",L1079&lt;500,"High Performance",L1079&lt;800,"Sports Performance",L1079&gt;=800,"Super Performance")</f>
        <v>Standard</v>
      </c>
    </row>
    <row r="1080" spans="1:13" x14ac:dyDescent="0.25">
      <c r="A1080" s="5" t="s">
        <v>93</v>
      </c>
      <c r="B1080" s="3" t="s">
        <v>712</v>
      </c>
      <c r="C1080" s="3" t="s">
        <v>714</v>
      </c>
      <c r="D1080" s="4">
        <v>725000</v>
      </c>
      <c r="E1080" s="3">
        <v>1197</v>
      </c>
      <c r="F1080" s="3">
        <v>4</v>
      </c>
      <c r="G1080" s="3" t="s">
        <v>10</v>
      </c>
      <c r="H1080" s="3" t="s">
        <v>11</v>
      </c>
      <c r="I1080" s="3">
        <v>5</v>
      </c>
      <c r="J1080" s="3" t="s">
        <v>30</v>
      </c>
      <c r="K1080" s="18">
        <v>83</v>
      </c>
      <c r="L1080" s="16">
        <v>113</v>
      </c>
      <c r="M1080" s="6" t="str" cm="1">
        <f t="array" ref="M1080">_xlfn.IFS(L1080&lt;100,"Economy",L1080&lt;200,"Standard",L1080&lt;350,"Powerful",L1080&lt;500,"High Performance",L1080&lt;800,"Sports Performance",L1080&gt;=800,"Super Performance")</f>
        <v>Standard</v>
      </c>
    </row>
    <row r="1081" spans="1:13" x14ac:dyDescent="0.25">
      <c r="A1081" s="5" t="s">
        <v>93</v>
      </c>
      <c r="B1081" s="3" t="s">
        <v>712</v>
      </c>
      <c r="C1081" s="3" t="s">
        <v>266</v>
      </c>
      <c r="D1081" s="4">
        <v>758000</v>
      </c>
      <c r="E1081" s="3">
        <v>1197</v>
      </c>
      <c r="F1081" s="3">
        <v>4</v>
      </c>
      <c r="G1081" s="3" t="s">
        <v>10</v>
      </c>
      <c r="H1081" s="3" t="s">
        <v>11</v>
      </c>
      <c r="I1081" s="3">
        <v>5</v>
      </c>
      <c r="J1081" s="3" t="s">
        <v>12</v>
      </c>
      <c r="K1081" s="18">
        <v>83</v>
      </c>
      <c r="L1081" s="16">
        <v>113</v>
      </c>
      <c r="M1081" s="6" t="str" cm="1">
        <f t="array" ref="M1081">_xlfn.IFS(L1081&lt;100,"Economy",L1081&lt;200,"Standard",L1081&lt;350,"Powerful",L1081&lt;500,"High Performance",L1081&lt;800,"Sports Performance",L1081&gt;=800,"Super Performance")</f>
        <v>Standard</v>
      </c>
    </row>
    <row r="1082" spans="1:13" x14ac:dyDescent="0.25">
      <c r="A1082" s="5" t="s">
        <v>93</v>
      </c>
      <c r="B1082" s="3" t="s">
        <v>712</v>
      </c>
      <c r="C1082" s="3" t="s">
        <v>721</v>
      </c>
      <c r="D1082" s="4">
        <v>802000</v>
      </c>
      <c r="E1082" s="3">
        <v>1197</v>
      </c>
      <c r="F1082" s="3">
        <v>4</v>
      </c>
      <c r="G1082" s="3" t="s">
        <v>10</v>
      </c>
      <c r="H1082" s="3" t="s">
        <v>11</v>
      </c>
      <c r="I1082" s="3">
        <v>5</v>
      </c>
      <c r="J1082" s="3" t="s">
        <v>30</v>
      </c>
      <c r="K1082" s="18">
        <v>83</v>
      </c>
      <c r="L1082" s="16">
        <v>113</v>
      </c>
      <c r="M1082" s="6" t="str" cm="1">
        <f t="array" ref="M1082">_xlfn.IFS(L1082&lt;100,"Economy",L1082&lt;200,"Standard",L1082&lt;350,"Powerful",L1082&lt;500,"High Performance",L1082&lt;800,"Sports Performance",L1082&gt;=800,"Super Performance")</f>
        <v>Standard</v>
      </c>
    </row>
    <row r="1083" spans="1:13" x14ac:dyDescent="0.25">
      <c r="A1083" s="5" t="s">
        <v>22</v>
      </c>
      <c r="B1083" s="3" t="s">
        <v>1137</v>
      </c>
      <c r="C1083" s="3" t="s">
        <v>1116</v>
      </c>
      <c r="D1083" s="4">
        <v>650000</v>
      </c>
      <c r="E1083" s="3">
        <v>1199</v>
      </c>
      <c r="F1083" s="3">
        <v>3</v>
      </c>
      <c r="G1083" s="3" t="s">
        <v>10</v>
      </c>
      <c r="H1083" s="3" t="s">
        <v>27</v>
      </c>
      <c r="I1083" s="3">
        <v>5</v>
      </c>
      <c r="J1083" s="3" t="s">
        <v>12</v>
      </c>
      <c r="K1083" s="18">
        <v>86</v>
      </c>
      <c r="L1083" s="16">
        <v>113</v>
      </c>
      <c r="M1083" s="6" t="str" cm="1">
        <f t="array" ref="M1083">_xlfn.IFS(L1083&lt;100,"Economy",L1083&lt;200,"Standard",L1083&lt;350,"Powerful",L1083&lt;500,"High Performance",L1083&lt;800,"Sports Performance",L1083&gt;=800,"Super Performance")</f>
        <v>Standard</v>
      </c>
    </row>
    <row r="1084" spans="1:13" x14ac:dyDescent="0.25">
      <c r="A1084" s="5" t="s">
        <v>22</v>
      </c>
      <c r="B1084" s="3" t="s">
        <v>1137</v>
      </c>
      <c r="C1084" s="3" t="s">
        <v>1117</v>
      </c>
      <c r="D1084" s="4">
        <v>699000</v>
      </c>
      <c r="E1084" s="3">
        <v>1199</v>
      </c>
      <c r="F1084" s="3">
        <v>3</v>
      </c>
      <c r="G1084" s="3" t="s">
        <v>10</v>
      </c>
      <c r="H1084" s="3" t="s">
        <v>27</v>
      </c>
      <c r="I1084" s="3">
        <v>5</v>
      </c>
      <c r="J1084" s="3" t="s">
        <v>12</v>
      </c>
      <c r="K1084" s="18">
        <v>86</v>
      </c>
      <c r="L1084" s="16">
        <v>113</v>
      </c>
      <c r="M1084" s="6" t="str" cm="1">
        <f t="array" ref="M1084">_xlfn.IFS(L1084&lt;100,"Economy",L1084&lt;200,"Standard",L1084&lt;350,"Powerful",L1084&lt;500,"High Performance",L1084&lt;800,"Sports Performance",L1084&gt;=800,"Super Performance")</f>
        <v>Standard</v>
      </c>
    </row>
    <row r="1085" spans="1:13" x14ac:dyDescent="0.25">
      <c r="A1085" s="5" t="s">
        <v>22</v>
      </c>
      <c r="B1085" s="3" t="s">
        <v>1137</v>
      </c>
      <c r="C1085" s="3" t="s">
        <v>1120</v>
      </c>
      <c r="D1085" s="4">
        <v>749000</v>
      </c>
      <c r="E1085" s="3">
        <v>1199</v>
      </c>
      <c r="F1085" s="3">
        <v>3</v>
      </c>
      <c r="G1085" s="3" t="s">
        <v>10</v>
      </c>
      <c r="H1085" s="3" t="s">
        <v>27</v>
      </c>
      <c r="I1085" s="3">
        <v>5</v>
      </c>
      <c r="J1085" s="3" t="s">
        <v>17</v>
      </c>
      <c r="K1085" s="18">
        <v>86</v>
      </c>
      <c r="L1085" s="16">
        <v>113</v>
      </c>
      <c r="M1085" s="6" t="str" cm="1">
        <f t="array" ref="M1085">_xlfn.IFS(L1085&lt;100,"Economy",L1085&lt;200,"Standard",L1085&lt;350,"Powerful",L1085&lt;500,"High Performance",L1085&lt;800,"Sports Performance",L1085&gt;=800,"Super Performance")</f>
        <v>Standard</v>
      </c>
    </row>
    <row r="1086" spans="1:13" x14ac:dyDescent="0.25">
      <c r="A1086" s="5" t="s">
        <v>93</v>
      </c>
      <c r="B1086" s="3" t="s">
        <v>448</v>
      </c>
      <c r="C1086" s="3" t="s">
        <v>1153</v>
      </c>
      <c r="D1086" s="4">
        <v>607841</v>
      </c>
      <c r="E1086" s="3">
        <v>1197</v>
      </c>
      <c r="F1086" s="3">
        <v>4</v>
      </c>
      <c r="G1086" s="3" t="s">
        <v>10</v>
      </c>
      <c r="H1086" s="3" t="s">
        <v>11</v>
      </c>
      <c r="I1086" s="3">
        <v>5</v>
      </c>
      <c r="J1086" s="3" t="s">
        <v>17</v>
      </c>
      <c r="K1086" s="18">
        <v>83</v>
      </c>
      <c r="L1086" s="16">
        <v>113</v>
      </c>
      <c r="M1086" s="6" t="str" cm="1">
        <f t="array" ref="M1086">_xlfn.IFS(L1086&lt;100,"Economy",L1086&lt;200,"Standard",L1086&lt;350,"Powerful",L1086&lt;500,"High Performance",L1086&lt;800,"Sports Performance",L1086&gt;=800,"Super Performance")</f>
        <v>Standard</v>
      </c>
    </row>
    <row r="1087" spans="1:13" x14ac:dyDescent="0.25">
      <c r="A1087" s="5" t="s">
        <v>93</v>
      </c>
      <c r="B1087" s="3" t="s">
        <v>448</v>
      </c>
      <c r="C1087" s="3" t="s">
        <v>1155</v>
      </c>
      <c r="D1087" s="4">
        <v>560841</v>
      </c>
      <c r="E1087" s="3">
        <v>1197</v>
      </c>
      <c r="F1087" s="3">
        <v>4</v>
      </c>
      <c r="G1087" s="3" t="s">
        <v>10</v>
      </c>
      <c r="H1087" s="3" t="s">
        <v>11</v>
      </c>
      <c r="I1087" s="3">
        <v>5</v>
      </c>
      <c r="J1087" s="3" t="s">
        <v>12</v>
      </c>
      <c r="K1087" s="18">
        <v>83</v>
      </c>
      <c r="L1087" s="16">
        <v>113</v>
      </c>
      <c r="M1087" s="6" t="str" cm="1">
        <f t="array" ref="M1087">_xlfn.IFS(L1087&lt;100,"Economy",L1087&lt;200,"Standard",L1087&lt;350,"Powerful",L1087&lt;500,"High Performance",L1087&lt;800,"Sports Performance",L1087&gt;=800,"Super Performance")</f>
        <v>Standard</v>
      </c>
    </row>
    <row r="1088" spans="1:13" x14ac:dyDescent="0.25">
      <c r="A1088" s="5" t="s">
        <v>93</v>
      </c>
      <c r="B1088" s="3" t="s">
        <v>712</v>
      </c>
      <c r="C1088" s="3" t="s">
        <v>97</v>
      </c>
      <c r="D1088" s="4">
        <v>519000</v>
      </c>
      <c r="E1088" s="3">
        <v>1197</v>
      </c>
      <c r="F1088" s="3">
        <v>4</v>
      </c>
      <c r="G1088" s="3" t="s">
        <v>10</v>
      </c>
      <c r="H1088" s="3" t="s">
        <v>11</v>
      </c>
      <c r="I1088" s="3">
        <v>5</v>
      </c>
      <c r="J1088" s="3" t="s">
        <v>12</v>
      </c>
      <c r="K1088" s="18">
        <v>83</v>
      </c>
      <c r="L1088" s="16">
        <v>113</v>
      </c>
      <c r="M1088" s="6" t="str" cm="1">
        <f t="array" ref="M1088">_xlfn.IFS(L1088&lt;100,"Economy",L1088&lt;200,"Standard",L1088&lt;350,"Powerful",L1088&lt;500,"High Performance",L1088&lt;800,"Sports Performance",L1088&gt;=800,"Super Performance")</f>
        <v>Standard</v>
      </c>
    </row>
    <row r="1089" spans="1:13" x14ac:dyDescent="0.25">
      <c r="A1089" s="5" t="s">
        <v>22</v>
      </c>
      <c r="B1089" s="3" t="s">
        <v>631</v>
      </c>
      <c r="C1089" s="3" t="s">
        <v>1353</v>
      </c>
      <c r="D1089" s="4">
        <v>744000</v>
      </c>
      <c r="E1089" s="3">
        <v>1199</v>
      </c>
      <c r="F1089" s="3">
        <v>3</v>
      </c>
      <c r="G1089" s="3" t="s">
        <v>10</v>
      </c>
      <c r="H1089" s="3" t="s">
        <v>11</v>
      </c>
      <c r="I1089" s="3">
        <v>5</v>
      </c>
      <c r="J1089" s="3" t="s">
        <v>12</v>
      </c>
      <c r="K1089" s="18">
        <v>86</v>
      </c>
      <c r="L1089" s="16">
        <v>113</v>
      </c>
      <c r="M1089" s="6" t="str" cm="1">
        <f t="array" ref="M1089">_xlfn.IFS(L1089&lt;100,"Economy",L1089&lt;200,"Standard",L1089&lt;350,"Powerful",L1089&lt;500,"High Performance",L1089&lt;800,"Sports Performance",L1089&gt;=800,"Super Performance")</f>
        <v>Standard</v>
      </c>
    </row>
    <row r="1090" spans="1:13" x14ac:dyDescent="0.25">
      <c r="A1090" s="5" t="s">
        <v>22</v>
      </c>
      <c r="B1090" s="3" t="s">
        <v>631</v>
      </c>
      <c r="C1090" s="3" t="s">
        <v>459</v>
      </c>
      <c r="D1090" s="4">
        <v>615000</v>
      </c>
      <c r="E1090" s="3">
        <v>1199</v>
      </c>
      <c r="F1090" s="3">
        <v>3</v>
      </c>
      <c r="G1090" s="3" t="s">
        <v>10</v>
      </c>
      <c r="H1090" s="3" t="s">
        <v>11</v>
      </c>
      <c r="I1090" s="3">
        <v>5</v>
      </c>
      <c r="J1090" s="3" t="s">
        <v>12</v>
      </c>
      <c r="K1090" s="18">
        <v>86</v>
      </c>
      <c r="L1090" s="16">
        <v>113</v>
      </c>
      <c r="M1090" s="6" t="str" cm="1">
        <f t="array" ref="M1090">_xlfn.IFS(L1090&lt;100,"Economy",L1090&lt;200,"Standard",L1090&lt;350,"Powerful",L1090&lt;500,"High Performance",L1090&lt;800,"Sports Performance",L1090&gt;=800,"Super Performance")</f>
        <v>Standard</v>
      </c>
    </row>
    <row r="1091" spans="1:13" x14ac:dyDescent="0.25">
      <c r="A1091" s="5" t="s">
        <v>22</v>
      </c>
      <c r="B1091" s="3" t="s">
        <v>631</v>
      </c>
      <c r="C1091" s="3" t="s">
        <v>458</v>
      </c>
      <c r="D1091" s="4">
        <v>684000</v>
      </c>
      <c r="E1091" s="3">
        <v>1199</v>
      </c>
      <c r="F1091" s="3">
        <v>3</v>
      </c>
      <c r="G1091" s="3" t="s">
        <v>10</v>
      </c>
      <c r="H1091" s="3" t="s">
        <v>11</v>
      </c>
      <c r="I1091" s="3">
        <v>5</v>
      </c>
      <c r="J1091" s="3" t="s">
        <v>12</v>
      </c>
      <c r="K1091" s="18">
        <v>86</v>
      </c>
      <c r="L1091" s="16">
        <v>113</v>
      </c>
      <c r="M1091" s="6" t="str" cm="1">
        <f t="array" ref="M1091">_xlfn.IFS(L1091&lt;100,"Economy",L1091&lt;200,"Standard",L1091&lt;350,"Powerful",L1091&lt;500,"High Performance",L1091&lt;800,"Sports Performance",L1091&gt;=800,"Super Performance")</f>
        <v>Standard</v>
      </c>
    </row>
    <row r="1092" spans="1:13" x14ac:dyDescent="0.25">
      <c r="A1092" s="5" t="s">
        <v>22</v>
      </c>
      <c r="B1092" s="3" t="s">
        <v>631</v>
      </c>
      <c r="C1092" s="3" t="s">
        <v>1355</v>
      </c>
      <c r="D1092" s="4">
        <v>769000</v>
      </c>
      <c r="E1092" s="3">
        <v>1199</v>
      </c>
      <c r="F1092" s="3">
        <v>3</v>
      </c>
      <c r="G1092" s="3" t="s">
        <v>10</v>
      </c>
      <c r="H1092" s="3" t="s">
        <v>11</v>
      </c>
      <c r="I1092" s="3">
        <v>5</v>
      </c>
      <c r="J1092" s="3" t="s">
        <v>12</v>
      </c>
      <c r="K1092" s="18">
        <v>86</v>
      </c>
      <c r="L1092" s="16">
        <v>113</v>
      </c>
      <c r="M1092" s="6" t="str" cm="1">
        <f t="array" ref="M1092">_xlfn.IFS(L1092&lt;100,"Economy",L1092&lt;200,"Standard",L1092&lt;350,"Powerful",L1092&lt;500,"High Performance",L1092&lt;800,"Sports Performance",L1092&gt;=800,"Super Performance")</f>
        <v>Standard</v>
      </c>
    </row>
    <row r="1093" spans="1:13" x14ac:dyDescent="0.25">
      <c r="A1093" s="5" t="s">
        <v>22</v>
      </c>
      <c r="B1093" s="3" t="s">
        <v>1137</v>
      </c>
      <c r="C1093" s="3" t="s">
        <v>1356</v>
      </c>
      <c r="D1093" s="4">
        <v>610000</v>
      </c>
      <c r="E1093" s="3">
        <v>1199</v>
      </c>
      <c r="F1093" s="3">
        <v>3</v>
      </c>
      <c r="G1093" s="3" t="s">
        <v>10</v>
      </c>
      <c r="H1093" s="3" t="s">
        <v>27</v>
      </c>
      <c r="I1093" s="3">
        <v>5</v>
      </c>
      <c r="J1093" s="3" t="s">
        <v>12</v>
      </c>
      <c r="K1093" s="18">
        <v>86</v>
      </c>
      <c r="L1093" s="16">
        <v>113</v>
      </c>
      <c r="M1093" s="6" t="str" cm="1">
        <f t="array" ref="M1093">_xlfn.IFS(L1093&lt;100,"Economy",L1093&lt;200,"Standard",L1093&lt;350,"Powerful",L1093&lt;500,"High Performance",L1093&lt;800,"Sports Performance",L1093&gt;=800,"Super Performance")</f>
        <v>Standard</v>
      </c>
    </row>
    <row r="1094" spans="1:13" x14ac:dyDescent="0.25">
      <c r="A1094" s="5" t="s">
        <v>22</v>
      </c>
      <c r="B1094" s="3" t="s">
        <v>1137</v>
      </c>
      <c r="C1094" s="3" t="s">
        <v>24</v>
      </c>
      <c r="D1094" s="4">
        <v>575000</v>
      </c>
      <c r="E1094" s="3">
        <v>1199</v>
      </c>
      <c r="F1094" s="3">
        <v>3</v>
      </c>
      <c r="G1094" s="3" t="s">
        <v>10</v>
      </c>
      <c r="H1094" s="3" t="s">
        <v>27</v>
      </c>
      <c r="I1094" s="3">
        <v>5</v>
      </c>
      <c r="J1094" s="3" t="s">
        <v>12</v>
      </c>
      <c r="K1094" s="18">
        <v>86</v>
      </c>
      <c r="L1094" s="16">
        <v>113</v>
      </c>
      <c r="M1094" s="6" t="str" cm="1">
        <f t="array" ref="M1094">_xlfn.IFS(L1094&lt;100,"Economy",L1094&lt;200,"Standard",L1094&lt;350,"Powerful",L1094&lt;500,"High Performance",L1094&lt;800,"Sports Performance",L1094&gt;=800,"Super Performance")</f>
        <v>Standard</v>
      </c>
    </row>
    <row r="1095" spans="1:13" x14ac:dyDescent="0.25">
      <c r="A1095" s="5" t="s">
        <v>22</v>
      </c>
      <c r="B1095" s="3" t="s">
        <v>1137</v>
      </c>
      <c r="C1095" s="3" t="s">
        <v>1358</v>
      </c>
      <c r="D1095" s="4">
        <v>660000</v>
      </c>
      <c r="E1095" s="3">
        <v>1199</v>
      </c>
      <c r="F1095" s="3">
        <v>3</v>
      </c>
      <c r="G1095" s="3" t="s">
        <v>10</v>
      </c>
      <c r="H1095" s="3" t="s">
        <v>27</v>
      </c>
      <c r="I1095" s="3">
        <v>5</v>
      </c>
      <c r="J1095" s="3" t="s">
        <v>17</v>
      </c>
      <c r="K1095" s="18">
        <v>86</v>
      </c>
      <c r="L1095" s="16">
        <v>113</v>
      </c>
      <c r="M1095" s="6" t="str" cm="1">
        <f t="array" ref="M1095">_xlfn.IFS(L1095&lt;100,"Economy",L1095&lt;200,"Standard",L1095&lt;350,"Powerful",L1095&lt;500,"High Performance",L1095&lt;800,"Sports Performance",L1095&gt;=800,"Super Performance")</f>
        <v>Standard</v>
      </c>
    </row>
    <row r="1096" spans="1:13" x14ac:dyDescent="0.25">
      <c r="A1096" s="5" t="s">
        <v>7</v>
      </c>
      <c r="B1096" s="3" t="s">
        <v>863</v>
      </c>
      <c r="C1096" s="3" t="s">
        <v>864</v>
      </c>
      <c r="D1096" s="4">
        <v>655000</v>
      </c>
      <c r="E1096" s="3">
        <v>1197</v>
      </c>
      <c r="F1096" s="3">
        <v>4</v>
      </c>
      <c r="G1096" s="3" t="s">
        <v>10</v>
      </c>
      <c r="H1096" s="3" t="s">
        <v>66</v>
      </c>
      <c r="I1096" s="3">
        <v>5</v>
      </c>
      <c r="J1096" s="3" t="s">
        <v>12</v>
      </c>
      <c r="K1096" s="18">
        <v>82</v>
      </c>
      <c r="L1096" s="16">
        <v>112.7</v>
      </c>
      <c r="M1096" s="6" t="str" cm="1">
        <f t="array" ref="M1096">_xlfn.IFS(L1096&lt;100,"Economy",L1096&lt;200,"Standard",L1096&lt;350,"Powerful",L1096&lt;500,"High Performance",L1096&lt;800,"Sports Performance",L1096&gt;=800,"Super Performance")</f>
        <v>Standard</v>
      </c>
    </row>
    <row r="1097" spans="1:13" x14ac:dyDescent="0.25">
      <c r="A1097" s="5" t="s">
        <v>131</v>
      </c>
      <c r="B1097" s="3" t="s">
        <v>469</v>
      </c>
      <c r="C1097" s="3" t="s">
        <v>470</v>
      </c>
      <c r="D1097" s="4">
        <v>745000</v>
      </c>
      <c r="E1097" s="3">
        <v>1199</v>
      </c>
      <c r="F1097" s="3">
        <v>4</v>
      </c>
      <c r="G1097" s="3" t="s">
        <v>10</v>
      </c>
      <c r="H1097" s="3" t="s">
        <v>11</v>
      </c>
      <c r="I1097" s="3">
        <v>5</v>
      </c>
      <c r="J1097" s="3" t="s">
        <v>12</v>
      </c>
      <c r="K1097" s="18">
        <v>90</v>
      </c>
      <c r="L1097" s="16">
        <v>110</v>
      </c>
      <c r="M1097" s="6" t="str" cm="1">
        <f t="array" ref="M1097">_xlfn.IFS(L1097&lt;100,"Economy",L1097&lt;200,"Standard",L1097&lt;350,"Powerful",L1097&lt;500,"High Performance",L1097&lt;800,"Sports Performance",L1097&gt;=800,"Super Performance")</f>
        <v>Standard</v>
      </c>
    </row>
    <row r="1098" spans="1:13" x14ac:dyDescent="0.25">
      <c r="A1098" s="5" t="s">
        <v>131</v>
      </c>
      <c r="B1098" s="3" t="s">
        <v>469</v>
      </c>
      <c r="C1098" s="3" t="s">
        <v>471</v>
      </c>
      <c r="D1098" s="4">
        <v>909000</v>
      </c>
      <c r="E1098" s="3">
        <v>1199</v>
      </c>
      <c r="F1098" s="3">
        <v>4</v>
      </c>
      <c r="G1098" s="3" t="s">
        <v>10</v>
      </c>
      <c r="H1098" s="3" t="s">
        <v>11</v>
      </c>
      <c r="I1098" s="3">
        <v>5</v>
      </c>
      <c r="J1098" s="3" t="s">
        <v>30</v>
      </c>
      <c r="K1098" s="18">
        <v>90</v>
      </c>
      <c r="L1098" s="16">
        <v>110</v>
      </c>
      <c r="M1098" s="6" t="str" cm="1">
        <f t="array" ref="M1098">_xlfn.IFS(L1098&lt;100,"Economy",L1098&lt;200,"Standard",L1098&lt;350,"Powerful",L1098&lt;500,"High Performance",L1098&lt;800,"Sports Performance",L1098&gt;=800,"Super Performance")</f>
        <v>Standard</v>
      </c>
    </row>
    <row r="1099" spans="1:13" x14ac:dyDescent="0.25">
      <c r="A1099" s="5" t="s">
        <v>131</v>
      </c>
      <c r="B1099" s="3" t="s">
        <v>469</v>
      </c>
      <c r="C1099" s="3" t="s">
        <v>472</v>
      </c>
      <c r="D1099" s="4">
        <v>789000</v>
      </c>
      <c r="E1099" s="3">
        <v>1199</v>
      </c>
      <c r="F1099" s="3">
        <v>4</v>
      </c>
      <c r="G1099" s="3" t="s">
        <v>10</v>
      </c>
      <c r="H1099" s="3" t="s">
        <v>11</v>
      </c>
      <c r="I1099" s="3">
        <v>5</v>
      </c>
      <c r="J1099" s="3" t="s">
        <v>12</v>
      </c>
      <c r="K1099" s="18">
        <v>90</v>
      </c>
      <c r="L1099" s="16">
        <v>110</v>
      </c>
      <c r="M1099" s="6" t="str" cm="1">
        <f t="array" ref="M1099">_xlfn.IFS(L1099&lt;100,"Economy",L1099&lt;200,"Standard",L1099&lt;350,"Powerful",L1099&lt;500,"High Performance",L1099&lt;800,"Sports Performance",L1099&gt;=800,"Super Performance")</f>
        <v>Standard</v>
      </c>
    </row>
    <row r="1100" spans="1:13" x14ac:dyDescent="0.25">
      <c r="A1100" s="5" t="s">
        <v>131</v>
      </c>
      <c r="B1100" s="3" t="s">
        <v>469</v>
      </c>
      <c r="C1100" s="3" t="s">
        <v>61</v>
      </c>
      <c r="D1100" s="4">
        <v>865000</v>
      </c>
      <c r="E1100" s="3">
        <v>1199</v>
      </c>
      <c r="F1100" s="3">
        <v>4</v>
      </c>
      <c r="G1100" s="3" t="s">
        <v>10</v>
      </c>
      <c r="H1100" s="3" t="s">
        <v>11</v>
      </c>
      <c r="I1100" s="3">
        <v>5</v>
      </c>
      <c r="J1100" s="3" t="s">
        <v>30</v>
      </c>
      <c r="K1100" s="18">
        <v>90</v>
      </c>
      <c r="L1100" s="16">
        <v>110</v>
      </c>
      <c r="M1100" s="6" t="str" cm="1">
        <f t="array" ref="M1100">_xlfn.IFS(L1100&lt;100,"Economy",L1100&lt;200,"Standard",L1100&lt;350,"Powerful",L1100&lt;500,"High Performance",L1100&lt;800,"Sports Performance",L1100&gt;=800,"Super Performance")</f>
        <v>Standard</v>
      </c>
    </row>
    <row r="1101" spans="1:13" x14ac:dyDescent="0.25">
      <c r="A1101" s="5" t="s">
        <v>131</v>
      </c>
      <c r="B1101" s="3" t="s">
        <v>395</v>
      </c>
      <c r="C1101" s="3" t="s">
        <v>472</v>
      </c>
      <c r="D1101" s="4">
        <v>925000</v>
      </c>
      <c r="E1101" s="3">
        <v>1199</v>
      </c>
      <c r="F1101" s="3">
        <v>4</v>
      </c>
      <c r="G1101" s="3" t="s">
        <v>10</v>
      </c>
      <c r="H1101" s="3" t="s">
        <v>66</v>
      </c>
      <c r="I1101" s="3">
        <v>5</v>
      </c>
      <c r="J1101" s="3" t="s">
        <v>12</v>
      </c>
      <c r="K1101" s="18">
        <v>90</v>
      </c>
      <c r="L1101" s="16">
        <v>110</v>
      </c>
      <c r="M1101" s="6" t="str" cm="1">
        <f t="array" ref="M1101">_xlfn.IFS(L1101&lt;100,"Economy",L1101&lt;200,"Standard",L1101&lt;350,"Powerful",L1101&lt;500,"High Performance",L1101&lt;800,"Sports Performance",L1101&gt;=800,"Super Performance")</f>
        <v>Standard</v>
      </c>
    </row>
    <row r="1102" spans="1:13" x14ac:dyDescent="0.25">
      <c r="A1102" s="5" t="s">
        <v>131</v>
      </c>
      <c r="B1102" s="3" t="s">
        <v>395</v>
      </c>
      <c r="C1102" s="3" t="s">
        <v>498</v>
      </c>
      <c r="D1102" s="4">
        <v>815000</v>
      </c>
      <c r="E1102" s="3">
        <v>1199</v>
      </c>
      <c r="F1102" s="3">
        <v>4</v>
      </c>
      <c r="G1102" s="3" t="s">
        <v>10</v>
      </c>
      <c r="H1102" s="3" t="s">
        <v>66</v>
      </c>
      <c r="I1102" s="3">
        <v>5</v>
      </c>
      <c r="J1102" s="3" t="s">
        <v>12</v>
      </c>
      <c r="K1102" s="18">
        <v>90</v>
      </c>
      <c r="L1102" s="16">
        <v>110</v>
      </c>
      <c r="M1102" s="6" t="str" cm="1">
        <f t="array" ref="M1102">_xlfn.IFS(L1102&lt;100,"Economy",L1102&lt;200,"Standard",L1102&lt;350,"Powerful",L1102&lt;500,"High Performance",L1102&lt;800,"Sports Performance",L1102&gt;=800,"Super Performance")</f>
        <v>Standard</v>
      </c>
    </row>
    <row r="1103" spans="1:13" x14ac:dyDescent="0.25">
      <c r="A1103" s="5" t="s">
        <v>131</v>
      </c>
      <c r="B1103" s="3" t="s">
        <v>395</v>
      </c>
      <c r="C1103" s="3" t="s">
        <v>500</v>
      </c>
      <c r="D1103" s="4">
        <v>808050</v>
      </c>
      <c r="E1103" s="3">
        <v>1199</v>
      </c>
      <c r="F1103" s="3">
        <v>4</v>
      </c>
      <c r="G1103" s="3" t="s">
        <v>10</v>
      </c>
      <c r="H1103" s="3" t="s">
        <v>66</v>
      </c>
      <c r="I1103" s="3">
        <v>5</v>
      </c>
      <c r="J1103" s="3" t="s">
        <v>12</v>
      </c>
      <c r="K1103" s="18">
        <v>90</v>
      </c>
      <c r="L1103" s="16">
        <v>110</v>
      </c>
      <c r="M1103" s="6" t="str" cm="1">
        <f t="array" ref="M1103">_xlfn.IFS(L1103&lt;100,"Economy",L1103&lt;200,"Standard",L1103&lt;350,"Powerful",L1103&lt;500,"High Performance",L1103&lt;800,"Sports Performance",L1103&gt;=800,"Super Performance")</f>
        <v>Standard</v>
      </c>
    </row>
    <row r="1104" spans="1:13" x14ac:dyDescent="0.25">
      <c r="A1104" s="5" t="s">
        <v>131</v>
      </c>
      <c r="B1104" s="3" t="s">
        <v>395</v>
      </c>
      <c r="C1104" s="3" t="s">
        <v>501</v>
      </c>
      <c r="D1104" s="4">
        <v>935050</v>
      </c>
      <c r="E1104" s="3">
        <v>1199</v>
      </c>
      <c r="F1104" s="3">
        <v>4</v>
      </c>
      <c r="G1104" s="3" t="s">
        <v>10</v>
      </c>
      <c r="H1104" s="3" t="s">
        <v>66</v>
      </c>
      <c r="I1104" s="3">
        <v>5</v>
      </c>
      <c r="J1104" s="3" t="s">
        <v>12</v>
      </c>
      <c r="K1104" s="18">
        <v>90</v>
      </c>
      <c r="L1104" s="16">
        <v>110</v>
      </c>
      <c r="M1104" s="6" t="str" cm="1">
        <f t="array" ref="M1104">_xlfn.IFS(L1104&lt;100,"Economy",L1104&lt;200,"Standard",L1104&lt;350,"Powerful",L1104&lt;500,"High Performance",L1104&lt;800,"Sports Performance",L1104&gt;=800,"Super Performance")</f>
        <v>Standard</v>
      </c>
    </row>
    <row r="1105" spans="1:13" x14ac:dyDescent="0.25">
      <c r="A1105" s="5" t="s">
        <v>131</v>
      </c>
      <c r="B1105" s="3" t="s">
        <v>469</v>
      </c>
      <c r="C1105" s="3" t="s">
        <v>705</v>
      </c>
      <c r="D1105" s="4">
        <v>928000</v>
      </c>
      <c r="E1105" s="3">
        <v>1199</v>
      </c>
      <c r="F1105" s="3">
        <v>4</v>
      </c>
      <c r="G1105" s="3" t="s">
        <v>10</v>
      </c>
      <c r="H1105" s="3" t="s">
        <v>11</v>
      </c>
      <c r="I1105" s="3">
        <v>5</v>
      </c>
      <c r="J1105" s="3" t="s">
        <v>30</v>
      </c>
      <c r="K1105" s="18">
        <v>89</v>
      </c>
      <c r="L1105" s="16">
        <v>110</v>
      </c>
      <c r="M1105" s="6" t="str" cm="1">
        <f t="array" ref="M1105">_xlfn.IFS(L1105&lt;100,"Economy",L1105&lt;200,"Standard",L1105&lt;350,"Powerful",L1105&lt;500,"High Performance",L1105&lt;800,"Sports Performance",L1105&gt;=800,"Super Performance")</f>
        <v>Standard</v>
      </c>
    </row>
    <row r="1106" spans="1:13" x14ac:dyDescent="0.25">
      <c r="A1106" s="5" t="s">
        <v>131</v>
      </c>
      <c r="B1106" s="3" t="s">
        <v>844</v>
      </c>
      <c r="C1106" s="3" t="s">
        <v>845</v>
      </c>
      <c r="D1106" s="4">
        <v>763000</v>
      </c>
      <c r="E1106" s="3">
        <v>1199</v>
      </c>
      <c r="F1106" s="3">
        <v>4</v>
      </c>
      <c r="G1106" s="3" t="s">
        <v>10</v>
      </c>
      <c r="H1106" s="3" t="s">
        <v>27</v>
      </c>
      <c r="I1106" s="3">
        <v>5</v>
      </c>
      <c r="J1106" s="3" t="s">
        <v>30</v>
      </c>
      <c r="K1106" s="18">
        <v>90</v>
      </c>
      <c r="L1106" s="16">
        <v>110</v>
      </c>
      <c r="M1106" s="6" t="str" cm="1">
        <f t="array" ref="M1106">_xlfn.IFS(L1106&lt;100,"Economy",L1106&lt;200,"Standard",L1106&lt;350,"Powerful",L1106&lt;500,"High Performance",L1106&lt;800,"Sports Performance",L1106&gt;=800,"Super Performance")</f>
        <v>Standard</v>
      </c>
    </row>
    <row r="1107" spans="1:13" x14ac:dyDescent="0.25">
      <c r="A1107" s="5" t="s">
        <v>131</v>
      </c>
      <c r="B1107" s="3" t="s">
        <v>844</v>
      </c>
      <c r="C1107" s="3" t="s">
        <v>847</v>
      </c>
      <c r="D1107" s="4">
        <v>593000</v>
      </c>
      <c r="E1107" s="3">
        <v>1199</v>
      </c>
      <c r="F1107" s="3">
        <v>4</v>
      </c>
      <c r="G1107" s="3" t="s">
        <v>10</v>
      </c>
      <c r="H1107" s="3" t="s">
        <v>27</v>
      </c>
      <c r="I1107" s="3">
        <v>5</v>
      </c>
      <c r="J1107" s="3" t="s">
        <v>12</v>
      </c>
      <c r="K1107" s="18">
        <v>90</v>
      </c>
      <c r="L1107" s="16">
        <v>110</v>
      </c>
      <c r="M1107" s="6" t="str" cm="1">
        <f t="array" ref="M1107">_xlfn.IFS(L1107&lt;100,"Economy",L1107&lt;200,"Standard",L1107&lt;350,"Powerful",L1107&lt;500,"High Performance",L1107&lt;800,"Sports Performance",L1107&gt;=800,"Super Performance")</f>
        <v>Standard</v>
      </c>
    </row>
    <row r="1108" spans="1:13" x14ac:dyDescent="0.25">
      <c r="A1108" s="5" t="s">
        <v>131</v>
      </c>
      <c r="B1108" s="3" t="s">
        <v>844</v>
      </c>
      <c r="C1108" s="3" t="s">
        <v>849</v>
      </c>
      <c r="D1108" s="4">
        <v>823000</v>
      </c>
      <c r="E1108" s="3">
        <v>1199</v>
      </c>
      <c r="F1108" s="3">
        <v>4</v>
      </c>
      <c r="G1108" s="3" t="s">
        <v>10</v>
      </c>
      <c r="H1108" s="3" t="s">
        <v>27</v>
      </c>
      <c r="I1108" s="3">
        <v>5</v>
      </c>
      <c r="J1108" s="3" t="s">
        <v>30</v>
      </c>
      <c r="K1108" s="18">
        <v>90</v>
      </c>
      <c r="L1108" s="16">
        <v>110</v>
      </c>
      <c r="M1108" s="6" t="str" cm="1">
        <f t="array" ref="M1108">_xlfn.IFS(L1108&lt;100,"Economy",L1108&lt;200,"Standard",L1108&lt;350,"Powerful",L1108&lt;500,"High Performance",L1108&lt;800,"Sports Performance",L1108&gt;=800,"Super Performance")</f>
        <v>Standard</v>
      </c>
    </row>
    <row r="1109" spans="1:13" x14ac:dyDescent="0.25">
      <c r="A1109" s="5" t="s">
        <v>131</v>
      </c>
      <c r="B1109" s="3" t="s">
        <v>844</v>
      </c>
      <c r="C1109" s="3" t="s">
        <v>854</v>
      </c>
      <c r="D1109" s="4">
        <v>781000</v>
      </c>
      <c r="E1109" s="3">
        <v>1199</v>
      </c>
      <c r="F1109" s="3">
        <v>4</v>
      </c>
      <c r="G1109" s="3" t="s">
        <v>10</v>
      </c>
      <c r="H1109" s="3" t="s">
        <v>27</v>
      </c>
      <c r="I1109" s="3">
        <v>5</v>
      </c>
      <c r="J1109" s="3" t="s">
        <v>12</v>
      </c>
      <c r="K1109" s="18">
        <v>90</v>
      </c>
      <c r="L1109" s="16">
        <v>110</v>
      </c>
      <c r="M1109" s="6" t="str" cm="1">
        <f t="array" ref="M1109">_xlfn.IFS(L1109&lt;100,"Economy",L1109&lt;200,"Standard",L1109&lt;350,"Powerful",L1109&lt;500,"High Performance",L1109&lt;800,"Sports Performance",L1109&gt;=800,"Super Performance")</f>
        <v>Standard</v>
      </c>
    </row>
    <row r="1110" spans="1:13" x14ac:dyDescent="0.25">
      <c r="A1110" s="5" t="s">
        <v>131</v>
      </c>
      <c r="B1110" s="3" t="s">
        <v>844</v>
      </c>
      <c r="C1110" s="3" t="s">
        <v>855</v>
      </c>
      <c r="D1110" s="4">
        <v>733000</v>
      </c>
      <c r="E1110" s="3">
        <v>1199</v>
      </c>
      <c r="F1110" s="3">
        <v>4</v>
      </c>
      <c r="G1110" s="3" t="s">
        <v>10</v>
      </c>
      <c r="H1110" s="3" t="s">
        <v>27</v>
      </c>
      <c r="I1110" s="3">
        <v>5</v>
      </c>
      <c r="J1110" s="3" t="s">
        <v>12</v>
      </c>
      <c r="K1110" s="18">
        <v>90</v>
      </c>
      <c r="L1110" s="16">
        <v>110</v>
      </c>
      <c r="M1110" s="6" t="str" cm="1">
        <f t="array" ref="M1110">_xlfn.IFS(L1110&lt;100,"Economy",L1110&lt;200,"Standard",L1110&lt;350,"Powerful",L1110&lt;500,"High Performance",L1110&lt;800,"Sports Performance",L1110&gt;=800,"Super Performance")</f>
        <v>Standard</v>
      </c>
    </row>
    <row r="1111" spans="1:13" x14ac:dyDescent="0.25">
      <c r="A1111" s="5" t="s">
        <v>131</v>
      </c>
      <c r="B1111" s="3" t="s">
        <v>844</v>
      </c>
      <c r="C1111" s="3" t="s">
        <v>856</v>
      </c>
      <c r="D1111" s="4">
        <v>673000</v>
      </c>
      <c r="E1111" s="3">
        <v>1198</v>
      </c>
      <c r="F1111" s="3">
        <v>4</v>
      </c>
      <c r="G1111" s="3" t="s">
        <v>10</v>
      </c>
      <c r="H1111" s="3" t="s">
        <v>27</v>
      </c>
      <c r="I1111" s="3">
        <v>5</v>
      </c>
      <c r="J1111" s="3" t="s">
        <v>12</v>
      </c>
      <c r="K1111" s="18">
        <v>90</v>
      </c>
      <c r="L1111" s="16">
        <v>110</v>
      </c>
      <c r="M1111" s="6" t="str" cm="1">
        <f t="array" ref="M1111">_xlfn.IFS(L1111&lt;100,"Economy",L1111&lt;200,"Standard",L1111&lt;350,"Powerful",L1111&lt;500,"High Performance",L1111&lt;800,"Sports Performance",L1111&gt;=800,"Super Performance")</f>
        <v>Standard</v>
      </c>
    </row>
    <row r="1112" spans="1:13" x14ac:dyDescent="0.25">
      <c r="A1112" s="5" t="s">
        <v>131</v>
      </c>
      <c r="B1112" s="3" t="s">
        <v>844</v>
      </c>
      <c r="C1112" s="3" t="s">
        <v>501</v>
      </c>
      <c r="D1112" s="4">
        <v>794000</v>
      </c>
      <c r="E1112" s="3">
        <v>1199</v>
      </c>
      <c r="F1112" s="3">
        <v>4</v>
      </c>
      <c r="G1112" s="3" t="s">
        <v>10</v>
      </c>
      <c r="H1112" s="3" t="s">
        <v>27</v>
      </c>
      <c r="I1112" s="3">
        <v>5</v>
      </c>
      <c r="J1112" s="3" t="s">
        <v>12</v>
      </c>
      <c r="K1112" s="18">
        <v>90</v>
      </c>
      <c r="L1112" s="16">
        <v>110</v>
      </c>
      <c r="M1112" s="6" t="str" cm="1">
        <f t="array" ref="M1112">_xlfn.IFS(L1112&lt;100,"Economy",L1112&lt;200,"Standard",L1112&lt;350,"Powerful",L1112&lt;500,"High Performance",L1112&lt;800,"Sports Performance",L1112&gt;=800,"Super Performance")</f>
        <v>Standard</v>
      </c>
    </row>
    <row r="1113" spans="1:13" x14ac:dyDescent="0.25">
      <c r="A1113" s="5" t="s">
        <v>131</v>
      </c>
      <c r="B1113" s="3" t="s">
        <v>844</v>
      </c>
      <c r="C1113" s="3" t="s">
        <v>858</v>
      </c>
      <c r="D1113" s="4">
        <v>864000</v>
      </c>
      <c r="E1113" s="3">
        <v>1199</v>
      </c>
      <c r="F1113" s="3">
        <v>4</v>
      </c>
      <c r="G1113" s="3" t="s">
        <v>10</v>
      </c>
      <c r="H1113" s="3" t="s">
        <v>27</v>
      </c>
      <c r="I1113" s="3">
        <v>5</v>
      </c>
      <c r="J1113" s="3" t="s">
        <v>30</v>
      </c>
      <c r="K1113" s="18">
        <v>90</v>
      </c>
      <c r="L1113" s="16">
        <v>110</v>
      </c>
      <c r="M1113" s="6" t="str" cm="1">
        <f t="array" ref="M1113">_xlfn.IFS(L1113&lt;100,"Economy",L1113&lt;200,"Standard",L1113&lt;350,"Powerful",L1113&lt;500,"High Performance",L1113&lt;800,"Sports Performance",L1113&gt;=800,"Super Performance")</f>
        <v>Standard</v>
      </c>
    </row>
    <row r="1114" spans="1:13" x14ac:dyDescent="0.25">
      <c r="A1114" s="5" t="s">
        <v>131</v>
      </c>
      <c r="B1114" s="3" t="s">
        <v>844</v>
      </c>
      <c r="C1114" s="3" t="s">
        <v>860</v>
      </c>
      <c r="D1114" s="4">
        <v>877300</v>
      </c>
      <c r="E1114" s="3">
        <v>1199</v>
      </c>
      <c r="F1114" s="3">
        <v>4</v>
      </c>
      <c r="G1114" s="3" t="s">
        <v>10</v>
      </c>
      <c r="H1114" s="3" t="s">
        <v>27</v>
      </c>
      <c r="I1114" s="3">
        <v>5</v>
      </c>
      <c r="J1114" s="3" t="s">
        <v>30</v>
      </c>
      <c r="K1114" s="18">
        <v>90</v>
      </c>
      <c r="L1114" s="16">
        <v>110</v>
      </c>
      <c r="M1114" s="6" t="str" cm="1">
        <f t="array" ref="M1114">_xlfn.IFS(L1114&lt;100,"Economy",L1114&lt;200,"Standard",L1114&lt;350,"Powerful",L1114&lt;500,"High Performance",L1114&lt;800,"Sports Performance",L1114&gt;=800,"Super Performance")</f>
        <v>Standard</v>
      </c>
    </row>
    <row r="1115" spans="1:13" x14ac:dyDescent="0.25">
      <c r="A1115" s="5" t="s">
        <v>131</v>
      </c>
      <c r="B1115" s="3" t="s">
        <v>844</v>
      </c>
      <c r="C1115" s="3" t="s">
        <v>862</v>
      </c>
      <c r="D1115" s="4">
        <v>794300</v>
      </c>
      <c r="E1115" s="3">
        <v>1199</v>
      </c>
      <c r="F1115" s="3">
        <v>4</v>
      </c>
      <c r="G1115" s="3" t="s">
        <v>10</v>
      </c>
      <c r="H1115" s="3" t="s">
        <v>27</v>
      </c>
      <c r="I1115" s="3">
        <v>5</v>
      </c>
      <c r="J1115" s="3" t="s">
        <v>12</v>
      </c>
      <c r="K1115" s="18">
        <v>90</v>
      </c>
      <c r="L1115" s="16">
        <v>110</v>
      </c>
      <c r="M1115" s="6" t="str" cm="1">
        <f t="array" ref="M1115">_xlfn.IFS(L1115&lt;100,"Economy",L1115&lt;200,"Standard",L1115&lt;350,"Powerful",L1115&lt;500,"High Performance",L1115&lt;800,"Sports Performance",L1115&gt;=800,"Super Performance")</f>
        <v>Standard</v>
      </c>
    </row>
    <row r="1116" spans="1:13" x14ac:dyDescent="0.25">
      <c r="A1116" s="5" t="s">
        <v>22</v>
      </c>
      <c r="B1116" s="3" t="s">
        <v>648</v>
      </c>
      <c r="C1116" s="3" t="s">
        <v>649</v>
      </c>
      <c r="D1116" s="4">
        <v>960868</v>
      </c>
      <c r="E1116" s="3" t="s">
        <v>1386</v>
      </c>
      <c r="F1116" s="3">
        <v>0</v>
      </c>
      <c r="G1116" s="3" t="s">
        <v>141</v>
      </c>
      <c r="H1116" s="3" t="s">
        <v>27</v>
      </c>
      <c r="I1116" s="3">
        <v>5</v>
      </c>
      <c r="J1116" s="3" t="s">
        <v>30</v>
      </c>
      <c r="K1116" s="18">
        <v>41.5</v>
      </c>
      <c r="L1116" s="16">
        <v>105</v>
      </c>
      <c r="M1116" s="6" t="str" cm="1">
        <f t="array" ref="M1116">_xlfn.IFS(L1116&lt;100,"Economy",L1116&lt;200,"Standard",L1116&lt;350,"Powerful",L1116&lt;500,"High Performance",L1116&lt;800,"Sports Performance",L1116&gt;=800,"Super Performance")</f>
        <v>Standard</v>
      </c>
    </row>
    <row r="1117" spans="1:13" x14ac:dyDescent="0.25">
      <c r="A1117" s="5" t="s">
        <v>22</v>
      </c>
      <c r="B1117" s="3" t="s">
        <v>648</v>
      </c>
      <c r="C1117" s="3" t="s">
        <v>650</v>
      </c>
      <c r="D1117" s="4">
        <v>975868</v>
      </c>
      <c r="E1117" s="3" t="s">
        <v>1386</v>
      </c>
      <c r="F1117" s="3">
        <v>0</v>
      </c>
      <c r="G1117" s="3" t="s">
        <v>141</v>
      </c>
      <c r="H1117" s="3" t="s">
        <v>27</v>
      </c>
      <c r="I1117" s="3">
        <v>5</v>
      </c>
      <c r="J1117" s="3" t="s">
        <v>30</v>
      </c>
      <c r="K1117" s="18">
        <v>41.5</v>
      </c>
      <c r="L1117" s="16">
        <v>105</v>
      </c>
      <c r="M1117" s="6" t="str" cm="1">
        <f t="array" ref="M1117">_xlfn.IFS(L1117&lt;100,"Economy",L1117&lt;200,"Standard",L1117&lt;350,"Powerful",L1117&lt;500,"High Performance",L1117&lt;800,"Sports Performance",L1117&gt;=800,"Super Performance")</f>
        <v>Standard</v>
      </c>
    </row>
    <row r="1118" spans="1:13" x14ac:dyDescent="0.25">
      <c r="A1118" s="5" t="s">
        <v>22</v>
      </c>
      <c r="B1118" s="3" t="s">
        <v>648</v>
      </c>
      <c r="C1118" s="3" t="s">
        <v>651</v>
      </c>
      <c r="D1118" s="4">
        <v>944175</v>
      </c>
      <c r="E1118" s="3" t="s">
        <v>1386</v>
      </c>
      <c r="F1118" s="3">
        <v>0</v>
      </c>
      <c r="G1118" s="3" t="s">
        <v>141</v>
      </c>
      <c r="H1118" s="3" t="s">
        <v>27</v>
      </c>
      <c r="I1118" s="3">
        <v>5</v>
      </c>
      <c r="J1118" s="3" t="s">
        <v>30</v>
      </c>
      <c r="K1118" s="18">
        <v>41.5</v>
      </c>
      <c r="L1118" s="16">
        <v>105</v>
      </c>
      <c r="M1118" s="6" t="str" cm="1">
        <f t="array" ref="M1118">_xlfn.IFS(L1118&lt;100,"Economy",L1118&lt;200,"Standard",L1118&lt;350,"Powerful",L1118&lt;500,"High Performance",L1118&lt;800,"Sports Performance",L1118&gt;=800,"Super Performance")</f>
        <v>Standard</v>
      </c>
    </row>
    <row r="1119" spans="1:13" x14ac:dyDescent="0.25">
      <c r="A1119" s="5" t="s">
        <v>364</v>
      </c>
      <c r="B1119" s="3" t="s">
        <v>365</v>
      </c>
      <c r="C1119" s="3" t="s">
        <v>366</v>
      </c>
      <c r="D1119" s="4">
        <v>502492</v>
      </c>
      <c r="E1119" s="3">
        <v>1198</v>
      </c>
      <c r="F1119" s="3">
        <v>3</v>
      </c>
      <c r="G1119" s="3" t="s">
        <v>10</v>
      </c>
      <c r="H1119" s="3" t="s">
        <v>11</v>
      </c>
      <c r="I1119" s="3">
        <v>5</v>
      </c>
      <c r="J1119" s="3" t="s">
        <v>12</v>
      </c>
      <c r="K1119" s="18">
        <v>68</v>
      </c>
      <c r="L1119" s="16">
        <v>104</v>
      </c>
      <c r="M1119" s="6" t="str" cm="1">
        <f t="array" ref="M1119">_xlfn.IFS(L1119&lt;100,"Economy",L1119&lt;200,"Standard",L1119&lt;350,"Powerful",L1119&lt;500,"High Performance",L1119&lt;800,"Sports Performance",L1119&gt;=800,"Super Performance")</f>
        <v>Standard</v>
      </c>
    </row>
    <row r="1120" spans="1:13" x14ac:dyDescent="0.25">
      <c r="A1120" s="5" t="s">
        <v>364</v>
      </c>
      <c r="B1120" s="3" t="s">
        <v>365</v>
      </c>
      <c r="C1120" s="3" t="s">
        <v>367</v>
      </c>
      <c r="D1120" s="4">
        <v>499990</v>
      </c>
      <c r="E1120" s="3">
        <v>1198</v>
      </c>
      <c r="F1120" s="3">
        <v>3</v>
      </c>
      <c r="G1120" s="3" t="s">
        <v>10</v>
      </c>
      <c r="H1120" s="3" t="s">
        <v>11</v>
      </c>
      <c r="I1120" s="3">
        <v>5</v>
      </c>
      <c r="J1120" s="3" t="s">
        <v>12</v>
      </c>
      <c r="K1120" s="18">
        <v>68</v>
      </c>
      <c r="L1120" s="16">
        <v>104</v>
      </c>
      <c r="M1120" s="6" t="str" cm="1">
        <f t="array" ref="M1120">_xlfn.IFS(L1120&lt;100,"Economy",L1120&lt;200,"Standard",L1120&lt;350,"Powerful",L1120&lt;500,"High Performance",L1120&lt;800,"Sports Performance",L1120&gt;=800,"Super Performance")</f>
        <v>Standard</v>
      </c>
    </row>
    <row r="1121" spans="1:13" x14ac:dyDescent="0.25">
      <c r="A1121" s="5" t="s">
        <v>364</v>
      </c>
      <c r="B1121" s="3" t="s">
        <v>365</v>
      </c>
      <c r="C1121" s="3" t="s">
        <v>368</v>
      </c>
      <c r="D1121" s="4">
        <v>469990</v>
      </c>
      <c r="E1121" s="3">
        <v>1198</v>
      </c>
      <c r="F1121" s="3">
        <v>3</v>
      </c>
      <c r="G1121" s="3" t="s">
        <v>10</v>
      </c>
      <c r="H1121" s="3" t="s">
        <v>11</v>
      </c>
      <c r="I1121" s="3">
        <v>5</v>
      </c>
      <c r="J1121" s="3" t="s">
        <v>12</v>
      </c>
      <c r="K1121" s="18">
        <v>68</v>
      </c>
      <c r="L1121" s="16">
        <v>104</v>
      </c>
      <c r="M1121" s="6" t="str" cm="1">
        <f t="array" ref="M1121">_xlfn.IFS(L1121&lt;100,"Economy",L1121&lt;200,"Standard",L1121&lt;350,"Powerful",L1121&lt;500,"High Performance",L1121&lt;800,"Sports Performance",L1121&gt;=800,"Super Performance")</f>
        <v>Standard</v>
      </c>
    </row>
    <row r="1122" spans="1:13" x14ac:dyDescent="0.25">
      <c r="A1122" s="5" t="s">
        <v>364</v>
      </c>
      <c r="B1122" s="3" t="s">
        <v>365</v>
      </c>
      <c r="C1122" s="3" t="s">
        <v>369</v>
      </c>
      <c r="D1122" s="4">
        <v>553015</v>
      </c>
      <c r="E1122" s="3">
        <v>1198</v>
      </c>
      <c r="F1122" s="3">
        <v>3</v>
      </c>
      <c r="G1122" s="3" t="s">
        <v>10</v>
      </c>
      <c r="H1122" s="3" t="s">
        <v>11</v>
      </c>
      <c r="I1122" s="3">
        <v>5</v>
      </c>
      <c r="J1122" s="3" t="s">
        <v>12</v>
      </c>
      <c r="K1122" s="18">
        <v>68</v>
      </c>
      <c r="L1122" s="16">
        <v>104</v>
      </c>
      <c r="M1122" s="6" t="str" cm="1">
        <f t="array" ref="M1122">_xlfn.IFS(L1122&lt;100,"Economy",L1122&lt;200,"Standard",L1122&lt;350,"Powerful",L1122&lt;500,"High Performance",L1122&lt;800,"Sports Performance",L1122&gt;=800,"Super Performance")</f>
        <v>Standard</v>
      </c>
    </row>
    <row r="1123" spans="1:13" x14ac:dyDescent="0.25">
      <c r="A1123" s="5" t="s">
        <v>364</v>
      </c>
      <c r="B1123" s="3" t="s">
        <v>365</v>
      </c>
      <c r="C1123" s="3" t="s">
        <v>370</v>
      </c>
      <c r="D1123" s="4">
        <v>618015</v>
      </c>
      <c r="E1123" s="3">
        <v>1198</v>
      </c>
      <c r="F1123" s="3">
        <v>3</v>
      </c>
      <c r="G1123" s="3" t="s">
        <v>10</v>
      </c>
      <c r="H1123" s="3" t="s">
        <v>11</v>
      </c>
      <c r="I1123" s="3">
        <v>5</v>
      </c>
      <c r="J1123" s="3" t="s">
        <v>12</v>
      </c>
      <c r="K1123" s="18">
        <v>78</v>
      </c>
      <c r="L1123" s="16">
        <v>104</v>
      </c>
      <c r="M1123" s="6" t="str" cm="1">
        <f t="array" ref="M1123">_xlfn.IFS(L1123&lt;100,"Economy",L1123&lt;200,"Standard",L1123&lt;350,"Powerful",L1123&lt;500,"High Performance",L1123&lt;800,"Sports Performance",L1123&gt;=800,"Super Performance")</f>
        <v>Standard</v>
      </c>
    </row>
    <row r="1124" spans="1:13" x14ac:dyDescent="0.25">
      <c r="A1124" s="5" t="s">
        <v>330</v>
      </c>
      <c r="B1124" s="3" t="s">
        <v>373</v>
      </c>
      <c r="C1124" s="3" t="s">
        <v>374</v>
      </c>
      <c r="D1124" s="4">
        <v>599950</v>
      </c>
      <c r="E1124" s="3">
        <v>1198</v>
      </c>
      <c r="F1124" s="3">
        <v>3</v>
      </c>
      <c r="G1124" s="3" t="s">
        <v>10</v>
      </c>
      <c r="H1124" s="3" t="s">
        <v>11</v>
      </c>
      <c r="I1124" s="3">
        <v>5</v>
      </c>
      <c r="J1124" s="3" t="s">
        <v>12</v>
      </c>
      <c r="K1124" s="18">
        <v>68</v>
      </c>
      <c r="L1124" s="16">
        <v>104</v>
      </c>
      <c r="M1124" s="6" t="str" cm="1">
        <f t="array" ref="M1124">_xlfn.IFS(L1124&lt;100,"Economy",L1124&lt;200,"Standard",L1124&lt;350,"Powerful",L1124&lt;500,"High Performance",L1124&lt;800,"Sports Performance",L1124&gt;=800,"Super Performance")</f>
        <v>Standard</v>
      </c>
    </row>
    <row r="1125" spans="1:13" x14ac:dyDescent="0.25">
      <c r="A1125" s="5" t="s">
        <v>55</v>
      </c>
      <c r="B1125" s="3" t="s">
        <v>461</v>
      </c>
      <c r="C1125" s="3" t="s">
        <v>462</v>
      </c>
      <c r="D1125" s="4">
        <v>650000</v>
      </c>
      <c r="E1125" s="3">
        <v>1197</v>
      </c>
      <c r="F1125" s="3">
        <v>4</v>
      </c>
      <c r="G1125" s="3" t="s">
        <v>10</v>
      </c>
      <c r="H1125" s="3" t="s">
        <v>11</v>
      </c>
      <c r="I1125" s="3">
        <v>5</v>
      </c>
      <c r="J1125" s="3" t="s">
        <v>12</v>
      </c>
      <c r="K1125" s="18">
        <v>80</v>
      </c>
      <c r="L1125" s="16">
        <v>104</v>
      </c>
      <c r="M1125" s="6" t="str" cm="1">
        <f t="array" ref="M1125">_xlfn.IFS(L1125&lt;100,"Economy",L1125&lt;200,"Standard",L1125&lt;350,"Powerful",L1125&lt;500,"High Performance",L1125&lt;800,"Sports Performance",L1125&gt;=800,"Super Performance")</f>
        <v>Standard</v>
      </c>
    </row>
    <row r="1126" spans="1:13" x14ac:dyDescent="0.25">
      <c r="A1126" s="5" t="s">
        <v>55</v>
      </c>
      <c r="B1126" s="3" t="s">
        <v>461</v>
      </c>
      <c r="C1126" s="3" t="s">
        <v>463</v>
      </c>
      <c r="D1126" s="4">
        <v>668500</v>
      </c>
      <c r="E1126" s="3">
        <v>1197</v>
      </c>
      <c r="F1126" s="3">
        <v>4</v>
      </c>
      <c r="G1126" s="3" t="s">
        <v>10</v>
      </c>
      <c r="H1126" s="3" t="s">
        <v>11</v>
      </c>
      <c r="I1126" s="3">
        <v>5</v>
      </c>
      <c r="J1126" s="3" t="s">
        <v>12</v>
      </c>
      <c r="K1126" s="18">
        <v>80</v>
      </c>
      <c r="L1126" s="16">
        <v>104</v>
      </c>
      <c r="M1126" s="6" t="str" cm="1">
        <f t="array" ref="M1126">_xlfn.IFS(L1126&lt;100,"Economy",L1126&lt;200,"Standard",L1126&lt;350,"Powerful",L1126&lt;500,"High Performance",L1126&lt;800,"Sports Performance",L1126&gt;=800,"Super Performance")</f>
        <v>Standard</v>
      </c>
    </row>
    <row r="1127" spans="1:13" x14ac:dyDescent="0.25">
      <c r="A1127" s="5" t="s">
        <v>364</v>
      </c>
      <c r="B1127" s="3" t="s">
        <v>365</v>
      </c>
      <c r="C1127" s="3" t="s">
        <v>608</v>
      </c>
      <c r="D1127" s="4">
        <v>374990</v>
      </c>
      <c r="E1127" s="3">
        <v>1198</v>
      </c>
      <c r="F1127" s="3">
        <v>3</v>
      </c>
      <c r="G1127" s="3" t="s">
        <v>10</v>
      </c>
      <c r="H1127" s="3" t="s">
        <v>11</v>
      </c>
      <c r="I1127" s="3">
        <v>5</v>
      </c>
      <c r="J1127" s="3" t="s">
        <v>12</v>
      </c>
      <c r="K1127" s="18">
        <v>68</v>
      </c>
      <c r="L1127" s="16">
        <v>104</v>
      </c>
      <c r="M1127" s="6" t="str" cm="1">
        <f t="array" ref="M1127">_xlfn.IFS(L1127&lt;100,"Economy",L1127&lt;200,"Standard",L1127&lt;350,"Powerful",L1127&lt;500,"High Performance",L1127&lt;800,"Sports Performance",L1127&gt;=800,"Super Performance")</f>
        <v>Standard</v>
      </c>
    </row>
    <row r="1128" spans="1:13" x14ac:dyDescent="0.25">
      <c r="A1128" s="5" t="s">
        <v>364</v>
      </c>
      <c r="B1128" s="3" t="s">
        <v>365</v>
      </c>
      <c r="C1128" s="3" t="s">
        <v>609</v>
      </c>
      <c r="D1128" s="4">
        <v>468229</v>
      </c>
      <c r="E1128" s="3">
        <v>1198</v>
      </c>
      <c r="F1128" s="3">
        <v>3</v>
      </c>
      <c r="G1128" s="3" t="s">
        <v>10</v>
      </c>
      <c r="H1128" s="3" t="s">
        <v>11</v>
      </c>
      <c r="I1128" s="3">
        <v>5</v>
      </c>
      <c r="J1128" s="3" t="s">
        <v>12</v>
      </c>
      <c r="K1128" s="18">
        <v>68</v>
      </c>
      <c r="L1128" s="16">
        <v>104</v>
      </c>
      <c r="M1128" s="6" t="str" cm="1">
        <f t="array" ref="M1128">_xlfn.IFS(L1128&lt;100,"Economy",L1128&lt;200,"Standard",L1128&lt;350,"Powerful",L1128&lt;500,"High Performance",L1128&lt;800,"Sports Performance",L1128&gt;=800,"Super Performance")</f>
        <v>Standard</v>
      </c>
    </row>
    <row r="1129" spans="1:13" x14ac:dyDescent="0.25">
      <c r="A1129" s="5" t="s">
        <v>364</v>
      </c>
      <c r="B1129" s="3" t="s">
        <v>365</v>
      </c>
      <c r="C1129" s="3" t="s">
        <v>610</v>
      </c>
      <c r="D1129" s="4">
        <v>528464</v>
      </c>
      <c r="E1129" s="3">
        <v>1198</v>
      </c>
      <c r="F1129" s="3">
        <v>3</v>
      </c>
      <c r="G1129" s="3" t="s">
        <v>10</v>
      </c>
      <c r="H1129" s="3" t="s">
        <v>11</v>
      </c>
      <c r="I1129" s="3">
        <v>5</v>
      </c>
      <c r="J1129" s="3" t="s">
        <v>12</v>
      </c>
      <c r="K1129" s="18">
        <v>68</v>
      </c>
      <c r="L1129" s="16">
        <v>104</v>
      </c>
      <c r="M1129" s="6" t="str" cm="1">
        <f t="array" ref="M1129">_xlfn.IFS(L1129&lt;100,"Economy",L1129&lt;200,"Standard",L1129&lt;350,"Powerful",L1129&lt;500,"High Performance",L1129&lt;800,"Sports Performance",L1129&gt;=800,"Super Performance")</f>
        <v>Standard</v>
      </c>
    </row>
    <row r="1130" spans="1:13" x14ac:dyDescent="0.25">
      <c r="A1130" s="5" t="s">
        <v>364</v>
      </c>
      <c r="B1130" s="3" t="s">
        <v>365</v>
      </c>
      <c r="C1130" s="3" t="s">
        <v>611</v>
      </c>
      <c r="D1130" s="4">
        <v>594464</v>
      </c>
      <c r="E1130" s="3">
        <v>1198</v>
      </c>
      <c r="F1130" s="3">
        <v>3</v>
      </c>
      <c r="G1130" s="3" t="s">
        <v>10</v>
      </c>
      <c r="H1130" s="3" t="s">
        <v>11</v>
      </c>
      <c r="I1130" s="3">
        <v>5</v>
      </c>
      <c r="J1130" s="3" t="s">
        <v>12</v>
      </c>
      <c r="K1130" s="18">
        <v>78</v>
      </c>
      <c r="L1130" s="16">
        <v>104</v>
      </c>
      <c r="M1130" s="6" t="str" cm="1">
        <f t="array" ref="M1130">_xlfn.IFS(L1130&lt;100,"Economy",L1130&lt;200,"Standard",L1130&lt;350,"Powerful",L1130&lt;500,"High Performance",L1130&lt;800,"Sports Performance",L1130&gt;=800,"Super Performance")</f>
        <v>Standard</v>
      </c>
    </row>
    <row r="1131" spans="1:13" x14ac:dyDescent="0.25">
      <c r="A1131" s="5" t="s">
        <v>330</v>
      </c>
      <c r="B1131" s="3" t="s">
        <v>373</v>
      </c>
      <c r="C1131" s="3" t="s">
        <v>613</v>
      </c>
      <c r="D1131" s="4">
        <v>525021</v>
      </c>
      <c r="E1131" s="3">
        <v>1198</v>
      </c>
      <c r="F1131" s="3">
        <v>3</v>
      </c>
      <c r="G1131" s="3" t="s">
        <v>10</v>
      </c>
      <c r="H1131" s="3" t="s">
        <v>11</v>
      </c>
      <c r="I1131" s="3">
        <v>5</v>
      </c>
      <c r="J1131" s="3" t="s">
        <v>12</v>
      </c>
      <c r="K1131" s="18">
        <v>68</v>
      </c>
      <c r="L1131" s="16">
        <v>104</v>
      </c>
      <c r="M1131" s="6" t="str" cm="1">
        <f t="array" ref="M1131">_xlfn.IFS(L1131&lt;100,"Economy",L1131&lt;200,"Standard",L1131&lt;350,"Powerful",L1131&lt;500,"High Performance",L1131&lt;800,"Sports Performance",L1131&gt;=800,"Super Performance")</f>
        <v>Standard</v>
      </c>
    </row>
    <row r="1132" spans="1:13" x14ac:dyDescent="0.25">
      <c r="A1132" s="5" t="s">
        <v>330</v>
      </c>
      <c r="B1132" s="3" t="s">
        <v>373</v>
      </c>
      <c r="C1132" s="3" t="s">
        <v>614</v>
      </c>
      <c r="D1132" s="4">
        <v>563133</v>
      </c>
      <c r="E1132" s="3">
        <v>1198</v>
      </c>
      <c r="F1132" s="3">
        <v>3</v>
      </c>
      <c r="G1132" s="3" t="s">
        <v>10</v>
      </c>
      <c r="H1132" s="3" t="s">
        <v>11</v>
      </c>
      <c r="I1132" s="3">
        <v>5</v>
      </c>
      <c r="J1132" s="3" t="s">
        <v>12</v>
      </c>
      <c r="K1132" s="18">
        <v>68</v>
      </c>
      <c r="L1132" s="16">
        <v>104</v>
      </c>
      <c r="M1132" s="6" t="str" cm="1">
        <f t="array" ref="M1132">_xlfn.IFS(L1132&lt;100,"Economy",L1132&lt;200,"Standard",L1132&lt;350,"Powerful",L1132&lt;500,"High Performance",L1132&lt;800,"Sports Performance",L1132&gt;=800,"Super Performance")</f>
        <v>Standard</v>
      </c>
    </row>
    <row r="1133" spans="1:13" x14ac:dyDescent="0.25">
      <c r="A1133" s="5" t="s">
        <v>330</v>
      </c>
      <c r="B1133" s="3" t="s">
        <v>685</v>
      </c>
      <c r="C1133" s="3" t="s">
        <v>686</v>
      </c>
      <c r="D1133" s="4">
        <v>662880</v>
      </c>
      <c r="E1133" s="3">
        <v>1198</v>
      </c>
      <c r="F1133" s="3">
        <v>3</v>
      </c>
      <c r="G1133" s="3" t="s">
        <v>10</v>
      </c>
      <c r="H1133" s="3" t="s">
        <v>11</v>
      </c>
      <c r="I1133" s="3">
        <v>5</v>
      </c>
      <c r="J1133" s="3" t="s">
        <v>30</v>
      </c>
      <c r="K1133" s="18">
        <v>77</v>
      </c>
      <c r="L1133" s="16">
        <v>104</v>
      </c>
      <c r="M1133" s="6" t="str" cm="1">
        <f t="array" ref="M1133">_xlfn.IFS(L1133&lt;100,"Economy",L1133&lt;200,"Standard",L1133&lt;350,"Powerful",L1133&lt;500,"High Performance",L1133&lt;800,"Sports Performance",L1133&gt;=800,"Super Performance")</f>
        <v>Standard</v>
      </c>
    </row>
    <row r="1134" spans="1:13" x14ac:dyDescent="0.25">
      <c r="A1134" s="5" t="s">
        <v>330</v>
      </c>
      <c r="B1134" s="3" t="s">
        <v>685</v>
      </c>
      <c r="C1134" s="3" t="s">
        <v>337</v>
      </c>
      <c r="D1134" s="4">
        <v>781686</v>
      </c>
      <c r="E1134" s="3">
        <v>1198</v>
      </c>
      <c r="F1134" s="3">
        <v>3</v>
      </c>
      <c r="G1134" s="3" t="s">
        <v>10</v>
      </c>
      <c r="H1134" s="3" t="s">
        <v>11</v>
      </c>
      <c r="I1134" s="3">
        <v>5</v>
      </c>
      <c r="J1134" s="3" t="s">
        <v>30</v>
      </c>
      <c r="K1134" s="18">
        <v>77</v>
      </c>
      <c r="L1134" s="16">
        <v>104</v>
      </c>
      <c r="M1134" s="6" t="str" cm="1">
        <f t="array" ref="M1134">_xlfn.IFS(L1134&lt;100,"Economy",L1134&lt;200,"Standard",L1134&lt;350,"Powerful",L1134&lt;500,"High Performance",L1134&lt;800,"Sports Performance",L1134&gt;=800,"Super Performance")</f>
        <v>Standard</v>
      </c>
    </row>
    <row r="1135" spans="1:13" x14ac:dyDescent="0.25">
      <c r="A1135" s="5" t="s">
        <v>90</v>
      </c>
      <c r="B1135" s="3" t="s">
        <v>897</v>
      </c>
      <c r="C1135" s="3" t="s">
        <v>898</v>
      </c>
      <c r="D1135" s="4">
        <v>555196</v>
      </c>
      <c r="E1135" s="3">
        <v>1198</v>
      </c>
      <c r="F1135" s="3">
        <v>3</v>
      </c>
      <c r="G1135" s="3" t="s">
        <v>10</v>
      </c>
      <c r="H1135" s="3" t="s">
        <v>226</v>
      </c>
      <c r="I1135" s="3">
        <v>7</v>
      </c>
      <c r="J1135" s="3" t="s">
        <v>12</v>
      </c>
      <c r="K1135" s="18">
        <v>68</v>
      </c>
      <c r="L1135" s="16">
        <v>104</v>
      </c>
      <c r="M1135" s="6" t="str" cm="1">
        <f t="array" ref="M1135">_xlfn.IFS(L1135&lt;100,"Economy",L1135&lt;200,"Standard",L1135&lt;350,"Powerful",L1135&lt;500,"High Performance",L1135&lt;800,"Sports Performance",L1135&gt;=800,"Super Performance")</f>
        <v>Standard</v>
      </c>
    </row>
    <row r="1136" spans="1:13" x14ac:dyDescent="0.25">
      <c r="A1136" s="5" t="s">
        <v>90</v>
      </c>
      <c r="B1136" s="3" t="s">
        <v>897</v>
      </c>
      <c r="C1136" s="3" t="s">
        <v>899</v>
      </c>
      <c r="D1136" s="4">
        <v>500575</v>
      </c>
      <c r="E1136" s="3">
        <v>1198</v>
      </c>
      <c r="F1136" s="3">
        <v>3</v>
      </c>
      <c r="G1136" s="3" t="s">
        <v>10</v>
      </c>
      <c r="H1136" s="3" t="s">
        <v>226</v>
      </c>
      <c r="I1136" s="3">
        <v>7</v>
      </c>
      <c r="J1136" s="3" t="s">
        <v>12</v>
      </c>
      <c r="K1136" s="18">
        <v>68</v>
      </c>
      <c r="L1136" s="16">
        <v>104</v>
      </c>
      <c r="M1136" s="6" t="str" cm="1">
        <f t="array" ref="M1136">_xlfn.IFS(L1136&lt;100,"Economy",L1136&lt;200,"Standard",L1136&lt;350,"Powerful",L1136&lt;500,"High Performance",L1136&lt;800,"Sports Performance",L1136&gt;=800,"Super Performance")</f>
        <v>Standard</v>
      </c>
    </row>
    <row r="1137" spans="1:13" x14ac:dyDescent="0.25">
      <c r="A1137" s="5" t="s">
        <v>90</v>
      </c>
      <c r="B1137" s="3" t="s">
        <v>897</v>
      </c>
      <c r="C1137" s="3" t="s">
        <v>997</v>
      </c>
      <c r="D1137" s="4">
        <v>412292</v>
      </c>
      <c r="E1137" s="3">
        <v>1198</v>
      </c>
      <c r="F1137" s="3">
        <v>3</v>
      </c>
      <c r="G1137" s="3" t="s">
        <v>10</v>
      </c>
      <c r="H1137" s="3" t="s">
        <v>226</v>
      </c>
      <c r="I1137" s="3">
        <v>7</v>
      </c>
      <c r="J1137" s="3" t="s">
        <v>12</v>
      </c>
      <c r="K1137" s="18">
        <v>68</v>
      </c>
      <c r="L1137" s="16">
        <v>104</v>
      </c>
      <c r="M1137" s="6" t="str" cm="1">
        <f t="array" ref="M1137">_xlfn.IFS(L1137&lt;100,"Economy",L1137&lt;200,"Standard",L1137&lt;350,"Powerful",L1137&lt;500,"High Performance",L1137&lt;800,"Sports Performance",L1137&gt;=800,"Super Performance")</f>
        <v>Standard</v>
      </c>
    </row>
    <row r="1138" spans="1:13" x14ac:dyDescent="0.25">
      <c r="A1138" s="5" t="s">
        <v>90</v>
      </c>
      <c r="B1138" s="3" t="s">
        <v>897</v>
      </c>
      <c r="C1138" s="3" t="s">
        <v>998</v>
      </c>
      <c r="D1138" s="4">
        <v>552656</v>
      </c>
      <c r="E1138" s="3">
        <v>1198</v>
      </c>
      <c r="F1138" s="3">
        <v>3</v>
      </c>
      <c r="G1138" s="3" t="s">
        <v>10</v>
      </c>
      <c r="H1138" s="3" t="s">
        <v>226</v>
      </c>
      <c r="I1138" s="3">
        <v>7</v>
      </c>
      <c r="J1138" s="3" t="s">
        <v>12</v>
      </c>
      <c r="K1138" s="18">
        <v>68</v>
      </c>
      <c r="L1138" s="16">
        <v>104</v>
      </c>
      <c r="M1138" s="6" t="str" cm="1">
        <f t="array" ref="M1138">_xlfn.IFS(L1138&lt;100,"Economy",L1138&lt;200,"Standard",L1138&lt;350,"Powerful",L1138&lt;500,"High Performance",L1138&lt;800,"Sports Performance",L1138&gt;=800,"Super Performance")</f>
        <v>Standard</v>
      </c>
    </row>
    <row r="1139" spans="1:13" x14ac:dyDescent="0.25">
      <c r="A1139" s="5" t="s">
        <v>90</v>
      </c>
      <c r="B1139" s="3" t="s">
        <v>897</v>
      </c>
      <c r="C1139" s="3" t="s">
        <v>999</v>
      </c>
      <c r="D1139" s="4">
        <v>574448</v>
      </c>
      <c r="E1139" s="3">
        <v>1198</v>
      </c>
      <c r="F1139" s="3">
        <v>3</v>
      </c>
      <c r="G1139" s="3" t="s">
        <v>10</v>
      </c>
      <c r="H1139" s="3" t="s">
        <v>226</v>
      </c>
      <c r="I1139" s="3">
        <v>7</v>
      </c>
      <c r="J1139" s="3" t="s">
        <v>12</v>
      </c>
      <c r="K1139" s="18">
        <v>68</v>
      </c>
      <c r="L1139" s="16">
        <v>104</v>
      </c>
      <c r="M1139" s="6" t="str" cm="1">
        <f t="array" ref="M1139">_xlfn.IFS(L1139&lt;100,"Economy",L1139&lt;200,"Standard",L1139&lt;350,"Powerful",L1139&lt;500,"High Performance",L1139&lt;800,"Sports Performance",L1139&gt;=800,"Super Performance")</f>
        <v>Standard</v>
      </c>
    </row>
    <row r="1140" spans="1:13" x14ac:dyDescent="0.25">
      <c r="A1140" s="5" t="s">
        <v>90</v>
      </c>
      <c r="B1140" s="3" t="s">
        <v>897</v>
      </c>
      <c r="C1140" s="3" t="s">
        <v>1000</v>
      </c>
      <c r="D1140" s="4">
        <v>593361</v>
      </c>
      <c r="E1140" s="3">
        <v>1198</v>
      </c>
      <c r="F1140" s="3">
        <v>3</v>
      </c>
      <c r="G1140" s="3" t="s">
        <v>10</v>
      </c>
      <c r="H1140" s="3" t="s">
        <v>226</v>
      </c>
      <c r="I1140" s="3">
        <v>7</v>
      </c>
      <c r="J1140" s="3" t="s">
        <v>12</v>
      </c>
      <c r="K1140" s="18">
        <v>68</v>
      </c>
      <c r="L1140" s="16">
        <v>104</v>
      </c>
      <c r="M1140" s="6" t="str" cm="1">
        <f t="array" ref="M1140">_xlfn.IFS(L1140&lt;100,"Economy",L1140&lt;200,"Standard",L1140&lt;350,"Powerful",L1140&lt;500,"High Performance",L1140&lt;800,"Sports Performance",L1140&gt;=800,"Super Performance")</f>
        <v>Standard</v>
      </c>
    </row>
    <row r="1141" spans="1:13" x14ac:dyDescent="0.25">
      <c r="A1141" s="5" t="s">
        <v>90</v>
      </c>
      <c r="B1141" s="3" t="s">
        <v>897</v>
      </c>
      <c r="C1141" s="3" t="s">
        <v>1001</v>
      </c>
      <c r="D1141" s="4">
        <v>615153</v>
      </c>
      <c r="E1141" s="3">
        <v>1198</v>
      </c>
      <c r="F1141" s="3">
        <v>3</v>
      </c>
      <c r="G1141" s="3" t="s">
        <v>10</v>
      </c>
      <c r="H1141" s="3" t="s">
        <v>226</v>
      </c>
      <c r="I1141" s="3">
        <v>7</v>
      </c>
      <c r="J1141" s="3" t="s">
        <v>12</v>
      </c>
      <c r="K1141" s="18">
        <v>68</v>
      </c>
      <c r="L1141" s="16">
        <v>104</v>
      </c>
      <c r="M1141" s="6" t="str" cm="1">
        <f t="array" ref="M1141">_xlfn.IFS(L1141&lt;100,"Economy",L1141&lt;200,"Standard",L1141&lt;350,"Powerful",L1141&lt;500,"High Performance",L1141&lt;800,"Sports Performance",L1141&gt;=800,"Super Performance")</f>
        <v>Standard</v>
      </c>
    </row>
    <row r="1142" spans="1:13" x14ac:dyDescent="0.25">
      <c r="A1142" s="5" t="s">
        <v>90</v>
      </c>
      <c r="B1142" s="3" t="s">
        <v>897</v>
      </c>
      <c r="C1142" s="3" t="s">
        <v>1002</v>
      </c>
      <c r="D1142" s="4">
        <v>658361</v>
      </c>
      <c r="E1142" s="3">
        <v>1198</v>
      </c>
      <c r="F1142" s="3">
        <v>3</v>
      </c>
      <c r="G1142" s="3" t="s">
        <v>10</v>
      </c>
      <c r="H1142" s="3" t="s">
        <v>226</v>
      </c>
      <c r="I1142" s="3">
        <v>7</v>
      </c>
      <c r="J1142" s="3" t="s">
        <v>12</v>
      </c>
      <c r="K1142" s="18">
        <v>78</v>
      </c>
      <c r="L1142" s="16">
        <v>104</v>
      </c>
      <c r="M1142" s="6" t="str" cm="1">
        <f t="array" ref="M1142">_xlfn.IFS(L1142&lt;100,"Economy",L1142&lt;200,"Standard",L1142&lt;350,"Powerful",L1142&lt;500,"High Performance",L1142&lt;800,"Sports Performance",L1142&gt;=800,"Super Performance")</f>
        <v>Standard</v>
      </c>
    </row>
    <row r="1143" spans="1:13" x14ac:dyDescent="0.25">
      <c r="A1143" s="5" t="s">
        <v>90</v>
      </c>
      <c r="B1143" s="3" t="s">
        <v>897</v>
      </c>
      <c r="C1143" s="3" t="s">
        <v>1003</v>
      </c>
      <c r="D1143" s="4">
        <v>680153</v>
      </c>
      <c r="E1143" s="3">
        <v>1198</v>
      </c>
      <c r="F1143" s="3">
        <v>3</v>
      </c>
      <c r="G1143" s="3" t="s">
        <v>10</v>
      </c>
      <c r="H1143" s="3" t="s">
        <v>226</v>
      </c>
      <c r="I1143" s="3">
        <v>7</v>
      </c>
      <c r="J1143" s="3" t="s">
        <v>12</v>
      </c>
      <c r="K1143" s="18">
        <v>78</v>
      </c>
      <c r="L1143" s="16">
        <v>104</v>
      </c>
      <c r="M1143" s="6" t="str" cm="1">
        <f t="array" ref="M1143">_xlfn.IFS(L1143&lt;100,"Economy",L1143&lt;200,"Standard",L1143&lt;350,"Powerful",L1143&lt;500,"High Performance",L1143&lt;800,"Sports Performance",L1143&gt;=800,"Super Performance")</f>
        <v>Standard</v>
      </c>
    </row>
    <row r="1144" spans="1:13" x14ac:dyDescent="0.25">
      <c r="A1144" s="5" t="s">
        <v>55</v>
      </c>
      <c r="B1144" s="3" t="s">
        <v>1161</v>
      </c>
      <c r="C1144" s="3" t="s">
        <v>58</v>
      </c>
      <c r="D1144" s="4">
        <v>581000</v>
      </c>
      <c r="E1144" s="3">
        <v>1197</v>
      </c>
      <c r="F1144" s="3">
        <v>4</v>
      </c>
      <c r="G1144" s="3" t="s">
        <v>10</v>
      </c>
      <c r="H1144" s="3" t="s">
        <v>11</v>
      </c>
      <c r="I1144" s="3">
        <v>5</v>
      </c>
      <c r="J1144" s="3" t="s">
        <v>12</v>
      </c>
      <c r="K1144" s="18">
        <v>80</v>
      </c>
      <c r="L1144" s="16">
        <v>104</v>
      </c>
      <c r="M1144" s="6" t="str" cm="1">
        <f t="array" ref="M1144">_xlfn.IFS(L1144&lt;100,"Economy",L1144&lt;200,"Standard",L1144&lt;350,"Powerful",L1144&lt;500,"High Performance",L1144&lt;800,"Sports Performance",L1144&gt;=800,"Super Performance")</f>
        <v>Standard</v>
      </c>
    </row>
    <row r="1145" spans="1:13" x14ac:dyDescent="0.25">
      <c r="A1145" s="5" t="s">
        <v>55</v>
      </c>
      <c r="B1145" s="3" t="s">
        <v>1161</v>
      </c>
      <c r="C1145" s="3" t="s">
        <v>462</v>
      </c>
      <c r="D1145" s="4">
        <v>520300</v>
      </c>
      <c r="E1145" s="3">
        <v>1197</v>
      </c>
      <c r="F1145" s="3">
        <v>4</v>
      </c>
      <c r="G1145" s="3" t="s">
        <v>10</v>
      </c>
      <c r="H1145" s="3" t="s">
        <v>11</v>
      </c>
      <c r="I1145" s="3">
        <v>5</v>
      </c>
      <c r="J1145" s="3" t="s">
        <v>12</v>
      </c>
      <c r="K1145" s="18">
        <v>80</v>
      </c>
      <c r="L1145" s="16">
        <v>104</v>
      </c>
      <c r="M1145" s="6" t="str" cm="1">
        <f t="array" ref="M1145">_xlfn.IFS(L1145&lt;100,"Economy",L1145&lt;200,"Standard",L1145&lt;350,"Powerful",L1145&lt;500,"High Performance",L1145&lt;800,"Sports Performance",L1145&gt;=800,"Super Performance")</f>
        <v>Standard</v>
      </c>
    </row>
    <row r="1146" spans="1:13" x14ac:dyDescent="0.25">
      <c r="A1146" s="5" t="s">
        <v>55</v>
      </c>
      <c r="B1146" s="3" t="s">
        <v>1161</v>
      </c>
      <c r="C1146" s="3" t="s">
        <v>816</v>
      </c>
      <c r="D1146" s="4">
        <v>630000</v>
      </c>
      <c r="E1146" s="3">
        <v>1197</v>
      </c>
      <c r="F1146" s="3">
        <v>4</v>
      </c>
      <c r="G1146" s="3" t="s">
        <v>10</v>
      </c>
      <c r="H1146" s="3" t="s">
        <v>11</v>
      </c>
      <c r="I1146" s="3">
        <v>5</v>
      </c>
      <c r="J1146" s="3" t="s">
        <v>12</v>
      </c>
      <c r="K1146" s="18">
        <v>80</v>
      </c>
      <c r="L1146" s="16">
        <v>104</v>
      </c>
      <c r="M1146" s="6" t="str" cm="1">
        <f t="array" ref="M1146">_xlfn.IFS(L1146&lt;100,"Economy",L1146&lt;200,"Standard",L1146&lt;350,"Powerful",L1146&lt;500,"High Performance",L1146&lt;800,"Sports Performance",L1146&gt;=800,"Super Performance")</f>
        <v>Standard</v>
      </c>
    </row>
    <row r="1147" spans="1:13" x14ac:dyDescent="0.25">
      <c r="A1147" s="5" t="s">
        <v>55</v>
      </c>
      <c r="B1147" s="3" t="s">
        <v>1161</v>
      </c>
      <c r="C1147" s="3" t="s">
        <v>1168</v>
      </c>
      <c r="D1147" s="4">
        <v>597700</v>
      </c>
      <c r="E1147" s="3">
        <v>1197</v>
      </c>
      <c r="F1147" s="3">
        <v>4</v>
      </c>
      <c r="G1147" s="3" t="s">
        <v>10</v>
      </c>
      <c r="H1147" s="3" t="s">
        <v>11</v>
      </c>
      <c r="I1147" s="3">
        <v>5</v>
      </c>
      <c r="J1147" s="3" t="s">
        <v>12</v>
      </c>
      <c r="K1147" s="18">
        <v>80</v>
      </c>
      <c r="L1147" s="16">
        <v>104</v>
      </c>
      <c r="M1147" s="6" t="str" cm="1">
        <f t="array" ref="M1147">_xlfn.IFS(L1147&lt;100,"Economy",L1147&lt;200,"Standard",L1147&lt;350,"Powerful",L1147&lt;500,"High Performance",L1147&lt;800,"Sports Performance",L1147&gt;=800,"Super Performance")</f>
        <v>Standard</v>
      </c>
    </row>
    <row r="1148" spans="1:13" x14ac:dyDescent="0.25">
      <c r="A1148" s="5" t="s">
        <v>55</v>
      </c>
      <c r="B1148" s="3" t="s">
        <v>1161</v>
      </c>
      <c r="C1148" s="3" t="s">
        <v>1169</v>
      </c>
      <c r="D1148" s="4">
        <v>641700</v>
      </c>
      <c r="E1148" s="3">
        <v>1197</v>
      </c>
      <c r="F1148" s="3">
        <v>4</v>
      </c>
      <c r="G1148" s="3" t="s">
        <v>10</v>
      </c>
      <c r="H1148" s="3" t="s">
        <v>11</v>
      </c>
      <c r="I1148" s="3">
        <v>5</v>
      </c>
      <c r="J1148" s="3" t="s">
        <v>12</v>
      </c>
      <c r="K1148" s="18">
        <v>80</v>
      </c>
      <c r="L1148" s="16">
        <v>104</v>
      </c>
      <c r="M1148" s="6" t="str" cm="1">
        <f t="array" ref="M1148">_xlfn.IFS(L1148&lt;100,"Economy",L1148&lt;200,"Standard",L1148&lt;350,"Powerful",L1148&lt;500,"High Performance",L1148&lt;800,"Sports Performance",L1148&gt;=800,"Super Performance")</f>
        <v>Standard</v>
      </c>
    </row>
    <row r="1149" spans="1:13" x14ac:dyDescent="0.25">
      <c r="A1149" s="5" t="s">
        <v>55</v>
      </c>
      <c r="B1149" s="3" t="s">
        <v>1161</v>
      </c>
      <c r="C1149" s="3" t="s">
        <v>1171</v>
      </c>
      <c r="D1149" s="4">
        <v>662700</v>
      </c>
      <c r="E1149" s="3">
        <v>1197</v>
      </c>
      <c r="F1149" s="3">
        <v>4</v>
      </c>
      <c r="G1149" s="3" t="s">
        <v>10</v>
      </c>
      <c r="H1149" s="3" t="s">
        <v>11</v>
      </c>
      <c r="I1149" s="3">
        <v>5</v>
      </c>
      <c r="J1149" s="3" t="s">
        <v>12</v>
      </c>
      <c r="K1149" s="18">
        <v>80</v>
      </c>
      <c r="L1149" s="16">
        <v>104</v>
      </c>
      <c r="M1149" s="6" t="str" cm="1">
        <f t="array" ref="M1149">_xlfn.IFS(L1149&lt;100,"Economy",L1149&lt;200,"Standard",L1149&lt;350,"Powerful",L1149&lt;500,"High Performance",L1149&lt;800,"Sports Performance",L1149&gt;=800,"Super Performance")</f>
        <v>Standard</v>
      </c>
    </row>
    <row r="1150" spans="1:13" x14ac:dyDescent="0.25">
      <c r="A1150" s="5" t="s">
        <v>55</v>
      </c>
      <c r="B1150" s="3" t="s">
        <v>1161</v>
      </c>
      <c r="C1150" s="3" t="s">
        <v>1158</v>
      </c>
      <c r="D1150" s="4">
        <v>558400</v>
      </c>
      <c r="E1150" s="3">
        <v>1197</v>
      </c>
      <c r="F1150" s="3">
        <v>4</v>
      </c>
      <c r="G1150" s="3" t="s">
        <v>10</v>
      </c>
      <c r="H1150" s="3" t="s">
        <v>11</v>
      </c>
      <c r="I1150" s="3">
        <v>5</v>
      </c>
      <c r="J1150" s="3" t="s">
        <v>12</v>
      </c>
      <c r="K1150" s="18">
        <v>80</v>
      </c>
      <c r="L1150" s="16">
        <v>104</v>
      </c>
      <c r="M1150" s="6" t="str" cm="1">
        <f t="array" ref="M1150">_xlfn.IFS(L1150&lt;100,"Economy",L1150&lt;200,"Standard",L1150&lt;350,"Powerful",L1150&lt;500,"High Performance",L1150&lt;800,"Sports Performance",L1150&gt;=800,"Super Performance")</f>
        <v>Standard</v>
      </c>
    </row>
    <row r="1151" spans="1:13" x14ac:dyDescent="0.25">
      <c r="A1151" s="5" t="s">
        <v>1156</v>
      </c>
      <c r="B1151" s="3" t="s">
        <v>1157</v>
      </c>
      <c r="C1151" s="3" t="s">
        <v>1158</v>
      </c>
      <c r="D1151" s="4">
        <v>506000</v>
      </c>
      <c r="E1151" s="3">
        <v>1173</v>
      </c>
      <c r="F1151" s="3">
        <v>4</v>
      </c>
      <c r="G1151" s="3" t="s">
        <v>10</v>
      </c>
      <c r="H1151" s="3" t="s">
        <v>66</v>
      </c>
      <c r="I1151" s="3">
        <v>5</v>
      </c>
      <c r="J1151" s="3" t="s">
        <v>12</v>
      </c>
      <c r="K1151" s="18">
        <v>76.599999999999994</v>
      </c>
      <c r="L1151" s="16">
        <v>103.9</v>
      </c>
      <c r="M1151" s="6" t="str" cm="1">
        <f t="array" ref="M1151">_xlfn.IFS(L1151&lt;100,"Economy",L1151&lt;200,"Standard",L1151&lt;350,"Powerful",L1151&lt;500,"High Performance",L1151&lt;800,"Sports Performance",L1151&gt;=800,"Super Performance")</f>
        <v>Standard</v>
      </c>
    </row>
    <row r="1152" spans="1:13" x14ac:dyDescent="0.25">
      <c r="A1152" s="5" t="s">
        <v>1156</v>
      </c>
      <c r="B1152" s="3" t="s">
        <v>1157</v>
      </c>
      <c r="C1152" s="3" t="s">
        <v>1160</v>
      </c>
      <c r="D1152" s="4">
        <v>670000</v>
      </c>
      <c r="E1152" s="3">
        <v>1173</v>
      </c>
      <c r="F1152" s="3">
        <v>4</v>
      </c>
      <c r="G1152" s="3" t="s">
        <v>10</v>
      </c>
      <c r="H1152" s="3" t="s">
        <v>66</v>
      </c>
      <c r="I1152" s="3">
        <v>5</v>
      </c>
      <c r="J1152" s="3" t="s">
        <v>12</v>
      </c>
      <c r="K1152" s="18">
        <v>76.599999999999994</v>
      </c>
      <c r="L1152" s="16">
        <v>103.9</v>
      </c>
      <c r="M1152" s="6" t="str" cm="1">
        <f t="array" ref="M1152">_xlfn.IFS(L1152&lt;100,"Economy",L1152&lt;200,"Standard",L1152&lt;350,"Powerful",L1152&lt;500,"High Performance",L1152&lt;800,"Sports Performance",L1152&gt;=800,"Super Performance")</f>
        <v>Standard</v>
      </c>
    </row>
    <row r="1153" spans="1:13" x14ac:dyDescent="0.25">
      <c r="A1153" s="5" t="s">
        <v>93</v>
      </c>
      <c r="B1153" s="3" t="s">
        <v>1060</v>
      </c>
      <c r="C1153" s="3" t="s">
        <v>1061</v>
      </c>
      <c r="D1153" s="4">
        <v>637343</v>
      </c>
      <c r="E1153" s="3">
        <v>1298</v>
      </c>
      <c r="F1153" s="3">
        <v>4</v>
      </c>
      <c r="G1153" s="3" t="s">
        <v>10</v>
      </c>
      <c r="H1153" s="3" t="s">
        <v>66</v>
      </c>
      <c r="I1153" s="3">
        <v>8</v>
      </c>
      <c r="J1153" s="3" t="s">
        <v>12</v>
      </c>
      <c r="K1153" s="18">
        <v>80</v>
      </c>
      <c r="L1153" s="16">
        <v>103</v>
      </c>
      <c r="M1153" s="6" t="str" cm="1">
        <f t="array" ref="M1153">_xlfn.IFS(L1153&lt;100,"Economy",L1153&lt;200,"Standard",L1153&lt;350,"Powerful",L1153&lt;500,"High Performance",L1153&lt;800,"Sports Performance",L1153&gt;=800,"Super Performance")</f>
        <v>Standard</v>
      </c>
    </row>
    <row r="1154" spans="1:13" x14ac:dyDescent="0.25">
      <c r="A1154" s="5" t="s">
        <v>93</v>
      </c>
      <c r="B1154" s="3" t="s">
        <v>1060</v>
      </c>
      <c r="C1154" s="3" t="s">
        <v>1062</v>
      </c>
      <c r="D1154" s="4">
        <v>622730</v>
      </c>
      <c r="E1154" s="3">
        <v>1298</v>
      </c>
      <c r="F1154" s="3">
        <v>4</v>
      </c>
      <c r="G1154" s="3" t="s">
        <v>10</v>
      </c>
      <c r="H1154" s="3" t="s">
        <v>66</v>
      </c>
      <c r="I1154" s="3">
        <v>8</v>
      </c>
      <c r="J1154" s="3" t="s">
        <v>12</v>
      </c>
      <c r="K1154" s="18">
        <v>80</v>
      </c>
      <c r="L1154" s="16">
        <v>103</v>
      </c>
      <c r="M1154" s="6" t="str" cm="1">
        <f t="array" ref="M1154">_xlfn.IFS(L1154&lt;100,"Economy",L1154&lt;200,"Standard",L1154&lt;350,"Powerful",L1154&lt;500,"High Performance",L1154&lt;800,"Sports Performance",L1154&gt;=800,"Super Performance")</f>
        <v>Standard</v>
      </c>
    </row>
    <row r="1155" spans="1:13" x14ac:dyDescent="0.25">
      <c r="A1155" s="5" t="s">
        <v>93</v>
      </c>
      <c r="B1155" s="3" t="s">
        <v>699</v>
      </c>
      <c r="C1155" s="3" t="s">
        <v>934</v>
      </c>
      <c r="D1155" s="4">
        <v>380573</v>
      </c>
      <c r="E1155" s="3">
        <v>1196</v>
      </c>
      <c r="F1155" s="3">
        <v>4</v>
      </c>
      <c r="G1155" s="3" t="s">
        <v>10</v>
      </c>
      <c r="H1155" s="3" t="s">
        <v>226</v>
      </c>
      <c r="I1155" s="3">
        <v>7</v>
      </c>
      <c r="J1155" s="3" t="s">
        <v>12</v>
      </c>
      <c r="K1155" s="18">
        <v>74</v>
      </c>
      <c r="L1155" s="16">
        <v>101</v>
      </c>
      <c r="M1155" s="6" t="str" cm="1">
        <f t="array" ref="M1155">_xlfn.IFS(L1155&lt;100,"Economy",L1155&lt;200,"Standard",L1155&lt;350,"Powerful",L1155&lt;500,"High Performance",L1155&lt;800,"Sports Performance",L1155&gt;=800,"Super Performance")</f>
        <v>Standard</v>
      </c>
    </row>
    <row r="1156" spans="1:13" x14ac:dyDescent="0.25">
      <c r="A1156" s="5" t="s">
        <v>93</v>
      </c>
      <c r="B1156" s="3" t="s">
        <v>699</v>
      </c>
      <c r="C1156" s="3" t="s">
        <v>1151</v>
      </c>
      <c r="D1156" s="4">
        <v>352136</v>
      </c>
      <c r="E1156" s="3">
        <v>1196</v>
      </c>
      <c r="F1156" s="3">
        <v>4</v>
      </c>
      <c r="G1156" s="3" t="s">
        <v>10</v>
      </c>
      <c r="H1156" s="3" t="s">
        <v>226</v>
      </c>
      <c r="I1156" s="3">
        <v>5</v>
      </c>
      <c r="J1156" s="3" t="s">
        <v>12</v>
      </c>
      <c r="K1156" s="18">
        <v>73</v>
      </c>
      <c r="L1156" s="16">
        <v>101</v>
      </c>
      <c r="M1156" s="6" t="str" cm="1">
        <f t="array" ref="M1156">_xlfn.IFS(L1156&lt;100,"Economy",L1156&lt;200,"Standard",L1156&lt;350,"Powerful",L1156&lt;500,"High Performance",L1156&lt;800,"Sports Performance",L1156&gt;=800,"Super Performance")</f>
        <v>Standard</v>
      </c>
    </row>
    <row r="1157" spans="1:13" x14ac:dyDescent="0.25">
      <c r="A1157" s="5" t="s">
        <v>93</v>
      </c>
      <c r="B1157" s="3" t="s">
        <v>699</v>
      </c>
      <c r="C1157" s="3" t="s">
        <v>1154</v>
      </c>
      <c r="D1157" s="4">
        <v>392967</v>
      </c>
      <c r="E1157" s="3">
        <v>1196</v>
      </c>
      <c r="F1157" s="3">
        <v>4</v>
      </c>
      <c r="G1157" s="3" t="s">
        <v>10</v>
      </c>
      <c r="H1157" s="3" t="s">
        <v>226</v>
      </c>
      <c r="I1157" s="3">
        <v>5</v>
      </c>
      <c r="J1157" s="3" t="s">
        <v>12</v>
      </c>
      <c r="K1157" s="18">
        <v>73</v>
      </c>
      <c r="L1157" s="16">
        <v>101</v>
      </c>
      <c r="M1157" s="6" t="str" cm="1">
        <f t="array" ref="M1157">_xlfn.IFS(L1157&lt;100,"Economy",L1157&lt;200,"Standard",L1157&lt;350,"Powerful",L1157&lt;500,"High Performance",L1157&lt;800,"Sports Performance",L1157&gt;=800,"Super Performance")</f>
        <v>Standard</v>
      </c>
    </row>
    <row r="1158" spans="1:13" x14ac:dyDescent="0.25">
      <c r="A1158" s="5" t="s">
        <v>7</v>
      </c>
      <c r="B1158" s="3" t="s">
        <v>8</v>
      </c>
      <c r="C1158" s="3" t="s">
        <v>16</v>
      </c>
      <c r="D1158" s="4">
        <v>530990</v>
      </c>
      <c r="E1158" s="3">
        <v>1086</v>
      </c>
      <c r="F1158" s="3">
        <v>4</v>
      </c>
      <c r="G1158" s="3" t="s">
        <v>10</v>
      </c>
      <c r="H1158" s="3" t="s">
        <v>11</v>
      </c>
      <c r="I1158" s="3">
        <v>5</v>
      </c>
      <c r="J1158" s="3" t="s">
        <v>17</v>
      </c>
      <c r="K1158" s="18">
        <v>69</v>
      </c>
      <c r="L1158" s="16">
        <v>99.047164999999993</v>
      </c>
      <c r="M1158" s="6" t="str" cm="1">
        <f t="array" ref="M1158">_xlfn.IFS(L1158&lt;100,"Economy",L1158&lt;200,"Standard",L1158&lt;350,"Powerful",L1158&lt;500,"High Performance",L1158&lt;800,"Sports Performance",L1158&gt;=800,"Super Performance")</f>
        <v>Economy</v>
      </c>
    </row>
    <row r="1159" spans="1:13" x14ac:dyDescent="0.25">
      <c r="A1159" s="5" t="s">
        <v>7</v>
      </c>
      <c r="B1159" s="3" t="s">
        <v>8</v>
      </c>
      <c r="C1159" s="3" t="s">
        <v>18</v>
      </c>
      <c r="D1159" s="4">
        <v>512990</v>
      </c>
      <c r="E1159" s="3">
        <v>1086</v>
      </c>
      <c r="F1159" s="3">
        <v>4</v>
      </c>
      <c r="G1159" s="3" t="s">
        <v>10</v>
      </c>
      <c r="H1159" s="3" t="s">
        <v>11</v>
      </c>
      <c r="I1159" s="3">
        <v>5</v>
      </c>
      <c r="J1159" s="3" t="s">
        <v>12</v>
      </c>
      <c r="K1159" s="18">
        <v>69</v>
      </c>
      <c r="L1159" s="16">
        <v>99.047164999999993</v>
      </c>
      <c r="M1159" s="6" t="str" cm="1">
        <f t="array" ref="M1159">_xlfn.IFS(L1159&lt;100,"Economy",L1159&lt;200,"Standard",L1159&lt;350,"Powerful",L1159&lt;500,"High Performance",L1159&lt;800,"Sports Performance",L1159&gt;=800,"Super Performance")</f>
        <v>Economy</v>
      </c>
    </row>
    <row r="1160" spans="1:13" x14ac:dyDescent="0.25">
      <c r="A1160" s="5" t="s">
        <v>7</v>
      </c>
      <c r="B1160" s="3" t="s">
        <v>8</v>
      </c>
      <c r="C1160" s="3" t="s">
        <v>20</v>
      </c>
      <c r="D1160" s="4">
        <v>570990</v>
      </c>
      <c r="E1160" s="3">
        <v>1086</v>
      </c>
      <c r="F1160" s="3">
        <v>4</v>
      </c>
      <c r="G1160" s="3" t="s">
        <v>10</v>
      </c>
      <c r="H1160" s="3" t="s">
        <v>11</v>
      </c>
      <c r="I1160" s="3">
        <v>5</v>
      </c>
      <c r="J1160" s="3" t="s">
        <v>17</v>
      </c>
      <c r="K1160" s="18">
        <v>69</v>
      </c>
      <c r="L1160" s="16">
        <v>99.047164999999993</v>
      </c>
      <c r="M1160" s="6" t="str" cm="1">
        <f t="array" ref="M1160">_xlfn.IFS(L1160&lt;100,"Economy",L1160&lt;200,"Standard",L1160&lt;350,"Powerful",L1160&lt;500,"High Performance",L1160&lt;800,"Sports Performance",L1160&gt;=800,"Super Performance")</f>
        <v>Economy</v>
      </c>
    </row>
    <row r="1161" spans="1:13" x14ac:dyDescent="0.25">
      <c r="A1161" s="5" t="s">
        <v>7</v>
      </c>
      <c r="B1161" s="3" t="s">
        <v>8</v>
      </c>
      <c r="C1161" s="3" t="s">
        <v>9</v>
      </c>
      <c r="D1161" s="4">
        <v>429990</v>
      </c>
      <c r="E1161" s="3">
        <v>1086</v>
      </c>
      <c r="F1161" s="3">
        <v>4</v>
      </c>
      <c r="G1161" s="3" t="s">
        <v>10</v>
      </c>
      <c r="H1161" s="3" t="s">
        <v>11</v>
      </c>
      <c r="I1161" s="3">
        <v>5</v>
      </c>
      <c r="J1161" s="3" t="s">
        <v>12</v>
      </c>
      <c r="K1161" s="18">
        <v>69</v>
      </c>
      <c r="L1161" s="16">
        <v>99.04</v>
      </c>
      <c r="M1161" s="6" t="str" cm="1">
        <f t="array" ref="M1161">_xlfn.IFS(L1161&lt;100,"Economy",L1161&lt;200,"Standard",L1161&lt;350,"Powerful",L1161&lt;500,"High Performance",L1161&lt;800,"Sports Performance",L1161&gt;=800,"Super Performance")</f>
        <v>Economy</v>
      </c>
    </row>
    <row r="1162" spans="1:13" x14ac:dyDescent="0.25">
      <c r="A1162" s="5" t="s">
        <v>7</v>
      </c>
      <c r="B1162" s="3" t="s">
        <v>8</v>
      </c>
      <c r="C1162" s="3" t="s">
        <v>13</v>
      </c>
      <c r="D1162" s="4">
        <v>503990</v>
      </c>
      <c r="E1162" s="3">
        <v>1086</v>
      </c>
      <c r="F1162" s="3">
        <v>4</v>
      </c>
      <c r="G1162" s="3" t="s">
        <v>10</v>
      </c>
      <c r="H1162" s="3" t="s">
        <v>11</v>
      </c>
      <c r="I1162" s="3">
        <v>5</v>
      </c>
      <c r="J1162" s="3" t="s">
        <v>12</v>
      </c>
      <c r="K1162" s="18">
        <v>69</v>
      </c>
      <c r="L1162" s="16">
        <v>99.04</v>
      </c>
      <c r="M1162" s="6" t="str" cm="1">
        <f t="array" ref="M1162">_xlfn.IFS(L1162&lt;100,"Economy",L1162&lt;200,"Standard",L1162&lt;350,"Powerful",L1162&lt;500,"High Performance",L1162&lt;800,"Sports Performance",L1162&gt;=800,"Super Performance")</f>
        <v>Economy</v>
      </c>
    </row>
    <row r="1163" spans="1:13" x14ac:dyDescent="0.25">
      <c r="A1163" s="5" t="s">
        <v>7</v>
      </c>
      <c r="B1163" s="3" t="s">
        <v>8</v>
      </c>
      <c r="C1163" s="3" t="s">
        <v>14</v>
      </c>
      <c r="D1163" s="4">
        <v>547990</v>
      </c>
      <c r="E1163" s="3">
        <v>1086</v>
      </c>
      <c r="F1163" s="3">
        <v>4</v>
      </c>
      <c r="G1163" s="3" t="s">
        <v>15</v>
      </c>
      <c r="H1163" s="3" t="s">
        <v>11</v>
      </c>
      <c r="I1163" s="3">
        <v>5</v>
      </c>
      <c r="J1163" s="3" t="s">
        <v>12</v>
      </c>
      <c r="K1163" s="18">
        <v>59</v>
      </c>
      <c r="L1163" s="16">
        <v>99.04</v>
      </c>
      <c r="M1163" s="6" t="str" cm="1">
        <f t="array" ref="M1163">_xlfn.IFS(L1163&lt;100,"Economy",L1163&lt;200,"Standard",L1163&lt;350,"Powerful",L1163&lt;500,"High Performance",L1163&lt;800,"Sports Performance",L1163&gt;=800,"Super Performance")</f>
        <v>Economy</v>
      </c>
    </row>
    <row r="1164" spans="1:13" x14ac:dyDescent="0.25">
      <c r="A1164" s="5" t="s">
        <v>7</v>
      </c>
      <c r="B1164" s="3" t="s">
        <v>8</v>
      </c>
      <c r="C1164" s="3" t="s">
        <v>21</v>
      </c>
      <c r="D1164" s="4">
        <v>556490</v>
      </c>
      <c r="E1164" s="3">
        <v>1086</v>
      </c>
      <c r="F1164" s="3">
        <v>4</v>
      </c>
      <c r="G1164" s="3" t="s">
        <v>10</v>
      </c>
      <c r="H1164" s="3" t="s">
        <v>11</v>
      </c>
      <c r="I1164" s="3">
        <v>5</v>
      </c>
      <c r="J1164" s="3" t="s">
        <v>12</v>
      </c>
      <c r="K1164" s="18">
        <v>69</v>
      </c>
      <c r="L1164" s="16">
        <v>99.04</v>
      </c>
      <c r="M1164" s="6" t="str" cm="1">
        <f t="array" ref="M1164">_xlfn.IFS(L1164&lt;100,"Economy",L1164&lt;200,"Standard",L1164&lt;350,"Powerful",L1164&lt;500,"High Performance",L1164&lt;800,"Sports Performance",L1164&gt;=800,"Super Performance")</f>
        <v>Economy</v>
      </c>
    </row>
    <row r="1165" spans="1:13" x14ac:dyDescent="0.25">
      <c r="A1165" s="5" t="s">
        <v>301</v>
      </c>
      <c r="B1165" s="3" t="s">
        <v>538</v>
      </c>
      <c r="C1165" s="3" t="s">
        <v>539</v>
      </c>
      <c r="D1165" s="4">
        <v>535562</v>
      </c>
      <c r="E1165" s="3">
        <v>1172</v>
      </c>
      <c r="F1165" s="3">
        <v>4</v>
      </c>
      <c r="G1165" s="3" t="s">
        <v>10</v>
      </c>
      <c r="H1165" s="3" t="s">
        <v>11</v>
      </c>
      <c r="I1165" s="3">
        <v>5</v>
      </c>
      <c r="J1165" s="3" t="s">
        <v>12</v>
      </c>
      <c r="K1165" s="18">
        <v>68</v>
      </c>
      <c r="L1165" s="16">
        <v>96</v>
      </c>
      <c r="M1165" s="6" t="str" cm="1">
        <f t="array" ref="M1165">_xlfn.IFS(L1165&lt;100,"Economy",L1165&lt;200,"Standard",L1165&lt;350,"Powerful",L1165&lt;500,"High Performance",L1165&lt;800,"Sports Performance",L1165&gt;=800,"Super Performance")</f>
        <v>Economy</v>
      </c>
    </row>
    <row r="1166" spans="1:13" x14ac:dyDescent="0.25">
      <c r="A1166" s="5" t="s">
        <v>350</v>
      </c>
      <c r="B1166" s="3" t="s">
        <v>544</v>
      </c>
      <c r="C1166" s="3" t="s">
        <v>545</v>
      </c>
      <c r="D1166" s="4">
        <v>495000</v>
      </c>
      <c r="E1166" s="3">
        <v>999</v>
      </c>
      <c r="F1166" s="3">
        <v>3</v>
      </c>
      <c r="G1166" s="3" t="s">
        <v>10</v>
      </c>
      <c r="H1166" s="3" t="s">
        <v>242</v>
      </c>
      <c r="I1166" s="3">
        <v>7</v>
      </c>
      <c r="J1166" s="3" t="s">
        <v>12</v>
      </c>
      <c r="K1166" s="18">
        <v>72</v>
      </c>
      <c r="L1166" s="16">
        <v>96</v>
      </c>
      <c r="M1166" s="6" t="str" cm="1">
        <f t="array" ref="M1166">_xlfn.IFS(L1166&lt;100,"Economy",L1166&lt;200,"Standard",L1166&lt;350,"Powerful",L1166&lt;500,"High Performance",L1166&lt;800,"Sports Performance",L1166&gt;=800,"Super Performance")</f>
        <v>Economy</v>
      </c>
    </row>
    <row r="1167" spans="1:13" x14ac:dyDescent="0.25">
      <c r="A1167" s="5" t="s">
        <v>350</v>
      </c>
      <c r="B1167" s="3" t="s">
        <v>544</v>
      </c>
      <c r="C1167" s="3" t="s">
        <v>546</v>
      </c>
      <c r="D1167" s="4">
        <v>559000</v>
      </c>
      <c r="E1167" s="3">
        <v>999</v>
      </c>
      <c r="F1167" s="3">
        <v>3</v>
      </c>
      <c r="G1167" s="3" t="s">
        <v>10</v>
      </c>
      <c r="H1167" s="3" t="s">
        <v>242</v>
      </c>
      <c r="I1167" s="3">
        <v>7</v>
      </c>
      <c r="J1167" s="3" t="s">
        <v>12</v>
      </c>
      <c r="K1167" s="18">
        <v>72</v>
      </c>
      <c r="L1167" s="16">
        <v>96</v>
      </c>
      <c r="M1167" s="6" t="str" cm="1">
        <f t="array" ref="M1167">_xlfn.IFS(L1167&lt;100,"Economy",L1167&lt;200,"Standard",L1167&lt;350,"Powerful",L1167&lt;500,"High Performance",L1167&lt;800,"Sports Performance",L1167&gt;=800,"Super Performance")</f>
        <v>Economy</v>
      </c>
    </row>
    <row r="1168" spans="1:13" x14ac:dyDescent="0.25">
      <c r="A1168" s="5" t="s">
        <v>350</v>
      </c>
      <c r="B1168" s="3" t="s">
        <v>544</v>
      </c>
      <c r="C1168" s="3" t="s">
        <v>547</v>
      </c>
      <c r="D1168" s="4">
        <v>609000</v>
      </c>
      <c r="E1168" s="3">
        <v>999</v>
      </c>
      <c r="F1168" s="3">
        <v>3</v>
      </c>
      <c r="G1168" s="3" t="s">
        <v>10</v>
      </c>
      <c r="H1168" s="3" t="s">
        <v>242</v>
      </c>
      <c r="I1168" s="3">
        <v>7</v>
      </c>
      <c r="J1168" s="3" t="s">
        <v>12</v>
      </c>
      <c r="K1168" s="18">
        <v>72</v>
      </c>
      <c r="L1168" s="16">
        <v>96</v>
      </c>
      <c r="M1168" s="6" t="str" cm="1">
        <f t="array" ref="M1168">_xlfn.IFS(L1168&lt;100,"Economy",L1168&lt;200,"Standard",L1168&lt;350,"Powerful",L1168&lt;500,"High Performance",L1168&lt;800,"Sports Performance",L1168&gt;=800,"Super Performance")</f>
        <v>Economy</v>
      </c>
    </row>
    <row r="1169" spans="1:13" x14ac:dyDescent="0.25">
      <c r="A1169" s="5" t="s">
        <v>350</v>
      </c>
      <c r="B1169" s="3" t="s">
        <v>544</v>
      </c>
      <c r="C1169" s="3" t="s">
        <v>548</v>
      </c>
      <c r="D1169" s="4">
        <v>663000</v>
      </c>
      <c r="E1169" s="3">
        <v>999</v>
      </c>
      <c r="F1169" s="3">
        <v>3</v>
      </c>
      <c r="G1169" s="3" t="s">
        <v>10</v>
      </c>
      <c r="H1169" s="3" t="s">
        <v>242</v>
      </c>
      <c r="I1169" s="3">
        <v>7</v>
      </c>
      <c r="J1169" s="3" t="s">
        <v>12</v>
      </c>
      <c r="K1169" s="18">
        <v>72</v>
      </c>
      <c r="L1169" s="16">
        <v>96</v>
      </c>
      <c r="M1169" s="6" t="str" cm="1">
        <f t="array" ref="M1169">_xlfn.IFS(L1169&lt;100,"Economy",L1169&lt;200,"Standard",L1169&lt;350,"Powerful",L1169&lt;500,"High Performance",L1169&lt;800,"Sports Performance",L1169&gt;=800,"Super Performance")</f>
        <v>Economy</v>
      </c>
    </row>
    <row r="1170" spans="1:13" x14ac:dyDescent="0.25">
      <c r="A1170" s="5" t="s">
        <v>301</v>
      </c>
      <c r="B1170" s="3" t="s">
        <v>762</v>
      </c>
      <c r="C1170" s="3" t="s">
        <v>1270</v>
      </c>
      <c r="D1170" s="4">
        <v>482330</v>
      </c>
      <c r="E1170" s="3">
        <v>1172</v>
      </c>
      <c r="F1170" s="3">
        <v>4</v>
      </c>
      <c r="G1170" s="3" t="s">
        <v>10</v>
      </c>
      <c r="H1170" s="3" t="s">
        <v>11</v>
      </c>
      <c r="I1170" s="3">
        <v>5</v>
      </c>
      <c r="J1170" s="3" t="s">
        <v>12</v>
      </c>
      <c r="K1170" s="18">
        <v>68</v>
      </c>
      <c r="L1170" s="16">
        <v>96</v>
      </c>
      <c r="M1170" s="6" t="str" cm="1">
        <f t="array" ref="M1170">_xlfn.IFS(L1170&lt;100,"Economy",L1170&lt;200,"Standard",L1170&lt;350,"Powerful",L1170&lt;500,"High Performance",L1170&lt;800,"Sports Performance",L1170&gt;=800,"Super Performance")</f>
        <v>Economy</v>
      </c>
    </row>
    <row r="1171" spans="1:13" x14ac:dyDescent="0.25">
      <c r="A1171" s="5" t="s">
        <v>160</v>
      </c>
      <c r="B1171" s="3" t="s">
        <v>839</v>
      </c>
      <c r="C1171" s="3" t="s">
        <v>840</v>
      </c>
      <c r="D1171" s="4">
        <v>594000</v>
      </c>
      <c r="E1171" s="3">
        <v>999</v>
      </c>
      <c r="F1171" s="3">
        <v>3</v>
      </c>
      <c r="G1171" s="3" t="s">
        <v>10</v>
      </c>
      <c r="H1171" s="3" t="s">
        <v>27</v>
      </c>
      <c r="I1171" s="3">
        <v>5</v>
      </c>
      <c r="J1171" s="3" t="s">
        <v>12</v>
      </c>
      <c r="K1171" s="18">
        <v>76</v>
      </c>
      <c r="L1171" s="16">
        <v>95</v>
      </c>
      <c r="M1171" s="6" t="str" cm="1">
        <f t="array" ref="M1171">_xlfn.IFS(L1171&lt;100,"Economy",L1171&lt;200,"Standard",L1171&lt;350,"Powerful",L1171&lt;500,"High Performance",L1171&lt;800,"Sports Performance",L1171&gt;=800,"Super Performance")</f>
        <v>Economy</v>
      </c>
    </row>
    <row r="1172" spans="1:13" x14ac:dyDescent="0.25">
      <c r="A1172" s="5" t="s">
        <v>160</v>
      </c>
      <c r="B1172" s="3" t="s">
        <v>839</v>
      </c>
      <c r="C1172" s="3" t="s">
        <v>841</v>
      </c>
      <c r="D1172" s="4">
        <v>665000</v>
      </c>
      <c r="E1172" s="3">
        <v>999</v>
      </c>
      <c r="F1172" s="3">
        <v>3</v>
      </c>
      <c r="G1172" s="3" t="s">
        <v>10</v>
      </c>
      <c r="H1172" s="3" t="s">
        <v>27</v>
      </c>
      <c r="I1172" s="3">
        <v>5</v>
      </c>
      <c r="J1172" s="3" t="s">
        <v>12</v>
      </c>
      <c r="K1172" s="18">
        <v>76</v>
      </c>
      <c r="L1172" s="16">
        <v>95</v>
      </c>
      <c r="M1172" s="6" t="str" cm="1">
        <f t="array" ref="M1172">_xlfn.IFS(L1172&lt;100,"Economy",L1172&lt;200,"Standard",L1172&lt;350,"Powerful",L1172&lt;500,"High Performance",L1172&lt;800,"Sports Performance",L1172&gt;=800,"Super Performance")</f>
        <v>Economy</v>
      </c>
    </row>
    <row r="1173" spans="1:13" x14ac:dyDescent="0.25">
      <c r="A1173" s="5" t="s">
        <v>160</v>
      </c>
      <c r="B1173" s="3" t="s">
        <v>839</v>
      </c>
      <c r="C1173" s="3" t="s">
        <v>842</v>
      </c>
      <c r="D1173" s="4">
        <v>799900</v>
      </c>
      <c r="E1173" s="3">
        <v>999</v>
      </c>
      <c r="F1173" s="3">
        <v>3</v>
      </c>
      <c r="G1173" s="3" t="s">
        <v>10</v>
      </c>
      <c r="H1173" s="3" t="s">
        <v>27</v>
      </c>
      <c r="I1173" s="3">
        <v>5</v>
      </c>
      <c r="J1173" s="3" t="s">
        <v>12</v>
      </c>
      <c r="K1173" s="18">
        <v>76</v>
      </c>
      <c r="L1173" s="16">
        <v>95</v>
      </c>
      <c r="M1173" s="6" t="str" cm="1">
        <f t="array" ref="M1173">_xlfn.IFS(L1173&lt;100,"Economy",L1173&lt;200,"Standard",L1173&lt;350,"Powerful",L1173&lt;500,"High Performance",L1173&lt;800,"Sports Performance",L1173&gt;=800,"Super Performance")</f>
        <v>Economy</v>
      </c>
    </row>
    <row r="1174" spans="1:13" x14ac:dyDescent="0.25">
      <c r="A1174" s="5" t="s">
        <v>7</v>
      </c>
      <c r="B1174" s="3" t="s">
        <v>25</v>
      </c>
      <c r="C1174" s="3" t="s">
        <v>1122</v>
      </c>
      <c r="D1174" s="4">
        <v>728900</v>
      </c>
      <c r="E1174" s="3">
        <v>1197</v>
      </c>
      <c r="F1174" s="3">
        <v>0</v>
      </c>
      <c r="G1174" s="3" t="s">
        <v>272</v>
      </c>
      <c r="H1174" s="3" t="s">
        <v>27</v>
      </c>
      <c r="I1174" s="3">
        <v>5</v>
      </c>
      <c r="J1174" s="3" t="s">
        <v>12</v>
      </c>
      <c r="K1174" s="18">
        <v>69</v>
      </c>
      <c r="L1174" s="16">
        <v>95</v>
      </c>
      <c r="M1174" s="6" t="str" cm="1">
        <f t="array" ref="M1174">_xlfn.IFS(L1174&lt;100,"Economy",L1174&lt;200,"Standard",L1174&lt;350,"Powerful",L1174&lt;500,"High Performance",L1174&lt;800,"Sports Performance",L1174&gt;=800,"Super Performance")</f>
        <v>Economy</v>
      </c>
    </row>
    <row r="1175" spans="1:13" x14ac:dyDescent="0.25">
      <c r="A1175" s="5" t="s">
        <v>160</v>
      </c>
      <c r="B1175" s="3" t="s">
        <v>1334</v>
      </c>
      <c r="C1175" s="3" t="s">
        <v>1335</v>
      </c>
      <c r="D1175" s="4">
        <v>676500</v>
      </c>
      <c r="E1175" s="3">
        <v>999</v>
      </c>
      <c r="F1175" s="3">
        <v>3</v>
      </c>
      <c r="G1175" s="3" t="s">
        <v>10</v>
      </c>
      <c r="H1175" s="3" t="s">
        <v>11</v>
      </c>
      <c r="I1175" s="3">
        <v>5</v>
      </c>
      <c r="J1175" s="3" t="s">
        <v>12</v>
      </c>
      <c r="K1175" s="18">
        <v>76</v>
      </c>
      <c r="L1175" s="16">
        <v>95</v>
      </c>
      <c r="M1175" s="6" t="str" cm="1">
        <f t="array" ref="M1175">_xlfn.IFS(L1175&lt;100,"Economy",L1175&lt;200,"Standard",L1175&lt;350,"Powerful",L1175&lt;500,"High Performance",L1175&lt;800,"Sports Performance",L1175&gt;=800,"Super Performance")</f>
        <v>Economy</v>
      </c>
    </row>
    <row r="1176" spans="1:13" x14ac:dyDescent="0.25">
      <c r="A1176" s="5" t="s">
        <v>160</v>
      </c>
      <c r="B1176" s="3" t="s">
        <v>1334</v>
      </c>
      <c r="C1176" s="3" t="s">
        <v>1337</v>
      </c>
      <c r="D1176" s="4">
        <v>776500</v>
      </c>
      <c r="E1176" s="3">
        <v>999</v>
      </c>
      <c r="F1176" s="3">
        <v>3</v>
      </c>
      <c r="G1176" s="3" t="s">
        <v>10</v>
      </c>
      <c r="H1176" s="3" t="s">
        <v>11</v>
      </c>
      <c r="I1176" s="3">
        <v>5</v>
      </c>
      <c r="J1176" s="3" t="s">
        <v>12</v>
      </c>
      <c r="K1176" s="18">
        <v>76</v>
      </c>
      <c r="L1176" s="16">
        <v>95</v>
      </c>
      <c r="M1176" s="6" t="str" cm="1">
        <f t="array" ref="M1176">_xlfn.IFS(L1176&lt;100,"Economy",L1176&lt;200,"Standard",L1176&lt;350,"Powerful",L1176&lt;500,"High Performance",L1176&lt;800,"Sports Performance",L1176&gt;=800,"Super Performance")</f>
        <v>Economy</v>
      </c>
    </row>
    <row r="1177" spans="1:13" x14ac:dyDescent="0.25">
      <c r="A1177" s="5" t="s">
        <v>160</v>
      </c>
      <c r="B1177" s="3" t="s">
        <v>1334</v>
      </c>
      <c r="C1177" s="3" t="s">
        <v>1338</v>
      </c>
      <c r="D1177" s="4">
        <v>582000</v>
      </c>
      <c r="E1177" s="3">
        <v>999</v>
      </c>
      <c r="F1177" s="3">
        <v>3</v>
      </c>
      <c r="G1177" s="3" t="s">
        <v>10</v>
      </c>
      <c r="H1177" s="3" t="s">
        <v>11</v>
      </c>
      <c r="I1177" s="3">
        <v>5</v>
      </c>
      <c r="J1177" s="3" t="s">
        <v>12</v>
      </c>
      <c r="K1177" s="18">
        <v>76</v>
      </c>
      <c r="L1177" s="16">
        <v>95</v>
      </c>
      <c r="M1177" s="6" t="str" cm="1">
        <f t="array" ref="M1177">_xlfn.IFS(L1177&lt;100,"Economy",L1177&lt;200,"Standard",L1177&lt;350,"Powerful",L1177&lt;500,"High Performance",L1177&lt;800,"Sports Performance",L1177&gt;=800,"Super Performance")</f>
        <v>Economy</v>
      </c>
    </row>
    <row r="1178" spans="1:13" x14ac:dyDescent="0.25">
      <c r="A1178" s="5" t="s">
        <v>202</v>
      </c>
      <c r="B1178" s="3" t="s">
        <v>314</v>
      </c>
      <c r="C1178" s="3" t="s">
        <v>315</v>
      </c>
      <c r="D1178" s="4">
        <v>1293214</v>
      </c>
      <c r="E1178" s="3">
        <v>72</v>
      </c>
      <c r="F1178" s="3">
        <v>0</v>
      </c>
      <c r="G1178" s="3" t="s">
        <v>141</v>
      </c>
      <c r="H1178" s="3" t="s">
        <v>27</v>
      </c>
      <c r="I1178" s="3">
        <v>5</v>
      </c>
      <c r="J1178" s="3" t="s">
        <v>30</v>
      </c>
      <c r="K1178" s="18">
        <v>41</v>
      </c>
      <c r="L1178" s="16">
        <v>91</v>
      </c>
      <c r="M1178" s="6" t="str" cm="1">
        <f t="array" ref="M1178">_xlfn.IFS(L1178&lt;100,"Economy",L1178&lt;200,"Standard",L1178&lt;350,"Powerful",L1178&lt;500,"High Performance",L1178&lt;800,"Sports Performance",L1178&gt;=800,"Super Performance")</f>
        <v>Economy</v>
      </c>
    </row>
    <row r="1179" spans="1:13" x14ac:dyDescent="0.25">
      <c r="A1179" s="5" t="s">
        <v>202</v>
      </c>
      <c r="B1179" s="3" t="s">
        <v>314</v>
      </c>
      <c r="C1179" s="3" t="s">
        <v>316</v>
      </c>
      <c r="D1179" s="4">
        <v>1267208</v>
      </c>
      <c r="E1179" s="3">
        <v>72</v>
      </c>
      <c r="F1179" s="3">
        <v>0</v>
      </c>
      <c r="G1179" s="3" t="s">
        <v>141</v>
      </c>
      <c r="H1179" s="3" t="s">
        <v>27</v>
      </c>
      <c r="I1179" s="3">
        <v>5</v>
      </c>
      <c r="J1179" s="3" t="s">
        <v>30</v>
      </c>
      <c r="K1179" s="18">
        <v>41</v>
      </c>
      <c r="L1179" s="16">
        <v>91</v>
      </c>
      <c r="M1179" s="6" t="str" cm="1">
        <f t="array" ref="M1179">_xlfn.IFS(L1179&lt;100,"Economy",L1179&lt;200,"Standard",L1179&lt;350,"Powerful",L1179&lt;500,"High Performance",L1179&lt;800,"Sports Performance",L1179&gt;=800,"Super Performance")</f>
        <v>Economy</v>
      </c>
    </row>
    <row r="1180" spans="1:13" x14ac:dyDescent="0.25">
      <c r="A1180" s="5" t="s">
        <v>202</v>
      </c>
      <c r="B1180" s="3" t="s">
        <v>314</v>
      </c>
      <c r="C1180" s="3" t="s">
        <v>317</v>
      </c>
      <c r="D1180" s="4">
        <v>1303241</v>
      </c>
      <c r="E1180" s="3">
        <v>72</v>
      </c>
      <c r="F1180" s="3">
        <v>0</v>
      </c>
      <c r="G1180" s="3" t="s">
        <v>141</v>
      </c>
      <c r="H1180" s="3" t="s">
        <v>27</v>
      </c>
      <c r="I1180" s="3">
        <v>5</v>
      </c>
      <c r="J1180" s="3" t="s">
        <v>30</v>
      </c>
      <c r="K1180" s="18">
        <v>41</v>
      </c>
      <c r="L1180" s="16">
        <v>91</v>
      </c>
      <c r="M1180" s="6" t="str" cm="1">
        <f t="array" ref="M1180">_xlfn.IFS(L1180&lt;100,"Economy",L1180&lt;200,"Standard",L1180&lt;350,"Powerful",L1180&lt;500,"High Performance",L1180&lt;800,"Sports Performance",L1180&gt;=800,"Super Performance")</f>
        <v>Economy</v>
      </c>
    </row>
    <row r="1181" spans="1:13" x14ac:dyDescent="0.25">
      <c r="A1181" s="5" t="s">
        <v>350</v>
      </c>
      <c r="B1181" s="3" t="s">
        <v>351</v>
      </c>
      <c r="C1181" s="3" t="s">
        <v>356</v>
      </c>
      <c r="D1181" s="4">
        <v>433290</v>
      </c>
      <c r="E1181" s="3">
        <v>999</v>
      </c>
      <c r="F1181" s="3">
        <v>3</v>
      </c>
      <c r="G1181" s="3" t="s">
        <v>10</v>
      </c>
      <c r="H1181" s="3" t="s">
        <v>11</v>
      </c>
      <c r="I1181" s="3">
        <v>5</v>
      </c>
      <c r="J1181" s="3" t="s">
        <v>12</v>
      </c>
      <c r="K1181" s="18">
        <v>68</v>
      </c>
      <c r="L1181" s="16">
        <v>91</v>
      </c>
      <c r="M1181" s="6" t="str" cm="1">
        <f t="array" ref="M1181">_xlfn.IFS(L1181&lt;100,"Economy",L1181&lt;200,"Standard",L1181&lt;350,"Powerful",L1181&lt;500,"High Performance",L1181&lt;800,"Sports Performance",L1181&gt;=800,"Super Performance")</f>
        <v>Economy</v>
      </c>
    </row>
    <row r="1182" spans="1:13" x14ac:dyDescent="0.25">
      <c r="A1182" s="5" t="s">
        <v>350</v>
      </c>
      <c r="B1182" s="3" t="s">
        <v>351</v>
      </c>
      <c r="C1182" s="3" t="s">
        <v>357</v>
      </c>
      <c r="D1182" s="4">
        <v>454490</v>
      </c>
      <c r="E1182" s="3">
        <v>999</v>
      </c>
      <c r="F1182" s="3">
        <v>3</v>
      </c>
      <c r="G1182" s="3" t="s">
        <v>10</v>
      </c>
      <c r="H1182" s="3" t="s">
        <v>11</v>
      </c>
      <c r="I1182" s="3">
        <v>5</v>
      </c>
      <c r="J1182" s="3" t="s">
        <v>12</v>
      </c>
      <c r="K1182" s="18">
        <v>68</v>
      </c>
      <c r="L1182" s="16">
        <v>91</v>
      </c>
      <c r="M1182" s="6" t="str" cm="1">
        <f t="array" ref="M1182">_xlfn.IFS(L1182&lt;100,"Economy",L1182&lt;200,"Standard",L1182&lt;350,"Powerful",L1182&lt;500,"High Performance",L1182&lt;800,"Sports Performance",L1182&gt;=800,"Super Performance")</f>
        <v>Economy</v>
      </c>
    </row>
    <row r="1183" spans="1:13" x14ac:dyDescent="0.25">
      <c r="A1183" s="5" t="s">
        <v>350</v>
      </c>
      <c r="B1183" s="3" t="s">
        <v>351</v>
      </c>
      <c r="C1183" s="3" t="s">
        <v>358</v>
      </c>
      <c r="D1183" s="4">
        <v>463290</v>
      </c>
      <c r="E1183" s="3">
        <v>999</v>
      </c>
      <c r="F1183" s="3">
        <v>3</v>
      </c>
      <c r="G1183" s="3" t="s">
        <v>10</v>
      </c>
      <c r="H1183" s="3" t="s">
        <v>11</v>
      </c>
      <c r="I1183" s="3">
        <v>5</v>
      </c>
      <c r="J1183" s="3" t="s">
        <v>30</v>
      </c>
      <c r="K1183" s="18">
        <v>68</v>
      </c>
      <c r="L1183" s="16">
        <v>91</v>
      </c>
      <c r="M1183" s="6" t="str" cm="1">
        <f t="array" ref="M1183">_xlfn.IFS(L1183&lt;100,"Economy",L1183&lt;200,"Standard",L1183&lt;350,"Powerful",L1183&lt;500,"High Performance",L1183&lt;800,"Sports Performance",L1183&gt;=800,"Super Performance")</f>
        <v>Economy</v>
      </c>
    </row>
    <row r="1184" spans="1:13" x14ac:dyDescent="0.25">
      <c r="A1184" s="5" t="s">
        <v>350</v>
      </c>
      <c r="B1184" s="3" t="s">
        <v>351</v>
      </c>
      <c r="C1184" s="3" t="s">
        <v>359</v>
      </c>
      <c r="D1184" s="4">
        <v>484490</v>
      </c>
      <c r="E1184" s="3">
        <v>999</v>
      </c>
      <c r="F1184" s="3">
        <v>3</v>
      </c>
      <c r="G1184" s="3" t="s">
        <v>10</v>
      </c>
      <c r="H1184" s="3" t="s">
        <v>11</v>
      </c>
      <c r="I1184" s="3">
        <v>5</v>
      </c>
      <c r="J1184" s="3" t="s">
        <v>30</v>
      </c>
      <c r="K1184" s="18">
        <v>68</v>
      </c>
      <c r="L1184" s="16">
        <v>91</v>
      </c>
      <c r="M1184" s="6" t="str" cm="1">
        <f t="array" ref="M1184">_xlfn.IFS(L1184&lt;100,"Economy",L1184&lt;200,"Standard",L1184&lt;350,"Powerful",L1184&lt;500,"High Performance",L1184&lt;800,"Sports Performance",L1184&gt;=800,"Super Performance")</f>
        <v>Economy</v>
      </c>
    </row>
    <row r="1185" spans="1:13" x14ac:dyDescent="0.25">
      <c r="A1185" s="5" t="s">
        <v>350</v>
      </c>
      <c r="B1185" s="3" t="s">
        <v>351</v>
      </c>
      <c r="C1185" s="3" t="s">
        <v>360</v>
      </c>
      <c r="D1185" s="4">
        <v>440990</v>
      </c>
      <c r="E1185" s="3">
        <v>999</v>
      </c>
      <c r="F1185" s="3">
        <v>3</v>
      </c>
      <c r="G1185" s="3" t="s">
        <v>10</v>
      </c>
      <c r="H1185" s="3" t="s">
        <v>11</v>
      </c>
      <c r="I1185" s="3">
        <v>5</v>
      </c>
      <c r="J1185" s="3" t="s">
        <v>12</v>
      </c>
      <c r="K1185" s="18">
        <v>68</v>
      </c>
      <c r="L1185" s="16">
        <v>91</v>
      </c>
      <c r="M1185" s="6" t="str" cm="1">
        <f t="array" ref="M1185">_xlfn.IFS(L1185&lt;100,"Economy",L1185&lt;200,"Standard",L1185&lt;350,"Powerful",L1185&lt;500,"High Performance",L1185&lt;800,"Sports Performance",L1185&gt;=800,"Super Performance")</f>
        <v>Economy</v>
      </c>
    </row>
    <row r="1186" spans="1:13" x14ac:dyDescent="0.25">
      <c r="A1186" s="5" t="s">
        <v>350</v>
      </c>
      <c r="B1186" s="3" t="s">
        <v>351</v>
      </c>
      <c r="C1186" s="3" t="s">
        <v>361</v>
      </c>
      <c r="D1186" s="4">
        <v>470990</v>
      </c>
      <c r="E1186" s="3">
        <v>999</v>
      </c>
      <c r="F1186" s="3">
        <v>3</v>
      </c>
      <c r="G1186" s="3" t="s">
        <v>10</v>
      </c>
      <c r="H1186" s="3" t="s">
        <v>11</v>
      </c>
      <c r="I1186" s="3">
        <v>5</v>
      </c>
      <c r="J1186" s="3" t="s">
        <v>30</v>
      </c>
      <c r="K1186" s="18">
        <v>68</v>
      </c>
      <c r="L1186" s="16">
        <v>91</v>
      </c>
      <c r="M1186" s="6" t="str" cm="1">
        <f t="array" ref="M1186">_xlfn.IFS(L1186&lt;100,"Economy",L1186&lt;200,"Standard",L1186&lt;350,"Powerful",L1186&lt;500,"High Performance",L1186&lt;800,"Sports Performance",L1186&gt;=800,"Super Performance")</f>
        <v>Economy</v>
      </c>
    </row>
    <row r="1187" spans="1:13" x14ac:dyDescent="0.25">
      <c r="A1187" s="5" t="s">
        <v>350</v>
      </c>
      <c r="B1187" s="3" t="s">
        <v>351</v>
      </c>
      <c r="C1187" s="3" t="s">
        <v>362</v>
      </c>
      <c r="D1187" s="4">
        <v>462190</v>
      </c>
      <c r="E1187" s="3">
        <v>999</v>
      </c>
      <c r="F1187" s="3">
        <v>3</v>
      </c>
      <c r="G1187" s="3" t="s">
        <v>10</v>
      </c>
      <c r="H1187" s="3" t="s">
        <v>11</v>
      </c>
      <c r="I1187" s="3">
        <v>5</v>
      </c>
      <c r="J1187" s="3" t="s">
        <v>12</v>
      </c>
      <c r="K1187" s="18">
        <v>68</v>
      </c>
      <c r="L1187" s="16">
        <v>91</v>
      </c>
      <c r="M1187" s="6" t="str" cm="1">
        <f t="array" ref="M1187">_xlfn.IFS(L1187&lt;100,"Economy",L1187&lt;200,"Standard",L1187&lt;350,"Powerful",L1187&lt;500,"High Performance",L1187&lt;800,"Sports Performance",L1187&gt;=800,"Super Performance")</f>
        <v>Economy</v>
      </c>
    </row>
    <row r="1188" spans="1:13" x14ac:dyDescent="0.25">
      <c r="A1188" s="5" t="s">
        <v>350</v>
      </c>
      <c r="B1188" s="3" t="s">
        <v>351</v>
      </c>
      <c r="C1188" s="3" t="s">
        <v>363</v>
      </c>
      <c r="D1188" s="4">
        <v>492190</v>
      </c>
      <c r="E1188" s="3">
        <v>999</v>
      </c>
      <c r="F1188" s="3">
        <v>3</v>
      </c>
      <c r="G1188" s="3" t="s">
        <v>10</v>
      </c>
      <c r="H1188" s="3" t="s">
        <v>11</v>
      </c>
      <c r="I1188" s="3">
        <v>5</v>
      </c>
      <c r="J1188" s="3" t="s">
        <v>30</v>
      </c>
      <c r="K1188" s="18">
        <v>68</v>
      </c>
      <c r="L1188" s="16">
        <v>91</v>
      </c>
      <c r="M1188" s="6" t="str" cm="1">
        <f t="array" ref="M1188">_xlfn.IFS(L1188&lt;100,"Economy",L1188&lt;200,"Standard",L1188&lt;350,"Powerful",L1188&lt;500,"High Performance",L1188&lt;800,"Sports Performance",L1188&gt;=800,"Super Performance")</f>
        <v>Economy</v>
      </c>
    </row>
    <row r="1189" spans="1:13" x14ac:dyDescent="0.25">
      <c r="A1189" s="5" t="s">
        <v>364</v>
      </c>
      <c r="B1189" s="3" t="s">
        <v>603</v>
      </c>
      <c r="C1189" s="3" t="s">
        <v>604</v>
      </c>
      <c r="D1189" s="4">
        <v>390000</v>
      </c>
      <c r="E1189" s="3">
        <v>999</v>
      </c>
      <c r="F1189" s="3">
        <v>3</v>
      </c>
      <c r="G1189" s="3" t="s">
        <v>10</v>
      </c>
      <c r="H1189" s="3" t="s">
        <v>11</v>
      </c>
      <c r="I1189" s="3">
        <v>5</v>
      </c>
      <c r="J1189" s="3" t="s">
        <v>12</v>
      </c>
      <c r="K1189" s="18">
        <v>68</v>
      </c>
      <c r="L1189" s="16">
        <v>91</v>
      </c>
      <c r="M1189" s="6" t="str" cm="1">
        <f t="array" ref="M1189">_xlfn.IFS(L1189&lt;100,"Economy",L1189&lt;200,"Standard",L1189&lt;350,"Powerful",L1189&lt;500,"High Performance",L1189&lt;800,"Sports Performance",L1189&gt;=800,"Super Performance")</f>
        <v>Economy</v>
      </c>
    </row>
    <row r="1190" spans="1:13" x14ac:dyDescent="0.25">
      <c r="A1190" s="5" t="s">
        <v>364</v>
      </c>
      <c r="B1190" s="3" t="s">
        <v>603</v>
      </c>
      <c r="C1190" s="3" t="s">
        <v>605</v>
      </c>
      <c r="D1190" s="4">
        <v>437065</v>
      </c>
      <c r="E1190" s="3">
        <v>999</v>
      </c>
      <c r="F1190" s="3">
        <v>3</v>
      </c>
      <c r="G1190" s="3" t="s">
        <v>10</v>
      </c>
      <c r="H1190" s="3" t="s">
        <v>11</v>
      </c>
      <c r="I1190" s="3">
        <v>5</v>
      </c>
      <c r="J1190" s="3" t="s">
        <v>30</v>
      </c>
      <c r="K1190" s="18">
        <v>68</v>
      </c>
      <c r="L1190" s="16">
        <v>91</v>
      </c>
      <c r="M1190" s="6" t="str" cm="1">
        <f t="array" ref="M1190">_xlfn.IFS(L1190&lt;100,"Economy",L1190&lt;200,"Standard",L1190&lt;350,"Powerful",L1190&lt;500,"High Performance",L1190&lt;800,"Sports Performance",L1190&gt;=800,"Super Performance")</f>
        <v>Economy</v>
      </c>
    </row>
    <row r="1191" spans="1:13" x14ac:dyDescent="0.25">
      <c r="A1191" s="5" t="s">
        <v>93</v>
      </c>
      <c r="B1191" s="3" t="s">
        <v>94</v>
      </c>
      <c r="C1191" s="3" t="s">
        <v>95</v>
      </c>
      <c r="D1191" s="4">
        <v>370500</v>
      </c>
      <c r="E1191" s="3">
        <v>998</v>
      </c>
      <c r="F1191" s="3">
        <v>3</v>
      </c>
      <c r="G1191" s="3" t="s">
        <v>10</v>
      </c>
      <c r="H1191" s="3" t="s">
        <v>11</v>
      </c>
      <c r="I1191" s="3">
        <v>5</v>
      </c>
      <c r="J1191" s="3" t="s">
        <v>12</v>
      </c>
      <c r="K1191" s="18">
        <v>67</v>
      </c>
      <c r="L1191" s="16">
        <v>90</v>
      </c>
      <c r="M1191" s="6" t="str" cm="1">
        <f t="array" ref="M1191">_xlfn.IFS(L1191&lt;100,"Economy",L1191&lt;200,"Standard",L1191&lt;350,"Powerful",L1191&lt;500,"High Performance",L1191&lt;800,"Sports Performance",L1191&gt;=800,"Super Performance")</f>
        <v>Economy</v>
      </c>
    </row>
    <row r="1192" spans="1:13" x14ac:dyDescent="0.25">
      <c r="A1192" s="5" t="s">
        <v>93</v>
      </c>
      <c r="B1192" s="3" t="s">
        <v>94</v>
      </c>
      <c r="C1192" s="3" t="s">
        <v>96</v>
      </c>
      <c r="D1192" s="4">
        <v>376500</v>
      </c>
      <c r="E1192" s="3">
        <v>998</v>
      </c>
      <c r="F1192" s="3">
        <v>3</v>
      </c>
      <c r="G1192" s="3" t="s">
        <v>10</v>
      </c>
      <c r="H1192" s="3" t="s">
        <v>11</v>
      </c>
      <c r="I1192" s="3">
        <v>5</v>
      </c>
      <c r="J1192" s="3" t="s">
        <v>12</v>
      </c>
      <c r="K1192" s="18">
        <v>67</v>
      </c>
      <c r="L1192" s="16">
        <v>90</v>
      </c>
      <c r="M1192" s="6" t="str" cm="1">
        <f t="array" ref="M1192">_xlfn.IFS(L1192&lt;100,"Economy",L1192&lt;200,"Standard",L1192&lt;350,"Powerful",L1192&lt;500,"High Performance",L1192&lt;800,"Sports Performance",L1192&gt;=800,"Super Performance")</f>
        <v>Economy</v>
      </c>
    </row>
    <row r="1193" spans="1:13" x14ac:dyDescent="0.25">
      <c r="A1193" s="5" t="s">
        <v>93</v>
      </c>
      <c r="B1193" s="3" t="s">
        <v>94</v>
      </c>
      <c r="C1193" s="3" t="s">
        <v>97</v>
      </c>
      <c r="D1193" s="4">
        <v>409000</v>
      </c>
      <c r="E1193" s="3">
        <v>998</v>
      </c>
      <c r="F1193" s="3">
        <v>3</v>
      </c>
      <c r="G1193" s="3" t="s">
        <v>10</v>
      </c>
      <c r="H1193" s="3" t="s">
        <v>11</v>
      </c>
      <c r="I1193" s="3">
        <v>5</v>
      </c>
      <c r="J1193" s="3" t="s">
        <v>12</v>
      </c>
      <c r="K1193" s="18">
        <v>67</v>
      </c>
      <c r="L1193" s="16">
        <v>90</v>
      </c>
      <c r="M1193" s="6" t="str" cm="1">
        <f t="array" ref="M1193">_xlfn.IFS(L1193&lt;100,"Economy",L1193&lt;200,"Standard",L1193&lt;350,"Powerful",L1193&lt;500,"High Performance",L1193&lt;800,"Sports Performance",L1193&gt;=800,"Super Performance")</f>
        <v>Economy</v>
      </c>
    </row>
    <row r="1194" spans="1:13" x14ac:dyDescent="0.25">
      <c r="A1194" s="5" t="s">
        <v>93</v>
      </c>
      <c r="B1194" s="3" t="s">
        <v>94</v>
      </c>
      <c r="C1194" s="3" t="s">
        <v>98</v>
      </c>
      <c r="D1194" s="4">
        <v>415000</v>
      </c>
      <c r="E1194" s="3">
        <v>998</v>
      </c>
      <c r="F1194" s="3">
        <v>3</v>
      </c>
      <c r="G1194" s="3" t="s">
        <v>10</v>
      </c>
      <c r="H1194" s="3" t="s">
        <v>11</v>
      </c>
      <c r="I1194" s="3">
        <v>5</v>
      </c>
      <c r="J1194" s="3" t="s">
        <v>12</v>
      </c>
      <c r="K1194" s="18">
        <v>67</v>
      </c>
      <c r="L1194" s="16">
        <v>90</v>
      </c>
      <c r="M1194" s="6" t="str" cm="1">
        <f t="array" ref="M1194">_xlfn.IFS(L1194&lt;100,"Economy",L1194&lt;200,"Standard",L1194&lt;350,"Powerful",L1194&lt;500,"High Performance",L1194&lt;800,"Sports Performance",L1194&gt;=800,"Super Performance")</f>
        <v>Economy</v>
      </c>
    </row>
    <row r="1195" spans="1:13" x14ac:dyDescent="0.25">
      <c r="A1195" s="5" t="s">
        <v>93</v>
      </c>
      <c r="B1195" s="3" t="s">
        <v>94</v>
      </c>
      <c r="C1195" s="3" t="s">
        <v>99</v>
      </c>
      <c r="D1195" s="4">
        <v>432500</v>
      </c>
      <c r="E1195" s="3">
        <v>998</v>
      </c>
      <c r="F1195" s="3">
        <v>3</v>
      </c>
      <c r="G1195" s="3" t="s">
        <v>10</v>
      </c>
      <c r="H1195" s="3" t="s">
        <v>11</v>
      </c>
      <c r="I1195" s="3">
        <v>5</v>
      </c>
      <c r="J1195" s="3" t="s">
        <v>12</v>
      </c>
      <c r="K1195" s="18">
        <v>67</v>
      </c>
      <c r="L1195" s="16">
        <v>90</v>
      </c>
      <c r="M1195" s="6" t="str" cm="1">
        <f t="array" ref="M1195">_xlfn.IFS(L1195&lt;100,"Economy",L1195&lt;200,"Standard",L1195&lt;350,"Powerful",L1195&lt;500,"High Performance",L1195&lt;800,"Sports Performance",L1195&gt;=800,"Super Performance")</f>
        <v>Economy</v>
      </c>
    </row>
    <row r="1196" spans="1:13" x14ac:dyDescent="0.25">
      <c r="A1196" s="5" t="s">
        <v>93</v>
      </c>
      <c r="B1196" s="3" t="s">
        <v>94</v>
      </c>
      <c r="C1196" s="3" t="s">
        <v>100</v>
      </c>
      <c r="D1196" s="4">
        <v>438500</v>
      </c>
      <c r="E1196" s="3">
        <v>998</v>
      </c>
      <c r="F1196" s="3">
        <v>3</v>
      </c>
      <c r="G1196" s="3" t="s">
        <v>10</v>
      </c>
      <c r="H1196" s="3" t="s">
        <v>11</v>
      </c>
      <c r="I1196" s="3">
        <v>5</v>
      </c>
      <c r="J1196" s="3" t="s">
        <v>12</v>
      </c>
      <c r="K1196" s="18">
        <v>67</v>
      </c>
      <c r="L1196" s="16">
        <v>90</v>
      </c>
      <c r="M1196" s="6" t="str" cm="1">
        <f t="array" ref="M1196">_xlfn.IFS(L1196&lt;100,"Economy",L1196&lt;200,"Standard",L1196&lt;350,"Powerful",L1196&lt;500,"High Performance",L1196&lt;800,"Sports Performance",L1196&gt;=800,"Super Performance")</f>
        <v>Economy</v>
      </c>
    </row>
    <row r="1197" spans="1:13" x14ac:dyDescent="0.25">
      <c r="A1197" s="5" t="s">
        <v>93</v>
      </c>
      <c r="B1197" s="3" t="s">
        <v>94</v>
      </c>
      <c r="C1197" s="3" t="s">
        <v>101</v>
      </c>
      <c r="D1197" s="4">
        <v>475500</v>
      </c>
      <c r="E1197" s="3">
        <v>998</v>
      </c>
      <c r="F1197" s="3">
        <v>3</v>
      </c>
      <c r="G1197" s="3" t="s">
        <v>10</v>
      </c>
      <c r="H1197" s="3" t="s">
        <v>11</v>
      </c>
      <c r="I1197" s="3">
        <v>5</v>
      </c>
      <c r="J1197" s="3" t="s">
        <v>17</v>
      </c>
      <c r="K1197" s="18">
        <v>67</v>
      </c>
      <c r="L1197" s="16">
        <v>90</v>
      </c>
      <c r="M1197" s="6" t="str" cm="1">
        <f t="array" ref="M1197">_xlfn.IFS(L1197&lt;100,"Economy",L1197&lt;200,"Standard",L1197&lt;350,"Powerful",L1197&lt;500,"High Performance",L1197&lt;800,"Sports Performance",L1197&gt;=800,"Super Performance")</f>
        <v>Economy</v>
      </c>
    </row>
    <row r="1198" spans="1:13" x14ac:dyDescent="0.25">
      <c r="A1198" s="5" t="s">
        <v>93</v>
      </c>
      <c r="B1198" s="3" t="s">
        <v>94</v>
      </c>
      <c r="C1198" s="3" t="s">
        <v>102</v>
      </c>
      <c r="D1198" s="4">
        <v>456000</v>
      </c>
      <c r="E1198" s="3">
        <v>998</v>
      </c>
      <c r="F1198" s="3">
        <v>3</v>
      </c>
      <c r="G1198" s="3" t="s">
        <v>10</v>
      </c>
      <c r="H1198" s="3" t="s">
        <v>11</v>
      </c>
      <c r="I1198" s="3">
        <v>5</v>
      </c>
      <c r="J1198" s="3" t="s">
        <v>12</v>
      </c>
      <c r="K1198" s="18">
        <v>67</v>
      </c>
      <c r="L1198" s="16">
        <v>90</v>
      </c>
      <c r="M1198" s="6" t="str" cm="1">
        <f t="array" ref="M1198">_xlfn.IFS(L1198&lt;100,"Economy",L1198&lt;200,"Standard",L1198&lt;350,"Powerful",L1198&lt;500,"High Performance",L1198&lt;800,"Sports Performance",L1198&gt;=800,"Super Performance")</f>
        <v>Economy</v>
      </c>
    </row>
    <row r="1199" spans="1:13" x14ac:dyDescent="0.25">
      <c r="A1199" s="5" t="s">
        <v>93</v>
      </c>
      <c r="B1199" s="3" t="s">
        <v>94</v>
      </c>
      <c r="C1199" s="3" t="s">
        <v>103</v>
      </c>
      <c r="D1199" s="4">
        <v>481500</v>
      </c>
      <c r="E1199" s="3">
        <v>998</v>
      </c>
      <c r="F1199" s="3">
        <v>3</v>
      </c>
      <c r="G1199" s="3" t="s">
        <v>10</v>
      </c>
      <c r="H1199" s="3" t="s">
        <v>11</v>
      </c>
      <c r="I1199" s="3">
        <v>5</v>
      </c>
      <c r="J1199" s="3" t="s">
        <v>17</v>
      </c>
      <c r="K1199" s="18">
        <v>67</v>
      </c>
      <c r="L1199" s="16">
        <v>90</v>
      </c>
      <c r="M1199" s="6" t="str" cm="1">
        <f t="array" ref="M1199">_xlfn.IFS(L1199&lt;100,"Economy",L1199&lt;200,"Standard",L1199&lt;350,"Powerful",L1199&lt;500,"High Performance",L1199&lt;800,"Sports Performance",L1199&gt;=800,"Super Performance")</f>
        <v>Economy</v>
      </c>
    </row>
    <row r="1200" spans="1:13" x14ac:dyDescent="0.25">
      <c r="A1200" s="5" t="s">
        <v>93</v>
      </c>
      <c r="B1200" s="3" t="s">
        <v>94</v>
      </c>
      <c r="C1200" s="3" t="s">
        <v>104</v>
      </c>
      <c r="D1200" s="4">
        <v>499000</v>
      </c>
      <c r="E1200" s="3">
        <v>998</v>
      </c>
      <c r="F1200" s="3">
        <v>3</v>
      </c>
      <c r="G1200" s="3" t="s">
        <v>10</v>
      </c>
      <c r="H1200" s="3" t="s">
        <v>11</v>
      </c>
      <c r="I1200" s="3">
        <v>5</v>
      </c>
      <c r="J1200" s="3" t="s">
        <v>17</v>
      </c>
      <c r="K1200" s="18">
        <v>67</v>
      </c>
      <c r="L1200" s="16">
        <v>90</v>
      </c>
      <c r="M1200" s="6" t="str" cm="1">
        <f t="array" ref="M1200">_xlfn.IFS(L1200&lt;100,"Economy",L1200&lt;200,"Standard",L1200&lt;350,"Powerful",L1200&lt;500,"High Performance",L1200&lt;800,"Sports Performance",L1200&gt;=800,"Super Performance")</f>
        <v>Economy</v>
      </c>
    </row>
    <row r="1201" spans="1:13" x14ac:dyDescent="0.25">
      <c r="A1201" s="5" t="s">
        <v>182</v>
      </c>
      <c r="B1201" s="3" t="s">
        <v>183</v>
      </c>
      <c r="C1201" s="3" t="s">
        <v>99</v>
      </c>
      <c r="D1201" s="4">
        <v>479000</v>
      </c>
      <c r="E1201" s="3">
        <v>998</v>
      </c>
      <c r="F1201" s="3">
        <v>3</v>
      </c>
      <c r="G1201" s="3" t="s">
        <v>10</v>
      </c>
      <c r="H1201" s="3" t="s">
        <v>11</v>
      </c>
      <c r="I1201" s="3">
        <v>5</v>
      </c>
      <c r="J1201" s="3" t="s">
        <v>12</v>
      </c>
      <c r="K1201" s="18">
        <v>68</v>
      </c>
      <c r="L1201" s="16">
        <v>90</v>
      </c>
      <c r="M1201" s="6" t="str" cm="1">
        <f t="array" ref="M1201">_xlfn.IFS(L1201&lt;100,"Economy",L1201&lt;200,"Standard",L1201&lt;350,"Powerful",L1201&lt;500,"High Performance",L1201&lt;800,"Sports Performance",L1201&gt;=800,"Super Performance")</f>
        <v>Economy</v>
      </c>
    </row>
    <row r="1202" spans="1:13" x14ac:dyDescent="0.25">
      <c r="A1202" s="5" t="s">
        <v>182</v>
      </c>
      <c r="B1202" s="3" t="s">
        <v>183</v>
      </c>
      <c r="C1202" s="3" t="s">
        <v>101</v>
      </c>
      <c r="D1202" s="4">
        <v>526000</v>
      </c>
      <c r="E1202" s="3">
        <v>998</v>
      </c>
      <c r="F1202" s="3">
        <v>3</v>
      </c>
      <c r="G1202" s="3" t="s">
        <v>10</v>
      </c>
      <c r="H1202" s="3" t="s">
        <v>11</v>
      </c>
      <c r="I1202" s="3">
        <v>5</v>
      </c>
      <c r="J1202" s="3" t="s">
        <v>30</v>
      </c>
      <c r="K1202" s="18">
        <v>68</v>
      </c>
      <c r="L1202" s="16">
        <v>90</v>
      </c>
      <c r="M1202" s="6" t="str" cm="1">
        <f t="array" ref="M1202">_xlfn.IFS(L1202&lt;100,"Economy",L1202&lt;200,"Standard",L1202&lt;350,"Powerful",L1202&lt;500,"High Performance",L1202&lt;800,"Sports Performance",L1202&gt;=800,"Super Performance")</f>
        <v>Economy</v>
      </c>
    </row>
    <row r="1203" spans="1:13" x14ac:dyDescent="0.25">
      <c r="A1203" s="5" t="s">
        <v>182</v>
      </c>
      <c r="B1203" s="3" t="s">
        <v>183</v>
      </c>
      <c r="C1203" s="3" t="s">
        <v>97</v>
      </c>
      <c r="D1203" s="4">
        <v>434000</v>
      </c>
      <c r="E1203" s="3">
        <v>998</v>
      </c>
      <c r="F1203" s="3">
        <v>3</v>
      </c>
      <c r="G1203" s="3" t="s">
        <v>10</v>
      </c>
      <c r="H1203" s="3" t="s">
        <v>11</v>
      </c>
      <c r="I1203" s="3">
        <v>5</v>
      </c>
      <c r="J1203" s="3" t="s">
        <v>12</v>
      </c>
      <c r="K1203" s="18">
        <v>68</v>
      </c>
      <c r="L1203" s="16">
        <v>90</v>
      </c>
      <c r="M1203" s="6" t="str" cm="1">
        <f t="array" ref="M1203">_xlfn.IFS(L1203&lt;100,"Economy",L1203&lt;200,"Standard",L1203&lt;350,"Powerful",L1203&lt;500,"High Performance",L1203&lt;800,"Sports Performance",L1203&gt;=800,"Super Performance")</f>
        <v>Economy</v>
      </c>
    </row>
    <row r="1204" spans="1:13" x14ac:dyDescent="0.25">
      <c r="A1204" s="5" t="s">
        <v>182</v>
      </c>
      <c r="B1204" s="3" t="s">
        <v>183</v>
      </c>
      <c r="C1204" s="3" t="s">
        <v>98</v>
      </c>
      <c r="D1204" s="4">
        <v>441000</v>
      </c>
      <c r="E1204" s="3">
        <v>998</v>
      </c>
      <c r="F1204" s="3">
        <v>3</v>
      </c>
      <c r="G1204" s="3" t="s">
        <v>10</v>
      </c>
      <c r="H1204" s="3" t="s">
        <v>11</v>
      </c>
      <c r="I1204" s="3">
        <v>5</v>
      </c>
      <c r="J1204" s="3" t="s">
        <v>12</v>
      </c>
      <c r="K1204" s="18">
        <v>68</v>
      </c>
      <c r="L1204" s="16">
        <v>90</v>
      </c>
      <c r="M1204" s="6" t="str" cm="1">
        <f t="array" ref="M1204">_xlfn.IFS(L1204&lt;100,"Economy",L1204&lt;200,"Standard",L1204&lt;350,"Powerful",L1204&lt;500,"High Performance",L1204&lt;800,"Sports Performance",L1204&gt;=800,"Super Performance")</f>
        <v>Economy</v>
      </c>
    </row>
    <row r="1205" spans="1:13" x14ac:dyDescent="0.25">
      <c r="A1205" s="5" t="s">
        <v>182</v>
      </c>
      <c r="B1205" s="3" t="s">
        <v>183</v>
      </c>
      <c r="C1205" s="3" t="s">
        <v>100</v>
      </c>
      <c r="D1205" s="4">
        <v>486001</v>
      </c>
      <c r="E1205" s="3">
        <v>998</v>
      </c>
      <c r="F1205" s="3">
        <v>3</v>
      </c>
      <c r="G1205" s="3" t="s">
        <v>10</v>
      </c>
      <c r="H1205" s="3" t="s">
        <v>11</v>
      </c>
      <c r="I1205" s="3">
        <v>5</v>
      </c>
      <c r="J1205" s="3" t="s">
        <v>12</v>
      </c>
      <c r="K1205" s="18">
        <v>68</v>
      </c>
      <c r="L1205" s="16">
        <v>90</v>
      </c>
      <c r="M1205" s="6" t="str" cm="1">
        <f t="array" ref="M1205">_xlfn.IFS(L1205&lt;100,"Economy",L1205&lt;200,"Standard",L1205&lt;350,"Powerful",L1205&lt;500,"High Performance",L1205&lt;800,"Sports Performance",L1205&gt;=800,"Super Performance")</f>
        <v>Economy</v>
      </c>
    </row>
    <row r="1206" spans="1:13" x14ac:dyDescent="0.25">
      <c r="A1206" s="5" t="s">
        <v>182</v>
      </c>
      <c r="B1206" s="3" t="s">
        <v>183</v>
      </c>
      <c r="C1206" s="3" t="s">
        <v>190</v>
      </c>
      <c r="D1206" s="4">
        <v>533000</v>
      </c>
      <c r="E1206" s="3">
        <v>998</v>
      </c>
      <c r="F1206" s="3">
        <v>3</v>
      </c>
      <c r="G1206" s="3" t="s">
        <v>10</v>
      </c>
      <c r="H1206" s="3" t="s">
        <v>11</v>
      </c>
      <c r="I1206" s="3">
        <v>5</v>
      </c>
      <c r="J1206" s="3" t="s">
        <v>30</v>
      </c>
      <c r="K1206" s="18">
        <v>68</v>
      </c>
      <c r="L1206" s="16">
        <v>90</v>
      </c>
      <c r="M1206" s="6" t="str" cm="1">
        <f t="array" ref="M1206">_xlfn.IFS(L1206&lt;100,"Economy",L1206&lt;200,"Standard",L1206&lt;350,"Powerful",L1206&lt;500,"High Performance",L1206&lt;800,"Sports Performance",L1206&gt;=800,"Super Performance")</f>
        <v>Economy</v>
      </c>
    </row>
    <row r="1207" spans="1:13" x14ac:dyDescent="0.25">
      <c r="A1207" s="5" t="s">
        <v>182</v>
      </c>
      <c r="B1207" s="3" t="s">
        <v>183</v>
      </c>
      <c r="C1207" s="3" t="s">
        <v>191</v>
      </c>
      <c r="D1207" s="4">
        <v>500500</v>
      </c>
      <c r="E1207" s="3">
        <v>998</v>
      </c>
      <c r="F1207" s="3">
        <v>3</v>
      </c>
      <c r="G1207" s="3" t="s">
        <v>15</v>
      </c>
      <c r="H1207" s="3" t="s">
        <v>11</v>
      </c>
      <c r="I1207" s="3">
        <v>5</v>
      </c>
      <c r="J1207" s="3" t="s">
        <v>12</v>
      </c>
      <c r="K1207" s="18">
        <v>68</v>
      </c>
      <c r="L1207" s="16">
        <v>90</v>
      </c>
      <c r="M1207" s="6" t="str" cm="1">
        <f t="array" ref="M1207">_xlfn.IFS(L1207&lt;100,"Economy",L1207&lt;200,"Standard",L1207&lt;350,"Powerful",L1207&lt;500,"High Performance",L1207&lt;800,"Sports Performance",L1207&gt;=800,"Super Performance")</f>
        <v>Economy</v>
      </c>
    </row>
    <row r="1208" spans="1:13" x14ac:dyDescent="0.25">
      <c r="A1208" s="5" t="s">
        <v>182</v>
      </c>
      <c r="B1208" s="3" t="s">
        <v>183</v>
      </c>
      <c r="C1208" s="3" t="s">
        <v>192</v>
      </c>
      <c r="D1208" s="4">
        <v>507500</v>
      </c>
      <c r="E1208" s="3">
        <v>998</v>
      </c>
      <c r="F1208" s="3">
        <v>3</v>
      </c>
      <c r="G1208" s="3" t="s">
        <v>15</v>
      </c>
      <c r="H1208" s="3" t="s">
        <v>11</v>
      </c>
      <c r="I1208" s="3">
        <v>5</v>
      </c>
      <c r="J1208" s="3" t="s">
        <v>12</v>
      </c>
      <c r="K1208" s="18">
        <v>68</v>
      </c>
      <c r="L1208" s="16">
        <v>90</v>
      </c>
      <c r="M1208" s="6" t="str" cm="1">
        <f t="array" ref="M1208">_xlfn.IFS(L1208&lt;100,"Economy",L1208&lt;200,"Standard",L1208&lt;350,"Powerful",L1208&lt;500,"High Performance",L1208&lt;800,"Sports Performance",L1208&gt;=800,"Super Performance")</f>
        <v>Economy</v>
      </c>
    </row>
    <row r="1209" spans="1:13" x14ac:dyDescent="0.25">
      <c r="A1209" s="5" t="s">
        <v>93</v>
      </c>
      <c r="B1209" s="3" t="s">
        <v>371</v>
      </c>
      <c r="C1209" s="3" t="s">
        <v>372</v>
      </c>
      <c r="D1209" s="4">
        <v>422444</v>
      </c>
      <c r="E1209" s="3">
        <v>998</v>
      </c>
      <c r="F1209" s="3">
        <v>3</v>
      </c>
      <c r="G1209" s="3" t="s">
        <v>10</v>
      </c>
      <c r="H1209" s="3" t="s">
        <v>11</v>
      </c>
      <c r="I1209" s="3">
        <v>5</v>
      </c>
      <c r="J1209" s="3" t="s">
        <v>12</v>
      </c>
      <c r="K1209" s="18">
        <v>68</v>
      </c>
      <c r="L1209" s="16">
        <v>90</v>
      </c>
      <c r="M1209" s="6" t="str" cm="1">
        <f t="array" ref="M1209">_xlfn.IFS(L1209&lt;100,"Economy",L1209&lt;200,"Standard",L1209&lt;350,"Powerful",L1209&lt;500,"High Performance",L1209&lt;800,"Sports Performance",L1209&gt;=800,"Super Performance")</f>
        <v>Economy</v>
      </c>
    </row>
    <row r="1210" spans="1:13" x14ac:dyDescent="0.25">
      <c r="A1210" s="5" t="s">
        <v>93</v>
      </c>
      <c r="B1210" s="3" t="s">
        <v>379</v>
      </c>
      <c r="C1210" s="3" t="s">
        <v>97</v>
      </c>
      <c r="D1210" s="4">
        <v>426289</v>
      </c>
      <c r="E1210" s="3">
        <v>998</v>
      </c>
      <c r="F1210" s="3">
        <v>3</v>
      </c>
      <c r="G1210" s="3" t="s">
        <v>10</v>
      </c>
      <c r="H1210" s="3" t="s">
        <v>11</v>
      </c>
      <c r="I1210" s="3">
        <v>5</v>
      </c>
      <c r="J1210" s="3" t="s">
        <v>12</v>
      </c>
      <c r="K1210" s="18">
        <v>68</v>
      </c>
      <c r="L1210" s="16">
        <v>90</v>
      </c>
      <c r="M1210" s="6" t="str" cm="1">
        <f t="array" ref="M1210">_xlfn.IFS(L1210&lt;100,"Economy",L1210&lt;200,"Standard",L1210&lt;350,"Powerful",L1210&lt;500,"High Performance",L1210&lt;800,"Sports Performance",L1210&gt;=800,"Super Performance")</f>
        <v>Economy</v>
      </c>
    </row>
    <row r="1211" spans="1:13" x14ac:dyDescent="0.25">
      <c r="A1211" s="5" t="s">
        <v>93</v>
      </c>
      <c r="B1211" s="3" t="s">
        <v>379</v>
      </c>
      <c r="C1211" s="3" t="s">
        <v>380</v>
      </c>
      <c r="D1211" s="4">
        <v>434659</v>
      </c>
      <c r="E1211" s="3">
        <v>998</v>
      </c>
      <c r="F1211" s="3">
        <v>3</v>
      </c>
      <c r="G1211" s="3" t="s">
        <v>10</v>
      </c>
      <c r="H1211" s="3" t="s">
        <v>11</v>
      </c>
      <c r="I1211" s="3">
        <v>5</v>
      </c>
      <c r="J1211" s="3" t="s">
        <v>12</v>
      </c>
      <c r="K1211" s="18">
        <v>68</v>
      </c>
      <c r="L1211" s="16">
        <v>90</v>
      </c>
      <c r="M1211" s="6" t="str" cm="1">
        <f t="array" ref="M1211">_xlfn.IFS(L1211&lt;100,"Economy",L1211&lt;200,"Standard",L1211&lt;350,"Powerful",L1211&lt;500,"High Performance",L1211&lt;800,"Sports Performance",L1211&gt;=800,"Super Performance")</f>
        <v>Economy</v>
      </c>
    </row>
    <row r="1212" spans="1:13" x14ac:dyDescent="0.25">
      <c r="A1212" s="5" t="s">
        <v>93</v>
      </c>
      <c r="B1212" s="3" t="s">
        <v>606</v>
      </c>
      <c r="C1212" s="3" t="s">
        <v>97</v>
      </c>
      <c r="D1212" s="4">
        <v>377588</v>
      </c>
      <c r="E1212" s="3">
        <v>998</v>
      </c>
      <c r="F1212" s="3">
        <v>3</v>
      </c>
      <c r="G1212" s="3" t="s">
        <v>10</v>
      </c>
      <c r="H1212" s="3" t="s">
        <v>11</v>
      </c>
      <c r="I1212" s="3">
        <v>5</v>
      </c>
      <c r="J1212" s="3" t="s">
        <v>12</v>
      </c>
      <c r="K1212" s="18">
        <v>68</v>
      </c>
      <c r="L1212" s="16">
        <v>90</v>
      </c>
      <c r="M1212" s="6" t="str" cm="1">
        <f t="array" ref="M1212">_xlfn.IFS(L1212&lt;100,"Economy",L1212&lt;200,"Standard",L1212&lt;350,"Powerful",L1212&lt;500,"High Performance",L1212&lt;800,"Sports Performance",L1212&gt;=800,"Super Performance")</f>
        <v>Economy</v>
      </c>
    </row>
    <row r="1213" spans="1:13" x14ac:dyDescent="0.25">
      <c r="A1213" s="5" t="s">
        <v>93</v>
      </c>
      <c r="B1213" s="3" t="s">
        <v>606</v>
      </c>
      <c r="C1213" s="3" t="s">
        <v>99</v>
      </c>
      <c r="D1213" s="4">
        <v>394036</v>
      </c>
      <c r="E1213" s="3">
        <v>998</v>
      </c>
      <c r="F1213" s="3">
        <v>3</v>
      </c>
      <c r="G1213" s="3" t="s">
        <v>10</v>
      </c>
      <c r="H1213" s="3" t="s">
        <v>11</v>
      </c>
      <c r="I1213" s="3">
        <v>5</v>
      </c>
      <c r="J1213" s="3" t="s">
        <v>12</v>
      </c>
      <c r="K1213" s="18">
        <v>68</v>
      </c>
      <c r="L1213" s="16">
        <v>90</v>
      </c>
      <c r="M1213" s="6" t="str" cm="1">
        <f t="array" ref="M1213">_xlfn.IFS(L1213&lt;100,"Economy",L1213&lt;200,"Standard",L1213&lt;350,"Powerful",L1213&lt;500,"High Performance",L1213&lt;800,"Sports Performance",L1213&gt;=800,"Super Performance")</f>
        <v>Economy</v>
      </c>
    </row>
    <row r="1214" spans="1:13" x14ac:dyDescent="0.25">
      <c r="A1214" s="5" t="s">
        <v>93</v>
      </c>
      <c r="B1214" s="3" t="s">
        <v>606</v>
      </c>
      <c r="C1214" s="3" t="s">
        <v>881</v>
      </c>
      <c r="D1214" s="4">
        <v>360843</v>
      </c>
      <c r="E1214" s="3">
        <v>998</v>
      </c>
      <c r="F1214" s="3">
        <v>3</v>
      </c>
      <c r="G1214" s="3" t="s">
        <v>10</v>
      </c>
      <c r="H1214" s="3" t="s">
        <v>11</v>
      </c>
      <c r="I1214" s="3">
        <v>5</v>
      </c>
      <c r="J1214" s="3" t="s">
        <v>12</v>
      </c>
      <c r="K1214" s="18">
        <v>68</v>
      </c>
      <c r="L1214" s="16">
        <v>90</v>
      </c>
      <c r="M1214" s="6" t="str" cm="1">
        <f t="array" ref="M1214">_xlfn.IFS(L1214&lt;100,"Economy",L1214&lt;200,"Standard",L1214&lt;350,"Powerful",L1214&lt;500,"High Performance",L1214&lt;800,"Sports Performance",L1214&gt;=800,"Super Performance")</f>
        <v>Economy</v>
      </c>
    </row>
    <row r="1215" spans="1:13" x14ac:dyDescent="0.25">
      <c r="A1215" s="5" t="s">
        <v>93</v>
      </c>
      <c r="B1215" s="3" t="s">
        <v>606</v>
      </c>
      <c r="C1215" s="3" t="s">
        <v>100</v>
      </c>
      <c r="D1215" s="4">
        <v>407238</v>
      </c>
      <c r="E1215" s="3">
        <v>998</v>
      </c>
      <c r="F1215" s="3">
        <v>3</v>
      </c>
      <c r="G1215" s="3" t="s">
        <v>10</v>
      </c>
      <c r="H1215" s="3" t="s">
        <v>11</v>
      </c>
      <c r="I1215" s="3">
        <v>5</v>
      </c>
      <c r="J1215" s="3" t="s">
        <v>12</v>
      </c>
      <c r="K1215" s="18">
        <v>68</v>
      </c>
      <c r="L1215" s="16">
        <v>90</v>
      </c>
      <c r="M1215" s="6" t="str" cm="1">
        <f t="array" ref="M1215">_xlfn.IFS(L1215&lt;100,"Economy",L1215&lt;200,"Standard",L1215&lt;350,"Powerful",L1215&lt;500,"High Performance",L1215&lt;800,"Sports Performance",L1215&gt;=800,"Super Performance")</f>
        <v>Economy</v>
      </c>
    </row>
    <row r="1216" spans="1:13" x14ac:dyDescent="0.25">
      <c r="A1216" s="5" t="s">
        <v>93</v>
      </c>
      <c r="B1216" s="3" t="s">
        <v>606</v>
      </c>
      <c r="C1216" s="3" t="s">
        <v>1114</v>
      </c>
      <c r="D1216" s="4">
        <v>438559</v>
      </c>
      <c r="E1216" s="3">
        <v>998</v>
      </c>
      <c r="F1216" s="3">
        <v>3</v>
      </c>
      <c r="G1216" s="3" t="s">
        <v>10</v>
      </c>
      <c r="H1216" s="3" t="s">
        <v>11</v>
      </c>
      <c r="I1216" s="3">
        <v>5</v>
      </c>
      <c r="J1216" s="3" t="s">
        <v>30</v>
      </c>
      <c r="K1216" s="18">
        <v>68</v>
      </c>
      <c r="L1216" s="16">
        <v>90</v>
      </c>
      <c r="M1216" s="6" t="str" cm="1">
        <f t="array" ref="M1216">_xlfn.IFS(L1216&lt;100,"Economy",L1216&lt;200,"Standard",L1216&lt;350,"Powerful",L1216&lt;500,"High Performance",L1216&lt;800,"Sports Performance",L1216&gt;=800,"Super Performance")</f>
        <v>Economy</v>
      </c>
    </row>
    <row r="1217" spans="1:13" x14ac:dyDescent="0.25">
      <c r="A1217" s="5" t="s">
        <v>93</v>
      </c>
      <c r="B1217" s="3" t="s">
        <v>1330</v>
      </c>
      <c r="C1217" s="3" t="s">
        <v>99</v>
      </c>
      <c r="D1217" s="4">
        <v>475198</v>
      </c>
      <c r="E1217" s="3">
        <v>998</v>
      </c>
      <c r="F1217" s="3">
        <v>3</v>
      </c>
      <c r="G1217" s="3" t="s">
        <v>10</v>
      </c>
      <c r="H1217" s="3" t="s">
        <v>11</v>
      </c>
      <c r="I1217" s="3">
        <v>5</v>
      </c>
      <c r="J1217" s="3" t="s">
        <v>12</v>
      </c>
      <c r="K1217" s="18">
        <v>68</v>
      </c>
      <c r="L1217" s="16">
        <v>90</v>
      </c>
      <c r="M1217" s="6" t="str" cm="1">
        <f t="array" ref="M1217">_xlfn.IFS(L1217&lt;100,"Economy",L1217&lt;200,"Standard",L1217&lt;350,"Powerful",L1217&lt;500,"High Performance",L1217&lt;800,"Sports Performance",L1217&gt;=800,"Super Performance")</f>
        <v>Economy</v>
      </c>
    </row>
    <row r="1218" spans="1:13" x14ac:dyDescent="0.25">
      <c r="A1218" s="5" t="s">
        <v>93</v>
      </c>
      <c r="B1218" s="3" t="s">
        <v>1330</v>
      </c>
      <c r="C1218" s="3" t="s">
        <v>100</v>
      </c>
      <c r="D1218" s="4">
        <v>481074</v>
      </c>
      <c r="E1218" s="3">
        <v>998</v>
      </c>
      <c r="F1218" s="3">
        <v>3</v>
      </c>
      <c r="G1218" s="3" t="s">
        <v>10</v>
      </c>
      <c r="H1218" s="3" t="s">
        <v>11</v>
      </c>
      <c r="I1218" s="3">
        <v>5</v>
      </c>
      <c r="J1218" s="3" t="s">
        <v>12</v>
      </c>
      <c r="K1218" s="18">
        <v>68</v>
      </c>
      <c r="L1218" s="16">
        <v>90</v>
      </c>
      <c r="M1218" s="6" t="str" cm="1">
        <f t="array" ref="M1218">_xlfn.IFS(L1218&lt;100,"Economy",L1218&lt;200,"Standard",L1218&lt;350,"Powerful",L1218&lt;500,"High Performance",L1218&lt;800,"Sports Performance",L1218&gt;=800,"Super Performance")</f>
        <v>Economy</v>
      </c>
    </row>
    <row r="1219" spans="1:13" x14ac:dyDescent="0.25">
      <c r="A1219" s="5" t="s">
        <v>93</v>
      </c>
      <c r="B1219" s="3" t="s">
        <v>1330</v>
      </c>
      <c r="C1219" s="3" t="s">
        <v>1331</v>
      </c>
      <c r="D1219" s="4">
        <v>540350</v>
      </c>
      <c r="E1219" s="3">
        <v>998</v>
      </c>
      <c r="F1219" s="3">
        <v>3</v>
      </c>
      <c r="G1219" s="3" t="s">
        <v>10</v>
      </c>
      <c r="H1219" s="3" t="s">
        <v>11</v>
      </c>
      <c r="I1219" s="3">
        <v>5</v>
      </c>
      <c r="J1219" s="3" t="s">
        <v>12</v>
      </c>
      <c r="K1219" s="18">
        <v>68</v>
      </c>
      <c r="L1219" s="16">
        <v>90</v>
      </c>
      <c r="M1219" s="6" t="str" cm="1">
        <f t="array" ref="M1219">_xlfn.IFS(L1219&lt;100,"Economy",L1219&lt;200,"Standard",L1219&lt;350,"Powerful",L1219&lt;500,"High Performance",L1219&lt;800,"Sports Performance",L1219&gt;=800,"Super Performance")</f>
        <v>Economy</v>
      </c>
    </row>
    <row r="1220" spans="1:13" x14ac:dyDescent="0.25">
      <c r="A1220" s="5" t="s">
        <v>93</v>
      </c>
      <c r="B1220" s="3" t="s">
        <v>1330</v>
      </c>
      <c r="C1220" s="3" t="s">
        <v>1114</v>
      </c>
      <c r="D1220" s="4">
        <v>524074</v>
      </c>
      <c r="E1220" s="3">
        <v>998</v>
      </c>
      <c r="F1220" s="3">
        <v>3</v>
      </c>
      <c r="G1220" s="3" t="s">
        <v>10</v>
      </c>
      <c r="H1220" s="3" t="s">
        <v>11</v>
      </c>
      <c r="I1220" s="3">
        <v>5</v>
      </c>
      <c r="J1220" s="3" t="s">
        <v>30</v>
      </c>
      <c r="K1220" s="18">
        <v>68</v>
      </c>
      <c r="L1220" s="16">
        <v>90</v>
      </c>
      <c r="M1220" s="6" t="str" cm="1">
        <f t="array" ref="M1220">_xlfn.IFS(L1220&lt;100,"Economy",L1220&lt;200,"Standard",L1220&lt;350,"Powerful",L1220&lt;500,"High Performance",L1220&lt;800,"Sports Performance",L1220&gt;=800,"Super Performance")</f>
        <v>Economy</v>
      </c>
    </row>
    <row r="1221" spans="1:13" x14ac:dyDescent="0.25">
      <c r="A1221" s="5" t="s">
        <v>93</v>
      </c>
      <c r="B1221" s="3" t="s">
        <v>1330</v>
      </c>
      <c r="C1221" s="3" t="s">
        <v>264</v>
      </c>
      <c r="D1221" s="4">
        <v>499734</v>
      </c>
      <c r="E1221" s="3">
        <v>998</v>
      </c>
      <c r="F1221" s="3">
        <v>3</v>
      </c>
      <c r="G1221" s="3" t="s">
        <v>10</v>
      </c>
      <c r="H1221" s="3" t="s">
        <v>11</v>
      </c>
      <c r="I1221" s="3">
        <v>5</v>
      </c>
      <c r="J1221" s="3" t="s">
        <v>12</v>
      </c>
      <c r="K1221" s="18">
        <v>68</v>
      </c>
      <c r="L1221" s="16">
        <v>90</v>
      </c>
      <c r="M1221" s="6" t="str" cm="1">
        <f t="array" ref="M1221">_xlfn.IFS(L1221&lt;100,"Economy",L1221&lt;200,"Standard",L1221&lt;350,"Powerful",L1221&lt;500,"High Performance",L1221&lt;800,"Sports Performance",L1221&gt;=800,"Super Performance")</f>
        <v>Economy</v>
      </c>
    </row>
    <row r="1222" spans="1:13" x14ac:dyDescent="0.25">
      <c r="A1222" s="5" t="s">
        <v>93</v>
      </c>
      <c r="B1222" s="3" t="s">
        <v>1330</v>
      </c>
      <c r="C1222" s="3" t="s">
        <v>713</v>
      </c>
      <c r="D1222" s="4">
        <v>518198</v>
      </c>
      <c r="E1222" s="3">
        <v>998</v>
      </c>
      <c r="F1222" s="3">
        <v>3</v>
      </c>
      <c r="G1222" s="3" t="s">
        <v>10</v>
      </c>
      <c r="H1222" s="3" t="s">
        <v>11</v>
      </c>
      <c r="I1222" s="3">
        <v>5</v>
      </c>
      <c r="J1222" s="3" t="s">
        <v>30</v>
      </c>
      <c r="K1222" s="18">
        <v>68</v>
      </c>
      <c r="L1222" s="16">
        <v>90</v>
      </c>
      <c r="M1222" s="6" t="str" cm="1">
        <f t="array" ref="M1222">_xlfn.IFS(L1222&lt;100,"Economy",L1222&lt;200,"Standard",L1222&lt;350,"Powerful",L1222&lt;500,"High Performance",L1222&lt;800,"Sports Performance",L1222&gt;=800,"Super Performance")</f>
        <v>Economy</v>
      </c>
    </row>
    <row r="1223" spans="1:13" x14ac:dyDescent="0.25">
      <c r="A1223" s="5" t="s">
        <v>93</v>
      </c>
      <c r="B1223" s="3" t="s">
        <v>1330</v>
      </c>
      <c r="C1223" s="3" t="s">
        <v>1332</v>
      </c>
      <c r="D1223" s="4">
        <v>552350</v>
      </c>
      <c r="E1223" s="3">
        <v>998</v>
      </c>
      <c r="F1223" s="3">
        <v>3</v>
      </c>
      <c r="G1223" s="3" t="s">
        <v>10</v>
      </c>
      <c r="H1223" s="3" t="s">
        <v>11</v>
      </c>
      <c r="I1223" s="3">
        <v>5</v>
      </c>
      <c r="J1223" s="3" t="s">
        <v>30</v>
      </c>
      <c r="K1223" s="18">
        <v>68</v>
      </c>
      <c r="L1223" s="16">
        <v>90</v>
      </c>
      <c r="M1223" s="6" t="str" cm="1">
        <f t="array" ref="M1223">_xlfn.IFS(L1223&lt;100,"Economy",L1223&lt;200,"Standard",L1223&lt;350,"Powerful",L1223&lt;500,"High Performance",L1223&lt;800,"Sports Performance",L1223&gt;=800,"Super Performance")</f>
        <v>Economy</v>
      </c>
    </row>
    <row r="1224" spans="1:13" x14ac:dyDescent="0.25">
      <c r="A1224" s="5" t="s">
        <v>93</v>
      </c>
      <c r="B1224" s="3" t="s">
        <v>1330</v>
      </c>
      <c r="C1224" s="3" t="s">
        <v>714</v>
      </c>
      <c r="D1224" s="4">
        <v>542735</v>
      </c>
      <c r="E1224" s="3">
        <v>998</v>
      </c>
      <c r="F1224" s="3">
        <v>3</v>
      </c>
      <c r="G1224" s="3" t="s">
        <v>10</v>
      </c>
      <c r="H1224" s="3" t="s">
        <v>11</v>
      </c>
      <c r="I1224" s="3">
        <v>5</v>
      </c>
      <c r="J1224" s="3" t="s">
        <v>30</v>
      </c>
      <c r="K1224" s="18">
        <v>68</v>
      </c>
      <c r="L1224" s="16">
        <v>90</v>
      </c>
      <c r="M1224" s="6" t="str" cm="1">
        <f t="array" ref="M1224">_xlfn.IFS(L1224&lt;100,"Economy",L1224&lt;200,"Standard",L1224&lt;350,"Powerful",L1224&lt;500,"High Performance",L1224&lt;800,"Sports Performance",L1224&gt;=800,"Super Performance")</f>
        <v>Economy</v>
      </c>
    </row>
    <row r="1225" spans="1:13" x14ac:dyDescent="0.25">
      <c r="A1225" s="5" t="s">
        <v>93</v>
      </c>
      <c r="B1225" s="3" t="s">
        <v>379</v>
      </c>
      <c r="C1225" s="3" t="s">
        <v>99</v>
      </c>
      <c r="D1225" s="4">
        <v>465138</v>
      </c>
      <c r="E1225" s="3">
        <v>998</v>
      </c>
      <c r="F1225" s="3">
        <v>3</v>
      </c>
      <c r="G1225" s="3" t="s">
        <v>10</v>
      </c>
      <c r="H1225" s="3" t="s">
        <v>11</v>
      </c>
      <c r="I1225" s="3">
        <v>5</v>
      </c>
      <c r="J1225" s="3" t="s">
        <v>12</v>
      </c>
      <c r="K1225" s="18">
        <v>68</v>
      </c>
      <c r="L1225" s="16">
        <v>90</v>
      </c>
      <c r="M1225" s="6" t="str" cm="1">
        <f t="array" ref="M1225">_xlfn.IFS(L1225&lt;100,"Economy",L1225&lt;200,"Standard",L1225&lt;350,"Powerful",L1225&lt;500,"High Performance",L1225&lt;800,"Sports Performance",L1225&gt;=800,"Super Performance")</f>
        <v>Economy</v>
      </c>
    </row>
    <row r="1226" spans="1:13" x14ac:dyDescent="0.25">
      <c r="A1226" s="5" t="s">
        <v>93</v>
      </c>
      <c r="B1226" s="3" t="s">
        <v>379</v>
      </c>
      <c r="C1226" s="3" t="s">
        <v>264</v>
      </c>
      <c r="D1226" s="4">
        <v>490924</v>
      </c>
      <c r="E1226" s="3">
        <v>998</v>
      </c>
      <c r="F1226" s="3">
        <v>3</v>
      </c>
      <c r="G1226" s="3" t="s">
        <v>10</v>
      </c>
      <c r="H1226" s="3" t="s">
        <v>11</v>
      </c>
      <c r="I1226" s="3">
        <v>5</v>
      </c>
      <c r="J1226" s="3" t="s">
        <v>12</v>
      </c>
      <c r="K1226" s="18">
        <v>68</v>
      </c>
      <c r="L1226" s="16">
        <v>90</v>
      </c>
      <c r="M1226" s="6" t="str" cm="1">
        <f t="array" ref="M1226">_xlfn.IFS(L1226&lt;100,"Economy",L1226&lt;200,"Standard",L1226&lt;350,"Powerful",L1226&lt;500,"High Performance",L1226&lt;800,"Sports Performance",L1226&gt;=800,"Super Performance")</f>
        <v>Economy</v>
      </c>
    </row>
    <row r="1227" spans="1:13" x14ac:dyDescent="0.25">
      <c r="A1227" s="5" t="s">
        <v>93</v>
      </c>
      <c r="B1227" s="3" t="s">
        <v>379</v>
      </c>
      <c r="C1227" s="3" t="s">
        <v>265</v>
      </c>
      <c r="D1227" s="4">
        <v>508138</v>
      </c>
      <c r="E1227" s="3">
        <v>998</v>
      </c>
      <c r="F1227" s="3">
        <v>3</v>
      </c>
      <c r="G1227" s="3" t="s">
        <v>10</v>
      </c>
      <c r="H1227" s="3" t="s">
        <v>11</v>
      </c>
      <c r="I1227" s="3">
        <v>5</v>
      </c>
      <c r="J1227" s="3" t="s">
        <v>30</v>
      </c>
      <c r="K1227" s="18">
        <v>68</v>
      </c>
      <c r="L1227" s="16">
        <v>90</v>
      </c>
      <c r="M1227" s="6" t="str" cm="1">
        <f t="array" ref="M1227">_xlfn.IFS(L1227&lt;100,"Economy",L1227&lt;200,"Standard",L1227&lt;350,"Powerful",L1227&lt;500,"High Performance",L1227&lt;800,"Sports Performance",L1227&gt;=800,"Super Performance")</f>
        <v>Economy</v>
      </c>
    </row>
    <row r="1228" spans="1:13" x14ac:dyDescent="0.25">
      <c r="A1228" s="5" t="s">
        <v>93</v>
      </c>
      <c r="B1228" s="3" t="s">
        <v>379</v>
      </c>
      <c r="C1228" s="3" t="s">
        <v>1348</v>
      </c>
      <c r="D1228" s="4">
        <v>531279</v>
      </c>
      <c r="E1228" s="3">
        <v>998</v>
      </c>
      <c r="F1228" s="3">
        <v>3</v>
      </c>
      <c r="G1228" s="3" t="s">
        <v>10</v>
      </c>
      <c r="H1228" s="3" t="s">
        <v>11</v>
      </c>
      <c r="I1228" s="3">
        <v>5</v>
      </c>
      <c r="J1228" s="3" t="s">
        <v>12</v>
      </c>
      <c r="K1228" s="18">
        <v>68</v>
      </c>
      <c r="L1228" s="16">
        <v>90</v>
      </c>
      <c r="M1228" s="6" t="str" cm="1">
        <f t="array" ref="M1228">_xlfn.IFS(L1228&lt;100,"Economy",L1228&lt;200,"Standard",L1228&lt;350,"Powerful",L1228&lt;500,"High Performance",L1228&lt;800,"Sports Performance",L1228&gt;=800,"Super Performance")</f>
        <v>Economy</v>
      </c>
    </row>
    <row r="1229" spans="1:13" x14ac:dyDescent="0.25">
      <c r="A1229" s="5" t="s">
        <v>93</v>
      </c>
      <c r="B1229" s="3" t="s">
        <v>379</v>
      </c>
      <c r="C1229" s="3" t="s">
        <v>1349</v>
      </c>
      <c r="D1229" s="4">
        <v>472257</v>
      </c>
      <c r="E1229" s="3">
        <v>998</v>
      </c>
      <c r="F1229" s="3">
        <v>3</v>
      </c>
      <c r="G1229" s="3" t="s">
        <v>10</v>
      </c>
      <c r="H1229" s="3" t="s">
        <v>11</v>
      </c>
      <c r="I1229" s="3">
        <v>5</v>
      </c>
      <c r="J1229" s="3" t="s">
        <v>12</v>
      </c>
      <c r="K1229" s="18">
        <v>68</v>
      </c>
      <c r="L1229" s="16">
        <v>90</v>
      </c>
      <c r="M1229" s="6" t="str" cm="1">
        <f t="array" ref="M1229">_xlfn.IFS(L1229&lt;100,"Economy",L1229&lt;200,"Standard",L1229&lt;350,"Powerful",L1229&lt;500,"High Performance",L1229&lt;800,"Sports Performance",L1229&gt;=800,"Super Performance")</f>
        <v>Economy</v>
      </c>
    </row>
    <row r="1230" spans="1:13" x14ac:dyDescent="0.25">
      <c r="A1230" s="5" t="s">
        <v>93</v>
      </c>
      <c r="B1230" s="3" t="s">
        <v>379</v>
      </c>
      <c r="C1230" s="3" t="s">
        <v>1350</v>
      </c>
      <c r="D1230" s="4">
        <v>533924</v>
      </c>
      <c r="E1230" s="3">
        <v>998</v>
      </c>
      <c r="F1230" s="3">
        <v>3</v>
      </c>
      <c r="G1230" s="3" t="s">
        <v>10</v>
      </c>
      <c r="H1230" s="3" t="s">
        <v>11</v>
      </c>
      <c r="I1230" s="3">
        <v>5</v>
      </c>
      <c r="J1230" s="3" t="s">
        <v>30</v>
      </c>
      <c r="K1230" s="18">
        <v>68</v>
      </c>
      <c r="L1230" s="16">
        <v>90</v>
      </c>
      <c r="M1230" s="6" t="str" cm="1">
        <f t="array" ref="M1230">_xlfn.IFS(L1230&lt;100,"Economy",L1230&lt;200,"Standard",L1230&lt;350,"Powerful",L1230&lt;500,"High Performance",L1230&lt;800,"Sports Performance",L1230&gt;=800,"Super Performance")</f>
        <v>Economy</v>
      </c>
    </row>
    <row r="1231" spans="1:13" x14ac:dyDescent="0.25">
      <c r="A1231" s="5" t="s">
        <v>93</v>
      </c>
      <c r="B1231" s="3" t="s">
        <v>379</v>
      </c>
      <c r="C1231" s="3" t="s">
        <v>1351</v>
      </c>
      <c r="D1231" s="4">
        <v>543279</v>
      </c>
      <c r="E1231" s="3">
        <v>998</v>
      </c>
      <c r="F1231" s="3">
        <v>3</v>
      </c>
      <c r="G1231" s="3" t="s">
        <v>10</v>
      </c>
      <c r="H1231" s="3" t="s">
        <v>11</v>
      </c>
      <c r="I1231" s="3">
        <v>5</v>
      </c>
      <c r="J1231" s="3" t="s">
        <v>30</v>
      </c>
      <c r="K1231" s="18">
        <v>68</v>
      </c>
      <c r="L1231" s="16">
        <v>90</v>
      </c>
      <c r="M1231" s="6" t="str" cm="1">
        <f t="array" ref="M1231">_xlfn.IFS(L1231&lt;100,"Economy",L1231&lt;200,"Standard",L1231&lt;350,"Powerful",L1231&lt;500,"High Performance",L1231&lt;800,"Sports Performance",L1231&gt;=800,"Super Performance")</f>
        <v>Economy</v>
      </c>
    </row>
    <row r="1232" spans="1:13" x14ac:dyDescent="0.25">
      <c r="A1232" s="5" t="s">
        <v>93</v>
      </c>
      <c r="B1232" s="3" t="s">
        <v>379</v>
      </c>
      <c r="C1232" s="3" t="s">
        <v>103</v>
      </c>
      <c r="D1232" s="4">
        <v>515257</v>
      </c>
      <c r="E1232" s="3">
        <v>998</v>
      </c>
      <c r="F1232" s="3">
        <v>3</v>
      </c>
      <c r="G1232" s="3" t="s">
        <v>10</v>
      </c>
      <c r="H1232" s="3" t="s">
        <v>11</v>
      </c>
      <c r="I1232" s="3">
        <v>5</v>
      </c>
      <c r="J1232" s="3" t="s">
        <v>30</v>
      </c>
      <c r="K1232" s="18">
        <v>68</v>
      </c>
      <c r="L1232" s="16">
        <v>90</v>
      </c>
      <c r="M1232" s="6" t="str" cm="1">
        <f t="array" ref="M1232">_xlfn.IFS(L1232&lt;100,"Economy",L1232&lt;200,"Standard",L1232&lt;350,"Powerful",L1232&lt;500,"High Performance",L1232&lt;800,"Sports Performance",L1232&gt;=800,"Super Performance")</f>
        <v>Economy</v>
      </c>
    </row>
    <row r="1233" spans="1:13" x14ac:dyDescent="0.25">
      <c r="A1233" s="5" t="s">
        <v>93</v>
      </c>
      <c r="B1233" s="3" t="s">
        <v>699</v>
      </c>
      <c r="C1233" s="3" t="s">
        <v>700</v>
      </c>
      <c r="D1233" s="4">
        <v>466057</v>
      </c>
      <c r="E1233" s="3">
        <v>1196</v>
      </c>
      <c r="F1233" s="3">
        <v>4</v>
      </c>
      <c r="G1233" s="3" t="s">
        <v>15</v>
      </c>
      <c r="H1233" s="3" t="s">
        <v>226</v>
      </c>
      <c r="I1233" s="3">
        <v>5</v>
      </c>
      <c r="J1233" s="3" t="s">
        <v>12</v>
      </c>
      <c r="K1233" s="18">
        <v>62</v>
      </c>
      <c r="L1233" s="16">
        <v>85</v>
      </c>
      <c r="M1233" s="6" t="str" cm="1">
        <f t="array" ref="M1233">_xlfn.IFS(L1233&lt;100,"Economy",L1233&lt;200,"Standard",L1233&lt;350,"Powerful",L1233&lt;500,"High Performance",L1233&lt;800,"Sports Performance",L1233&gt;=800,"Super Performance")</f>
        <v>Economy</v>
      </c>
    </row>
    <row r="1234" spans="1:13" x14ac:dyDescent="0.25">
      <c r="A1234" s="5" t="s">
        <v>93</v>
      </c>
      <c r="B1234" s="3" t="s">
        <v>699</v>
      </c>
      <c r="C1234" s="3" t="s">
        <v>701</v>
      </c>
      <c r="D1234" s="4">
        <v>425255</v>
      </c>
      <c r="E1234" s="3">
        <v>1196</v>
      </c>
      <c r="F1234" s="3">
        <v>4</v>
      </c>
      <c r="G1234" s="3" t="s">
        <v>15</v>
      </c>
      <c r="H1234" s="3" t="s">
        <v>226</v>
      </c>
      <c r="I1234" s="3">
        <v>5</v>
      </c>
      <c r="J1234" s="3" t="s">
        <v>12</v>
      </c>
      <c r="K1234" s="18">
        <v>62</v>
      </c>
      <c r="L1234" s="16">
        <v>85</v>
      </c>
      <c r="M1234" s="6" t="str" cm="1">
        <f t="array" ref="M1234">_xlfn.IFS(L1234&lt;100,"Economy",L1234&lt;200,"Standard",L1234&lt;350,"Powerful",L1234&lt;500,"High Performance",L1234&lt;800,"Sports Performance",L1234&gt;=800,"Super Performance")</f>
        <v>Economy</v>
      </c>
    </row>
    <row r="1235" spans="1:13" x14ac:dyDescent="0.25">
      <c r="A1235" s="5" t="s">
        <v>7</v>
      </c>
      <c r="B1235" s="3" t="s">
        <v>8</v>
      </c>
      <c r="C1235" s="3" t="s">
        <v>19</v>
      </c>
      <c r="D1235" s="4">
        <v>578990</v>
      </c>
      <c r="E1235" s="3">
        <v>1086</v>
      </c>
      <c r="F1235" s="3">
        <v>4</v>
      </c>
      <c r="G1235" s="3" t="s">
        <v>15</v>
      </c>
      <c r="H1235" s="3" t="s">
        <v>11</v>
      </c>
      <c r="I1235" s="3">
        <v>5</v>
      </c>
      <c r="J1235" s="3" t="s">
        <v>12</v>
      </c>
      <c r="K1235" s="18">
        <v>59</v>
      </c>
      <c r="L1235" s="16">
        <v>81.395195000000001</v>
      </c>
      <c r="M1235" s="6" t="str" cm="1">
        <f t="array" ref="M1235">_xlfn.IFS(L1235&lt;100,"Economy",L1235&lt;200,"Standard",L1235&lt;350,"Powerful",L1235&lt;500,"High Performance",L1235&lt;800,"Sports Performance",L1235&gt;=800,"Super Performance")</f>
        <v>Economy</v>
      </c>
    </row>
    <row r="1236" spans="1:13" x14ac:dyDescent="0.25">
      <c r="A1236" s="5" t="s">
        <v>93</v>
      </c>
      <c r="B1236" s="3" t="s">
        <v>606</v>
      </c>
      <c r="C1236" s="3" t="s">
        <v>607</v>
      </c>
      <c r="D1236" s="4">
        <v>439777</v>
      </c>
      <c r="E1236" s="3">
        <v>998</v>
      </c>
      <c r="F1236" s="3">
        <v>3</v>
      </c>
      <c r="G1236" s="3" t="s">
        <v>15</v>
      </c>
      <c r="H1236" s="3" t="s">
        <v>11</v>
      </c>
      <c r="I1236" s="3">
        <v>5</v>
      </c>
      <c r="J1236" s="3" t="s">
        <v>12</v>
      </c>
      <c r="K1236" s="18">
        <v>59</v>
      </c>
      <c r="L1236" s="16">
        <v>78</v>
      </c>
      <c r="M1236" s="6" t="str" cm="1">
        <f t="array" ref="M1236">_xlfn.IFS(L1236&lt;100,"Economy",L1236&lt;200,"Standard",L1236&lt;350,"Powerful",L1236&lt;500,"High Performance",L1236&lt;800,"Sports Performance",L1236&gt;=800,"Super Performance")</f>
        <v>Economy</v>
      </c>
    </row>
    <row r="1237" spans="1:13" x14ac:dyDescent="0.25">
      <c r="A1237" s="5" t="s">
        <v>93</v>
      </c>
      <c r="B1237" s="3" t="s">
        <v>371</v>
      </c>
      <c r="C1237" s="3" t="s">
        <v>612</v>
      </c>
      <c r="D1237" s="4">
        <v>480670</v>
      </c>
      <c r="E1237" s="3">
        <v>998</v>
      </c>
      <c r="F1237" s="3">
        <v>3</v>
      </c>
      <c r="G1237" s="3" t="s">
        <v>15</v>
      </c>
      <c r="H1237" s="3" t="s">
        <v>11</v>
      </c>
      <c r="I1237" s="3">
        <v>5</v>
      </c>
      <c r="J1237" s="3" t="s">
        <v>12</v>
      </c>
      <c r="K1237" s="18">
        <v>59</v>
      </c>
      <c r="L1237" s="16">
        <v>78</v>
      </c>
      <c r="M1237" s="6" t="str" cm="1">
        <f t="array" ref="M1237">_xlfn.IFS(L1237&lt;100,"Economy",L1237&lt;200,"Standard",L1237&lt;350,"Powerful",L1237&lt;500,"High Performance",L1237&lt;800,"Sports Performance",L1237&gt;=800,"Super Performance")</f>
        <v>Economy</v>
      </c>
    </row>
    <row r="1238" spans="1:13" x14ac:dyDescent="0.25">
      <c r="A1238" s="5" t="s">
        <v>93</v>
      </c>
      <c r="B1238" s="3" t="s">
        <v>379</v>
      </c>
      <c r="C1238" s="3" t="s">
        <v>630</v>
      </c>
      <c r="D1238" s="4">
        <v>530000</v>
      </c>
      <c r="E1238" s="3">
        <v>998</v>
      </c>
      <c r="F1238" s="3">
        <v>3</v>
      </c>
      <c r="G1238" s="3" t="s">
        <v>15</v>
      </c>
      <c r="H1238" s="3" t="s">
        <v>11</v>
      </c>
      <c r="I1238" s="3">
        <v>5</v>
      </c>
      <c r="J1238" s="3" t="s">
        <v>12</v>
      </c>
      <c r="K1238" s="18">
        <v>59</v>
      </c>
      <c r="L1238" s="16">
        <v>78</v>
      </c>
      <c r="M1238" s="6" t="str" cm="1">
        <f t="array" ref="M1238">_xlfn.IFS(L1238&lt;100,"Economy",L1238&lt;200,"Standard",L1238&lt;350,"Powerful",L1238&lt;500,"High Performance",L1238&lt;800,"Sports Performance",L1238&gt;=800,"Super Performance")</f>
        <v>Economy</v>
      </c>
    </row>
    <row r="1239" spans="1:13" x14ac:dyDescent="0.25">
      <c r="A1239" s="5" t="s">
        <v>350</v>
      </c>
      <c r="B1239" s="3" t="s">
        <v>351</v>
      </c>
      <c r="C1239" s="3" t="s">
        <v>352</v>
      </c>
      <c r="D1239" s="4">
        <v>353290</v>
      </c>
      <c r="E1239" s="3">
        <v>799</v>
      </c>
      <c r="F1239" s="3">
        <v>3</v>
      </c>
      <c r="G1239" s="3" t="s">
        <v>10</v>
      </c>
      <c r="H1239" s="3" t="s">
        <v>11</v>
      </c>
      <c r="I1239" s="3">
        <v>5</v>
      </c>
      <c r="J1239" s="3" t="s">
        <v>12</v>
      </c>
      <c r="K1239" s="18">
        <v>54</v>
      </c>
      <c r="L1239" s="16">
        <v>72</v>
      </c>
      <c r="M1239" s="6" t="str" cm="1">
        <f t="array" ref="M1239">_xlfn.IFS(L1239&lt;100,"Economy",L1239&lt;200,"Standard",L1239&lt;350,"Powerful",L1239&lt;500,"High Performance",L1239&lt;800,"Sports Performance",L1239&gt;=800,"Super Performance")</f>
        <v>Economy</v>
      </c>
    </row>
    <row r="1240" spans="1:13" x14ac:dyDescent="0.25">
      <c r="A1240" s="5" t="s">
        <v>350</v>
      </c>
      <c r="B1240" s="3" t="s">
        <v>351</v>
      </c>
      <c r="C1240" s="3" t="s">
        <v>353</v>
      </c>
      <c r="D1240" s="4">
        <v>283290</v>
      </c>
      <c r="E1240" s="3">
        <v>799</v>
      </c>
      <c r="F1240" s="3">
        <v>3</v>
      </c>
      <c r="G1240" s="3" t="s">
        <v>10</v>
      </c>
      <c r="H1240" s="3" t="s">
        <v>11</v>
      </c>
      <c r="I1240" s="3">
        <v>5</v>
      </c>
      <c r="J1240" s="3" t="s">
        <v>12</v>
      </c>
      <c r="K1240" s="18">
        <v>54</v>
      </c>
      <c r="L1240" s="16">
        <v>72</v>
      </c>
      <c r="M1240" s="6" t="str" cm="1">
        <f t="array" ref="M1240">_xlfn.IFS(L1240&lt;100,"Economy",L1240&lt;200,"Standard",L1240&lt;350,"Powerful",L1240&lt;500,"High Performance",L1240&lt;800,"Sports Performance",L1240&gt;=800,"Super Performance")</f>
        <v>Economy</v>
      </c>
    </row>
    <row r="1241" spans="1:13" x14ac:dyDescent="0.25">
      <c r="A1241" s="5" t="s">
        <v>350</v>
      </c>
      <c r="B1241" s="3" t="s">
        <v>351</v>
      </c>
      <c r="C1241" s="3" t="s">
        <v>354</v>
      </c>
      <c r="D1241" s="4">
        <v>383290</v>
      </c>
      <c r="E1241" s="3">
        <v>799</v>
      </c>
      <c r="F1241" s="3">
        <v>3</v>
      </c>
      <c r="G1241" s="3" t="s">
        <v>10</v>
      </c>
      <c r="H1241" s="3" t="s">
        <v>11</v>
      </c>
      <c r="I1241" s="3">
        <v>5</v>
      </c>
      <c r="J1241" s="3" t="s">
        <v>12</v>
      </c>
      <c r="K1241" s="18">
        <v>54</v>
      </c>
      <c r="L1241" s="16">
        <v>72</v>
      </c>
      <c r="M1241" s="6" t="str" cm="1">
        <f t="array" ref="M1241">_xlfn.IFS(L1241&lt;100,"Economy",L1241&lt;200,"Standard",L1241&lt;350,"Powerful",L1241&lt;500,"High Performance",L1241&lt;800,"Sports Performance",L1241&gt;=800,"Super Performance")</f>
        <v>Economy</v>
      </c>
    </row>
    <row r="1242" spans="1:13" x14ac:dyDescent="0.25">
      <c r="A1242" s="5" t="s">
        <v>350</v>
      </c>
      <c r="B1242" s="3" t="s">
        <v>351</v>
      </c>
      <c r="C1242" s="3" t="s">
        <v>355</v>
      </c>
      <c r="D1242" s="4">
        <v>413290</v>
      </c>
      <c r="E1242" s="3">
        <v>799</v>
      </c>
      <c r="F1242" s="3">
        <v>3</v>
      </c>
      <c r="G1242" s="3" t="s">
        <v>10</v>
      </c>
      <c r="H1242" s="3" t="s">
        <v>11</v>
      </c>
      <c r="I1242" s="3">
        <v>5</v>
      </c>
      <c r="J1242" s="3" t="s">
        <v>12</v>
      </c>
      <c r="K1242" s="18">
        <v>54</v>
      </c>
      <c r="L1242" s="16">
        <v>72</v>
      </c>
      <c r="M1242" s="6" t="str" cm="1">
        <f t="array" ref="M1242">_xlfn.IFS(L1242&lt;100,"Economy",L1242&lt;200,"Standard",L1242&lt;350,"Powerful",L1242&lt;500,"High Performance",L1242&lt;800,"Sports Performance",L1242&gt;=800,"Super Performance")</f>
        <v>Economy</v>
      </c>
    </row>
    <row r="1243" spans="1:13" x14ac:dyDescent="0.25">
      <c r="A1243" s="5" t="s">
        <v>364</v>
      </c>
      <c r="B1243" s="3" t="s">
        <v>603</v>
      </c>
      <c r="C1243" s="3" t="s">
        <v>608</v>
      </c>
      <c r="D1243" s="4">
        <v>279650</v>
      </c>
      <c r="E1243" s="3">
        <v>799</v>
      </c>
      <c r="F1243" s="3">
        <v>3</v>
      </c>
      <c r="G1243" s="3" t="s">
        <v>10</v>
      </c>
      <c r="H1243" s="3" t="s">
        <v>11</v>
      </c>
      <c r="I1243" s="3">
        <v>5</v>
      </c>
      <c r="J1243" s="3" t="s">
        <v>12</v>
      </c>
      <c r="K1243" s="18">
        <v>54</v>
      </c>
      <c r="L1243" s="16">
        <v>72</v>
      </c>
      <c r="M1243" s="6" t="str" cm="1">
        <f t="array" ref="M1243">_xlfn.IFS(L1243&lt;100,"Economy",L1243&lt;200,"Standard",L1243&lt;350,"Powerful",L1243&lt;500,"High Performance",L1243&lt;800,"Sports Performance",L1243&gt;=800,"Super Performance")</f>
        <v>Economy</v>
      </c>
    </row>
    <row r="1244" spans="1:13" x14ac:dyDescent="0.25">
      <c r="A1244" s="5" t="s">
        <v>364</v>
      </c>
      <c r="B1244" s="3" t="s">
        <v>603</v>
      </c>
      <c r="C1244" s="3" t="s">
        <v>609</v>
      </c>
      <c r="D1244" s="4">
        <v>351832</v>
      </c>
      <c r="E1244" s="3">
        <v>799</v>
      </c>
      <c r="F1244" s="3">
        <v>3</v>
      </c>
      <c r="G1244" s="3" t="s">
        <v>10</v>
      </c>
      <c r="H1244" s="3" t="s">
        <v>11</v>
      </c>
      <c r="I1244" s="3">
        <v>5</v>
      </c>
      <c r="J1244" s="3" t="s">
        <v>12</v>
      </c>
      <c r="K1244" s="18">
        <v>54</v>
      </c>
      <c r="L1244" s="16">
        <v>72</v>
      </c>
      <c r="M1244" s="6" t="str" cm="1">
        <f t="array" ref="M1244">_xlfn.IFS(L1244&lt;100,"Economy",L1244&lt;200,"Standard",L1244&lt;350,"Powerful",L1244&lt;500,"High Performance",L1244&lt;800,"Sports Performance",L1244&gt;=800,"Super Performance")</f>
        <v>Economy</v>
      </c>
    </row>
    <row r="1245" spans="1:13" x14ac:dyDescent="0.25">
      <c r="A1245" s="5" t="s">
        <v>364</v>
      </c>
      <c r="B1245" s="3" t="s">
        <v>603</v>
      </c>
      <c r="C1245" s="3" t="s">
        <v>368</v>
      </c>
      <c r="D1245" s="4">
        <v>333419</v>
      </c>
      <c r="E1245" s="3">
        <v>799</v>
      </c>
      <c r="F1245" s="3">
        <v>3</v>
      </c>
      <c r="G1245" s="3" t="s">
        <v>10</v>
      </c>
      <c r="H1245" s="3" t="s">
        <v>11</v>
      </c>
      <c r="I1245" s="3">
        <v>5</v>
      </c>
      <c r="J1245" s="3" t="s">
        <v>12</v>
      </c>
      <c r="K1245" s="18">
        <v>54</v>
      </c>
      <c r="L1245" s="16">
        <v>72</v>
      </c>
      <c r="M1245" s="6" t="str" cm="1">
        <f t="array" ref="M1245">_xlfn.IFS(L1245&lt;100,"Economy",L1245&lt;200,"Standard",L1245&lt;350,"Powerful",L1245&lt;500,"High Performance",L1245&lt;800,"Sports Performance",L1245&gt;=800,"Super Performance")</f>
        <v>Economy</v>
      </c>
    </row>
    <row r="1246" spans="1:13" x14ac:dyDescent="0.25">
      <c r="A1246" s="5" t="s">
        <v>364</v>
      </c>
      <c r="B1246" s="3" t="s">
        <v>603</v>
      </c>
      <c r="C1246" s="3" t="s">
        <v>323</v>
      </c>
      <c r="D1246" s="4">
        <v>362000</v>
      </c>
      <c r="E1246" s="3">
        <v>799</v>
      </c>
      <c r="F1246" s="3">
        <v>3</v>
      </c>
      <c r="G1246" s="3" t="s">
        <v>10</v>
      </c>
      <c r="H1246" s="3" t="s">
        <v>11</v>
      </c>
      <c r="I1246" s="3">
        <v>5</v>
      </c>
      <c r="J1246" s="3" t="s">
        <v>12</v>
      </c>
      <c r="K1246" s="18">
        <v>54</v>
      </c>
      <c r="L1246" s="16">
        <v>72</v>
      </c>
      <c r="M1246" s="6" t="str" cm="1">
        <f t="array" ref="M1246">_xlfn.IFS(L1246&lt;100,"Economy",L1246&lt;200,"Standard",L1246&lt;350,"Powerful",L1246&lt;500,"High Performance",L1246&lt;800,"Sports Performance",L1246&gt;=800,"Super Performance")</f>
        <v>Economy</v>
      </c>
    </row>
    <row r="1247" spans="1:13" x14ac:dyDescent="0.25">
      <c r="A1247" s="5" t="s">
        <v>202</v>
      </c>
      <c r="B1247" s="3" t="s">
        <v>381</v>
      </c>
      <c r="C1247" s="3" t="s">
        <v>311</v>
      </c>
      <c r="D1247" s="4">
        <v>881425</v>
      </c>
      <c r="E1247" s="3" t="s">
        <v>1386</v>
      </c>
      <c r="F1247" s="3">
        <v>0</v>
      </c>
      <c r="G1247" s="3" t="s">
        <v>141</v>
      </c>
      <c r="H1247" s="3" t="s">
        <v>11</v>
      </c>
      <c r="I1247" s="3">
        <v>4</v>
      </c>
      <c r="J1247" s="3" t="s">
        <v>30</v>
      </c>
      <c r="K1247" s="18">
        <v>25.8</v>
      </c>
      <c r="L1247" s="16">
        <v>70</v>
      </c>
      <c r="M1247" s="6" t="str" cm="1">
        <f t="array" ref="M1247">_xlfn.IFS(L1247&lt;100,"Economy",L1247&lt;200,"Standard",L1247&lt;350,"Powerful",L1247&lt;500,"High Performance",L1247&lt;800,"Sports Performance",L1247&gt;=800,"Super Performance")</f>
        <v>Economy</v>
      </c>
    </row>
    <row r="1248" spans="1:13" x14ac:dyDescent="0.25">
      <c r="A1248" s="5" t="s">
        <v>202</v>
      </c>
      <c r="B1248" s="3" t="s">
        <v>381</v>
      </c>
      <c r="C1248" s="3" t="s">
        <v>312</v>
      </c>
      <c r="D1248" s="4">
        <v>957177</v>
      </c>
      <c r="E1248" s="3" t="s">
        <v>1386</v>
      </c>
      <c r="F1248" s="3">
        <v>0</v>
      </c>
      <c r="G1248" s="3" t="s">
        <v>141</v>
      </c>
      <c r="H1248" s="3" t="s">
        <v>11</v>
      </c>
      <c r="I1248" s="3">
        <v>4</v>
      </c>
      <c r="J1248" s="3" t="s">
        <v>30</v>
      </c>
      <c r="K1248" s="18">
        <v>25.8</v>
      </c>
      <c r="L1248" s="16">
        <v>70</v>
      </c>
      <c r="M1248" s="6" t="str" cm="1">
        <f t="array" ref="M1248">_xlfn.IFS(L1248&lt;100,"Economy",L1248&lt;200,"Standard",L1248&lt;350,"Powerful",L1248&lt;500,"High Performance",L1248&lt;800,"Sports Performance",L1248&gt;=800,"Super Performance")</f>
        <v>Economy</v>
      </c>
    </row>
    <row r="1249" spans="1:13" x14ac:dyDescent="0.25">
      <c r="A1249" s="5" t="s">
        <v>93</v>
      </c>
      <c r="B1249" s="3" t="s">
        <v>626</v>
      </c>
      <c r="C1249" s="3" t="s">
        <v>95</v>
      </c>
      <c r="D1249" s="4">
        <v>294800</v>
      </c>
      <c r="E1249" s="3">
        <v>796</v>
      </c>
      <c r="F1249" s="3">
        <v>3</v>
      </c>
      <c r="G1249" s="3" t="s">
        <v>10</v>
      </c>
      <c r="H1249" s="3" t="s">
        <v>11</v>
      </c>
      <c r="I1249" s="3">
        <v>5</v>
      </c>
      <c r="J1249" s="3" t="s">
        <v>12</v>
      </c>
      <c r="K1249" s="18">
        <v>48</v>
      </c>
      <c r="L1249" s="16">
        <v>69</v>
      </c>
      <c r="M1249" s="6" t="str" cm="1">
        <f t="array" ref="M1249">_xlfn.IFS(L1249&lt;100,"Economy",L1249&lt;200,"Standard",L1249&lt;350,"Powerful",L1249&lt;500,"High Performance",L1249&lt;800,"Sports Performance",L1249&gt;=800,"Super Performance")</f>
        <v>Economy</v>
      </c>
    </row>
    <row r="1250" spans="1:13" x14ac:dyDescent="0.25">
      <c r="A1250" s="5" t="s">
        <v>93</v>
      </c>
      <c r="B1250" s="3" t="s">
        <v>626</v>
      </c>
      <c r="C1250" s="3" t="s">
        <v>96</v>
      </c>
      <c r="D1250" s="4">
        <v>299900</v>
      </c>
      <c r="E1250" s="3">
        <v>796</v>
      </c>
      <c r="F1250" s="3">
        <v>3</v>
      </c>
      <c r="G1250" s="3" t="s">
        <v>10</v>
      </c>
      <c r="H1250" s="3" t="s">
        <v>11</v>
      </c>
      <c r="I1250" s="3">
        <v>5</v>
      </c>
      <c r="J1250" s="3" t="s">
        <v>12</v>
      </c>
      <c r="K1250" s="18">
        <v>48</v>
      </c>
      <c r="L1250" s="16">
        <v>69</v>
      </c>
      <c r="M1250" s="6" t="str" cm="1">
        <f t="array" ref="M1250">_xlfn.IFS(L1250&lt;100,"Economy",L1250&lt;200,"Standard",L1250&lt;350,"Powerful",L1250&lt;500,"High Performance",L1250&lt;800,"Sports Performance",L1250&gt;=800,"Super Performance")</f>
        <v>Economy</v>
      </c>
    </row>
    <row r="1251" spans="1:13" x14ac:dyDescent="0.25">
      <c r="A1251" s="5" t="s">
        <v>93</v>
      </c>
      <c r="B1251" s="3" t="s">
        <v>626</v>
      </c>
      <c r="C1251" s="3" t="s">
        <v>97</v>
      </c>
      <c r="D1251" s="4">
        <v>352900</v>
      </c>
      <c r="E1251" s="3">
        <v>796</v>
      </c>
      <c r="F1251" s="3">
        <v>3</v>
      </c>
      <c r="G1251" s="3" t="s">
        <v>10</v>
      </c>
      <c r="H1251" s="3" t="s">
        <v>11</v>
      </c>
      <c r="I1251" s="3">
        <v>5</v>
      </c>
      <c r="J1251" s="3" t="s">
        <v>12</v>
      </c>
      <c r="K1251" s="18">
        <v>47</v>
      </c>
      <c r="L1251" s="16">
        <v>69</v>
      </c>
      <c r="M1251" s="6" t="str" cm="1">
        <f t="array" ref="M1251">_xlfn.IFS(L1251&lt;100,"Economy",L1251&lt;200,"Standard",L1251&lt;350,"Powerful",L1251&lt;500,"High Performance",L1251&lt;800,"Sports Performance",L1251&gt;=800,"Super Performance")</f>
        <v>Economy</v>
      </c>
    </row>
    <row r="1252" spans="1:13" x14ac:dyDescent="0.25">
      <c r="A1252" s="5" t="s">
        <v>93</v>
      </c>
      <c r="B1252" s="3" t="s">
        <v>626</v>
      </c>
      <c r="C1252" s="3" t="s">
        <v>98</v>
      </c>
      <c r="D1252" s="4">
        <v>357200</v>
      </c>
      <c r="E1252" s="3">
        <v>796</v>
      </c>
      <c r="F1252" s="3">
        <v>3</v>
      </c>
      <c r="G1252" s="3" t="s">
        <v>10</v>
      </c>
      <c r="H1252" s="3" t="s">
        <v>11</v>
      </c>
      <c r="I1252" s="3">
        <v>5</v>
      </c>
      <c r="J1252" s="3" t="s">
        <v>12</v>
      </c>
      <c r="K1252" s="18">
        <v>48</v>
      </c>
      <c r="L1252" s="16">
        <v>69</v>
      </c>
      <c r="M1252" s="6" t="str" cm="1">
        <f t="array" ref="M1252">_xlfn.IFS(L1252&lt;100,"Economy",L1252&lt;200,"Standard",L1252&lt;350,"Powerful",L1252&lt;500,"High Performance",L1252&lt;800,"Sports Performance",L1252&gt;=800,"Super Performance")</f>
        <v>Economy</v>
      </c>
    </row>
    <row r="1253" spans="1:13" x14ac:dyDescent="0.25">
      <c r="A1253" s="5" t="s">
        <v>93</v>
      </c>
      <c r="B1253" s="3" t="s">
        <v>626</v>
      </c>
      <c r="C1253" s="3" t="s">
        <v>99</v>
      </c>
      <c r="D1253" s="4">
        <v>376100</v>
      </c>
      <c r="E1253" s="3">
        <v>796</v>
      </c>
      <c r="F1253" s="3">
        <v>3</v>
      </c>
      <c r="G1253" s="3" t="s">
        <v>10</v>
      </c>
      <c r="H1253" s="3" t="s">
        <v>11</v>
      </c>
      <c r="I1253" s="3">
        <v>5</v>
      </c>
      <c r="J1253" s="3" t="s">
        <v>12</v>
      </c>
      <c r="K1253" s="18">
        <v>48</v>
      </c>
      <c r="L1253" s="16">
        <v>69</v>
      </c>
      <c r="M1253" s="6" t="str" cm="1">
        <f t="array" ref="M1253">_xlfn.IFS(L1253&lt;100,"Economy",L1253&lt;200,"Standard",L1253&lt;350,"Powerful",L1253&lt;500,"High Performance",L1253&lt;800,"Sports Performance",L1253&gt;=800,"Super Performance")</f>
        <v>Economy</v>
      </c>
    </row>
    <row r="1254" spans="1:13" x14ac:dyDescent="0.25">
      <c r="A1254" s="5" t="s">
        <v>93</v>
      </c>
      <c r="B1254" s="3" t="s">
        <v>626</v>
      </c>
      <c r="C1254" s="3" t="s">
        <v>627</v>
      </c>
      <c r="D1254" s="4">
        <v>405570</v>
      </c>
      <c r="E1254" s="3">
        <v>796</v>
      </c>
      <c r="F1254" s="3">
        <v>3</v>
      </c>
      <c r="G1254" s="3" t="s">
        <v>272</v>
      </c>
      <c r="H1254" s="3" t="s">
        <v>11</v>
      </c>
      <c r="I1254" s="3">
        <v>5</v>
      </c>
      <c r="J1254" s="3" t="s">
        <v>12</v>
      </c>
      <c r="K1254" s="18">
        <v>47</v>
      </c>
      <c r="L1254" s="16">
        <v>69</v>
      </c>
      <c r="M1254" s="6" t="str" cm="1">
        <f t="array" ref="M1254">_xlfn.IFS(L1254&lt;100,"Economy",L1254&lt;200,"Standard",L1254&lt;350,"Powerful",L1254&lt;500,"High Performance",L1254&lt;800,"Sports Performance",L1254&gt;=800,"Super Performance")</f>
        <v>Economy</v>
      </c>
    </row>
    <row r="1255" spans="1:13" x14ac:dyDescent="0.25">
      <c r="A1255" s="5" t="s">
        <v>93</v>
      </c>
      <c r="B1255" s="3" t="s">
        <v>626</v>
      </c>
      <c r="C1255" s="3" t="s">
        <v>628</v>
      </c>
      <c r="D1255" s="4">
        <v>409190</v>
      </c>
      <c r="E1255" s="3">
        <v>796</v>
      </c>
      <c r="F1255" s="3">
        <v>3</v>
      </c>
      <c r="G1255" s="3" t="s">
        <v>272</v>
      </c>
      <c r="H1255" s="3" t="s">
        <v>11</v>
      </c>
      <c r="I1255" s="3">
        <v>5</v>
      </c>
      <c r="J1255" s="3" t="s">
        <v>12</v>
      </c>
      <c r="K1255" s="18">
        <v>48</v>
      </c>
      <c r="L1255" s="16">
        <v>69</v>
      </c>
      <c r="M1255" s="6" t="str" cm="1">
        <f t="array" ref="M1255">_xlfn.IFS(L1255&lt;100,"Economy",L1255&lt;200,"Standard",L1255&lt;350,"Powerful",L1255&lt;500,"High Performance",L1255&lt;800,"Sports Performance",L1255&gt;=800,"Super Performance")</f>
        <v>Economy</v>
      </c>
    </row>
    <row r="1256" spans="1:13" x14ac:dyDescent="0.25">
      <c r="A1256" s="5" t="s">
        <v>93</v>
      </c>
      <c r="B1256" s="3" t="s">
        <v>626</v>
      </c>
      <c r="C1256" s="3" t="s">
        <v>629</v>
      </c>
      <c r="D1256" s="4">
        <v>389600</v>
      </c>
      <c r="E1256" s="3">
        <v>796</v>
      </c>
      <c r="F1256" s="3">
        <v>3</v>
      </c>
      <c r="G1256" s="3" t="s">
        <v>10</v>
      </c>
      <c r="H1256" s="3" t="s">
        <v>11</v>
      </c>
      <c r="I1256" s="3">
        <v>5</v>
      </c>
      <c r="J1256" s="3" t="s">
        <v>12</v>
      </c>
      <c r="K1256" s="18">
        <v>48</v>
      </c>
      <c r="L1256" s="16">
        <v>69</v>
      </c>
      <c r="M1256" s="6" t="str" cm="1">
        <f t="array" ref="M1256">_xlfn.IFS(L1256&lt;100,"Economy",L1256&lt;200,"Standard",L1256&lt;350,"Powerful",L1256&lt;500,"High Performance",L1256&lt;800,"Sports Performance",L1256&gt;=800,"Super Performance")</f>
        <v>Economy</v>
      </c>
    </row>
    <row r="1257" spans="1:13" x14ac:dyDescent="0.25">
      <c r="A1257" s="5" t="s">
        <v>93</v>
      </c>
      <c r="B1257" s="3" t="s">
        <v>1147</v>
      </c>
      <c r="C1257" s="3" t="s">
        <v>1148</v>
      </c>
      <c r="D1257" s="4">
        <v>354235</v>
      </c>
      <c r="E1257" s="3">
        <v>796</v>
      </c>
      <c r="F1257" s="3">
        <v>3</v>
      </c>
      <c r="G1257" s="3" t="s">
        <v>10</v>
      </c>
      <c r="H1257" s="3" t="s">
        <v>11</v>
      </c>
      <c r="I1257" s="3">
        <v>5</v>
      </c>
      <c r="J1257" s="3" t="s">
        <v>12</v>
      </c>
      <c r="K1257" s="18">
        <v>48</v>
      </c>
      <c r="L1257" s="16">
        <v>69</v>
      </c>
      <c r="M1257" s="6" t="str" cm="1">
        <f t="array" ref="M1257">_xlfn.IFS(L1257&lt;100,"Economy",L1257&lt;200,"Standard",L1257&lt;350,"Powerful",L1257&lt;500,"High Performance",L1257&lt;800,"Sports Performance",L1257&gt;=800,"Super Performance")</f>
        <v>Economy</v>
      </c>
    </row>
    <row r="1258" spans="1:13" x14ac:dyDescent="0.25">
      <c r="A1258" s="5" t="s">
        <v>93</v>
      </c>
      <c r="B1258" s="3" t="s">
        <v>1147</v>
      </c>
      <c r="C1258" s="3" t="s">
        <v>1149</v>
      </c>
      <c r="D1258" s="4">
        <v>356559</v>
      </c>
      <c r="E1258" s="3">
        <v>796</v>
      </c>
      <c r="F1258" s="3">
        <v>3</v>
      </c>
      <c r="G1258" s="3" t="s">
        <v>10</v>
      </c>
      <c r="H1258" s="3" t="s">
        <v>11</v>
      </c>
      <c r="I1258" s="3">
        <v>5</v>
      </c>
      <c r="J1258" s="3" t="s">
        <v>12</v>
      </c>
      <c r="K1258" s="18">
        <v>48</v>
      </c>
      <c r="L1258" s="16">
        <v>69</v>
      </c>
      <c r="M1258" s="6" t="str" cm="1">
        <f t="array" ref="M1258">_xlfn.IFS(L1258&lt;100,"Economy",L1258&lt;200,"Standard",L1258&lt;350,"Powerful",L1258&lt;500,"High Performance",L1258&lt;800,"Sports Performance",L1258&gt;=800,"Super Performance")</f>
        <v>Economy</v>
      </c>
    </row>
    <row r="1259" spans="1:13" x14ac:dyDescent="0.25">
      <c r="A1259" s="5" t="s">
        <v>93</v>
      </c>
      <c r="B1259" s="3" t="s">
        <v>995</v>
      </c>
      <c r="C1259" s="3" t="s">
        <v>996</v>
      </c>
      <c r="D1259" s="4">
        <v>284485</v>
      </c>
      <c r="E1259" s="3">
        <v>796</v>
      </c>
      <c r="F1259" s="3">
        <v>3</v>
      </c>
      <c r="G1259" s="3" t="s">
        <v>10</v>
      </c>
      <c r="H1259" s="3" t="s">
        <v>226</v>
      </c>
      <c r="I1259" s="3">
        <v>8</v>
      </c>
      <c r="J1259" s="3" t="s">
        <v>12</v>
      </c>
      <c r="K1259" s="18">
        <v>34.700000000000003</v>
      </c>
      <c r="L1259" s="16">
        <v>59</v>
      </c>
      <c r="M1259" s="6" t="str" cm="1">
        <f t="array" ref="M1259">_xlfn.IFS(L1259&lt;100,"Economy",L1259&lt;200,"Standard",L1259&lt;350,"Powerful",L1259&lt;500,"High Performance",L1259&lt;800,"Sports Performance",L1259&gt;=800,"Super Performance")</f>
        <v>Economy</v>
      </c>
    </row>
    <row r="1260" spans="1:13" x14ac:dyDescent="0.25">
      <c r="A1260" s="5" t="s">
        <v>93</v>
      </c>
      <c r="B1260" s="3" t="s">
        <v>995</v>
      </c>
      <c r="C1260" s="3" t="s">
        <v>1367</v>
      </c>
      <c r="D1260" s="4">
        <v>282778</v>
      </c>
      <c r="E1260" s="3">
        <v>796</v>
      </c>
      <c r="F1260" s="3">
        <v>3</v>
      </c>
      <c r="G1260" s="3" t="s">
        <v>10</v>
      </c>
      <c r="H1260" s="3" t="s">
        <v>226</v>
      </c>
      <c r="I1260" s="3">
        <v>5</v>
      </c>
      <c r="J1260" s="3" t="s">
        <v>12</v>
      </c>
      <c r="K1260" s="18">
        <v>34.700000000000003</v>
      </c>
      <c r="L1260" s="16">
        <v>59</v>
      </c>
      <c r="M1260" s="6" t="str" cm="1">
        <f t="array" ref="M1260">_xlfn.IFS(L1260&lt;100,"Economy",L1260&lt;200,"Standard",L1260&lt;350,"Powerful",L1260&lt;500,"High Performance",L1260&lt;800,"Sports Performance",L1260&gt;=800,"Super Performance")</f>
        <v>Economy</v>
      </c>
    </row>
    <row r="1261" spans="1:13" x14ac:dyDescent="0.25">
      <c r="A1261" s="5" t="s">
        <v>22</v>
      </c>
      <c r="B1261" s="3" t="s">
        <v>344</v>
      </c>
      <c r="C1261" s="3" t="s">
        <v>345</v>
      </c>
      <c r="D1261" s="4">
        <v>292667</v>
      </c>
      <c r="E1261" s="3">
        <v>624</v>
      </c>
      <c r="F1261" s="3">
        <v>2</v>
      </c>
      <c r="G1261" s="3" t="s">
        <v>10</v>
      </c>
      <c r="H1261" s="3" t="s">
        <v>11</v>
      </c>
      <c r="I1261" s="3">
        <v>4</v>
      </c>
      <c r="J1261" s="3" t="s">
        <v>12</v>
      </c>
      <c r="K1261" s="18">
        <v>38</v>
      </c>
      <c r="L1261" s="16">
        <v>51</v>
      </c>
      <c r="M1261" s="6" t="str" cm="1">
        <f t="array" ref="M1261">_xlfn.IFS(L1261&lt;100,"Economy",L1261&lt;200,"Standard",L1261&lt;350,"Powerful",L1261&lt;500,"High Performance",L1261&lt;800,"Sports Performance",L1261&gt;=800,"Super Performance")</f>
        <v>Economy</v>
      </c>
    </row>
    <row r="1262" spans="1:13" x14ac:dyDescent="0.25">
      <c r="A1262" s="5" t="s">
        <v>22</v>
      </c>
      <c r="B1262" s="3" t="s">
        <v>344</v>
      </c>
      <c r="C1262" s="3" t="s">
        <v>346</v>
      </c>
      <c r="D1262" s="4">
        <v>236447</v>
      </c>
      <c r="E1262" s="3">
        <v>624</v>
      </c>
      <c r="F1262" s="3">
        <v>2</v>
      </c>
      <c r="G1262" s="3" t="s">
        <v>10</v>
      </c>
      <c r="H1262" s="3" t="s">
        <v>11</v>
      </c>
      <c r="I1262" s="3">
        <v>4</v>
      </c>
      <c r="J1262" s="3" t="s">
        <v>12</v>
      </c>
      <c r="K1262" s="18">
        <v>38</v>
      </c>
      <c r="L1262" s="16">
        <v>51</v>
      </c>
      <c r="M1262" s="6" t="str" cm="1">
        <f t="array" ref="M1262">_xlfn.IFS(L1262&lt;100,"Economy",L1262&lt;200,"Standard",L1262&lt;350,"Powerful",L1262&lt;500,"High Performance",L1262&lt;800,"Sports Performance",L1262&gt;=800,"Super Performance")</f>
        <v>Economy</v>
      </c>
    </row>
    <row r="1263" spans="1:13" x14ac:dyDescent="0.25">
      <c r="A1263" s="5" t="s">
        <v>22</v>
      </c>
      <c r="B1263" s="3" t="s">
        <v>344</v>
      </c>
      <c r="C1263" s="3" t="s">
        <v>347</v>
      </c>
      <c r="D1263" s="4">
        <v>334768</v>
      </c>
      <c r="E1263" s="3">
        <v>624</v>
      </c>
      <c r="F1263" s="3">
        <v>2</v>
      </c>
      <c r="G1263" s="3" t="s">
        <v>10</v>
      </c>
      <c r="H1263" s="3" t="s">
        <v>11</v>
      </c>
      <c r="I1263" s="3">
        <v>4</v>
      </c>
      <c r="J1263" s="3" t="s">
        <v>30</v>
      </c>
      <c r="K1263" s="18">
        <v>38</v>
      </c>
      <c r="L1263" s="16">
        <v>51</v>
      </c>
      <c r="M1263" s="6" t="str" cm="1">
        <f t="array" ref="M1263">_xlfn.IFS(L1263&lt;100,"Economy",L1263&lt;200,"Standard",L1263&lt;350,"Powerful",L1263&lt;500,"High Performance",L1263&lt;800,"Sports Performance",L1263&gt;=800,"Super Performance")</f>
        <v>Economy</v>
      </c>
    </row>
    <row r="1264" spans="1:13" x14ac:dyDescent="0.25">
      <c r="A1264" s="5" t="s">
        <v>22</v>
      </c>
      <c r="B1264" s="3" t="s">
        <v>344</v>
      </c>
      <c r="C1264" s="3" t="s">
        <v>348</v>
      </c>
      <c r="D1264" s="4">
        <v>272223</v>
      </c>
      <c r="E1264" s="3">
        <v>624</v>
      </c>
      <c r="F1264" s="3">
        <v>2</v>
      </c>
      <c r="G1264" s="3" t="s">
        <v>10</v>
      </c>
      <c r="H1264" s="3" t="s">
        <v>11</v>
      </c>
      <c r="I1264" s="3">
        <v>4</v>
      </c>
      <c r="J1264" s="3" t="s">
        <v>12</v>
      </c>
      <c r="K1264" s="18">
        <v>38</v>
      </c>
      <c r="L1264" s="16">
        <v>51</v>
      </c>
      <c r="M1264" s="6" t="str" cm="1">
        <f t="array" ref="M1264">_xlfn.IFS(L1264&lt;100,"Economy",L1264&lt;200,"Standard",L1264&lt;350,"Powerful",L1264&lt;500,"High Performance",L1264&lt;800,"Sports Performance",L1264&gt;=800,"Super Performance")</f>
        <v>Economy</v>
      </c>
    </row>
    <row r="1265" spans="1:13" x14ac:dyDescent="0.25">
      <c r="A1265" s="5" t="s">
        <v>22</v>
      </c>
      <c r="B1265" s="3" t="s">
        <v>344</v>
      </c>
      <c r="C1265" s="3" t="s">
        <v>349</v>
      </c>
      <c r="D1265" s="4">
        <v>314815</v>
      </c>
      <c r="E1265" s="3">
        <v>624</v>
      </c>
      <c r="F1265" s="3">
        <v>2</v>
      </c>
      <c r="G1265" s="3" t="s">
        <v>10</v>
      </c>
      <c r="H1265" s="3" t="s">
        <v>11</v>
      </c>
      <c r="I1265" s="3">
        <v>4</v>
      </c>
      <c r="J1265" s="3" t="s">
        <v>30</v>
      </c>
      <c r="K1265" s="18">
        <v>38</v>
      </c>
      <c r="L1265" s="16">
        <v>51</v>
      </c>
      <c r="M1265" s="6" t="str" cm="1">
        <f t="array" ref="M1265">_xlfn.IFS(L1265&lt;100,"Economy",L1265&lt;200,"Standard",L1265&lt;350,"Powerful",L1265&lt;500,"High Performance",L1265&lt;800,"Sports Performance",L1265&gt;=800,"Super Performance")</f>
        <v>Economy</v>
      </c>
    </row>
    <row r="1266" spans="1:13" x14ac:dyDescent="0.25">
      <c r="A1266" s="5" t="s">
        <v>22</v>
      </c>
      <c r="B1266" s="3" t="s">
        <v>344</v>
      </c>
      <c r="C1266" s="3" t="s">
        <v>543</v>
      </c>
      <c r="D1266" s="4">
        <v>296661</v>
      </c>
      <c r="E1266" s="3">
        <v>624</v>
      </c>
      <c r="F1266" s="3">
        <v>2</v>
      </c>
      <c r="G1266" s="3" t="s">
        <v>15</v>
      </c>
      <c r="H1266" s="3" t="s">
        <v>11</v>
      </c>
      <c r="I1266" s="3">
        <v>4</v>
      </c>
      <c r="J1266" s="3" t="s">
        <v>12</v>
      </c>
      <c r="K1266" s="18">
        <v>38</v>
      </c>
      <c r="L1266" s="16">
        <v>51</v>
      </c>
      <c r="M1266" s="6" t="str" cm="1">
        <f t="array" ref="M1266">_xlfn.IFS(L1266&lt;100,"Economy",L1266&lt;200,"Standard",L1266&lt;350,"Powerful",L1266&lt;500,"High Performance",L1266&lt;800,"Sports Performance",L1266&gt;=800,"Super Performance")</f>
        <v>Economy</v>
      </c>
    </row>
    <row r="1267" spans="1:13" x14ac:dyDescent="0.25">
      <c r="A1267" s="5" t="s">
        <v>78</v>
      </c>
      <c r="B1267" s="3" t="s">
        <v>592</v>
      </c>
      <c r="C1267" s="3" t="s">
        <v>1010</v>
      </c>
      <c r="D1267" s="4">
        <v>6440000</v>
      </c>
      <c r="E1267" s="3">
        <v>4395</v>
      </c>
      <c r="F1267" s="3">
        <v>8</v>
      </c>
      <c r="G1267" s="3" t="s">
        <v>10</v>
      </c>
      <c r="H1267" s="3" t="s">
        <v>212</v>
      </c>
      <c r="I1267" s="3">
        <v>4</v>
      </c>
      <c r="J1267" s="3" t="s">
        <v>30</v>
      </c>
      <c r="K1267" s="18">
        <v>450</v>
      </c>
      <c r="L1267" s="16">
        <v>0</v>
      </c>
      <c r="M1267" s="6" t="str" cm="1">
        <f t="array" ref="M1267">_xlfn.IFS(L1267&lt;100,"Economy",L1267&lt;200,"Standard",L1267&lt;350,"Powerful",L1267&lt;500,"High Performance",L1267&lt;800,"Sports Performance",L1267&gt;=800,"Super Performance")</f>
        <v>Economy</v>
      </c>
    </row>
    <row r="1268" spans="1:13" x14ac:dyDescent="0.25">
      <c r="A1268" s="7" t="s">
        <v>202</v>
      </c>
      <c r="B1268" s="8" t="s">
        <v>877</v>
      </c>
      <c r="C1268" s="8" t="s">
        <v>1063</v>
      </c>
      <c r="D1268" s="9">
        <v>859497</v>
      </c>
      <c r="E1268" s="8">
        <v>2523</v>
      </c>
      <c r="F1268" s="8">
        <v>4</v>
      </c>
      <c r="G1268" s="8" t="s">
        <v>36</v>
      </c>
      <c r="H1268" s="8" t="s">
        <v>66</v>
      </c>
      <c r="I1268" s="8">
        <v>7</v>
      </c>
      <c r="J1268" s="8" t="s">
        <v>12</v>
      </c>
      <c r="K1268" s="19">
        <v>63</v>
      </c>
      <c r="L1268" s="17">
        <v>0</v>
      </c>
      <c r="M1268" s="10" t="str" cm="1">
        <f t="array" ref="M1268">_xlfn.IFS(L1268&lt;100,"Economy",L1268&lt;200,"Standard",L1268&lt;350,"Powerful",L1268&lt;500,"High Performance",L1268&lt;800,"Sports Performance",L1268&gt;=800,"Super Performance")</f>
        <v>Economy</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513E-608D-4522-A508-72AABEF2F5CB}">
  <dimension ref="A1:U4185"/>
  <sheetViews>
    <sheetView topLeftCell="F1" workbookViewId="0">
      <selection activeCell="K2" sqref="K2"/>
    </sheetView>
  </sheetViews>
  <sheetFormatPr defaultRowHeight="15" x14ac:dyDescent="0.25"/>
  <cols>
    <col min="1" max="1" width="18.5703125" bestFit="1" customWidth="1"/>
    <col min="2" max="2" width="30.140625" bestFit="1" customWidth="1"/>
    <col min="3" max="3" width="29.140625" bestFit="1" customWidth="1"/>
    <col min="4" max="4" width="25.5703125" bestFit="1" customWidth="1"/>
    <col min="5" max="5" width="23.85546875" bestFit="1" customWidth="1"/>
    <col min="6" max="6" width="21.28515625" customWidth="1"/>
    <col min="7" max="7" width="17" bestFit="1" customWidth="1"/>
    <col min="8" max="8" width="15" bestFit="1" customWidth="1"/>
    <col min="9" max="9" width="22" bestFit="1" customWidth="1"/>
    <col min="10" max="10" width="23.85546875" bestFit="1" customWidth="1"/>
    <col min="11" max="11" width="29.140625" bestFit="1" customWidth="1"/>
    <col min="12" max="13" width="26.85546875" bestFit="1" customWidth="1"/>
    <col min="15" max="15" width="13.42578125" bestFit="1" customWidth="1"/>
    <col min="16" max="16" width="10.85546875" customWidth="1"/>
    <col min="17" max="17" width="9.5703125" bestFit="1" customWidth="1"/>
    <col min="18" max="18" width="25.5703125" bestFit="1" customWidth="1"/>
    <col min="19" max="19" width="20.140625" bestFit="1" customWidth="1"/>
    <col min="20" max="20" width="18.42578125" bestFit="1" customWidth="1"/>
    <col min="21" max="21" width="27" customWidth="1"/>
  </cols>
  <sheetData>
    <row r="1" spans="1:21" ht="15.75" thickBot="1" x14ac:dyDescent="0.3">
      <c r="H1" s="54" t="s">
        <v>1425</v>
      </c>
      <c r="I1" s="54"/>
      <c r="J1" s="54"/>
      <c r="K1" s="54"/>
      <c r="L1" s="54"/>
      <c r="M1" s="54"/>
      <c r="O1" s="54" t="s">
        <v>1429</v>
      </c>
      <c r="P1" s="54"/>
      <c r="Q1" s="54"/>
      <c r="R1" s="54"/>
      <c r="S1" s="54"/>
      <c r="T1" s="54"/>
    </row>
    <row r="2" spans="1:21" x14ac:dyDescent="0.25">
      <c r="A2" s="55" t="s">
        <v>1400</v>
      </c>
      <c r="B2" s="56"/>
      <c r="C2" s="20"/>
      <c r="D2" s="20"/>
      <c r="E2" s="21"/>
      <c r="H2" t="s">
        <v>1396</v>
      </c>
      <c r="I2" t="s">
        <v>1399</v>
      </c>
      <c r="J2" t="s">
        <v>1397</v>
      </c>
      <c r="K2" t="s">
        <v>1398</v>
      </c>
      <c r="L2" t="s">
        <v>1424</v>
      </c>
      <c r="R2" s="27" t="s">
        <v>1428</v>
      </c>
    </row>
    <row r="3" spans="1:21" x14ac:dyDescent="0.25">
      <c r="A3" s="27" t="s">
        <v>1401</v>
      </c>
      <c r="B3" t="s">
        <v>1397</v>
      </c>
      <c r="E3" s="22"/>
      <c r="H3" s="57">
        <v>1265</v>
      </c>
      <c r="I3" s="57">
        <v>39</v>
      </c>
      <c r="J3" s="57">
        <v>4305027.0023715412</v>
      </c>
      <c r="K3" s="57">
        <v>154.44289556962025</v>
      </c>
      <c r="L3" s="57">
        <v>5.2632411067193674</v>
      </c>
      <c r="O3" s="27" t="s">
        <v>0</v>
      </c>
      <c r="P3" s="27" t="s">
        <v>1</v>
      </c>
      <c r="Q3" s="27" t="s">
        <v>2</v>
      </c>
      <c r="R3" t="s">
        <v>1426</v>
      </c>
      <c r="S3" t="s">
        <v>1427</v>
      </c>
      <c r="U3" t="str">
        <f>O4&amp;" "&amp;P4&amp;" "&amp;Q4</f>
        <v>Bugatti Chiron Sport</v>
      </c>
    </row>
    <row r="4" spans="1:21" x14ac:dyDescent="0.25">
      <c r="A4" s="28" t="s">
        <v>220</v>
      </c>
      <c r="B4" s="53">
        <v>273000</v>
      </c>
      <c r="E4" s="22"/>
      <c r="H4">
        <f>GETPIVOTDATA("[Measures].[Count of Model]",$H$2)</f>
        <v>1265</v>
      </c>
      <c r="I4">
        <f>GETPIVOTDATA("[Measures].[Distinct Count of Make]",$H$2)</f>
        <v>39</v>
      </c>
      <c r="J4" s="53">
        <f>GETPIVOTDATA("[Measures].[Average of Price(₹ Lakhs)]",$H$2)</f>
        <v>4305027.0023715412</v>
      </c>
      <c r="K4" s="33">
        <f>GETPIVOTDATA("[Measures].[Average of Engine_Power(BHP)]",$H$2)</f>
        <v>154.44289556962025</v>
      </c>
      <c r="L4" t="e">
        <f>GETPIVOTDATA("[Measures].[Max of Torque(Nm)]",$H$2)</f>
        <v>#REF!</v>
      </c>
      <c r="M4" s="1">
        <f>GETPIVOTDATA("[Measures].[Average of Seating_Capacity]",$H$2)</f>
        <v>5.2632411067193674</v>
      </c>
      <c r="O4" t="s">
        <v>215</v>
      </c>
      <c r="P4" t="s">
        <v>216</v>
      </c>
      <c r="Q4" t="s">
        <v>219</v>
      </c>
      <c r="R4">
        <v>1600</v>
      </c>
      <c r="S4" s="53">
        <v>212155397</v>
      </c>
      <c r="U4" t="str">
        <f>R4&amp;" "&amp;"BHP"</f>
        <v>1600 BHP</v>
      </c>
    </row>
    <row r="5" spans="1:21" x14ac:dyDescent="0.25">
      <c r="A5" s="28" t="s">
        <v>364</v>
      </c>
      <c r="B5" s="53">
        <v>450907.66666666669</v>
      </c>
      <c r="E5" s="22"/>
      <c r="O5" t="s">
        <v>1395</v>
      </c>
      <c r="R5">
        <v>1600</v>
      </c>
      <c r="S5">
        <v>212155397</v>
      </c>
      <c r="U5" s="53">
        <f>S4</f>
        <v>212155397</v>
      </c>
    </row>
    <row r="6" spans="1:21" x14ac:dyDescent="0.25">
      <c r="A6" s="28" t="s">
        <v>182</v>
      </c>
      <c r="B6" s="53">
        <v>515128.71428571426</v>
      </c>
      <c r="E6" s="22"/>
    </row>
    <row r="7" spans="1:21" x14ac:dyDescent="0.25">
      <c r="A7" s="28" t="s">
        <v>1156</v>
      </c>
      <c r="B7" s="53">
        <v>637603.83333333337</v>
      </c>
      <c r="E7" s="22"/>
    </row>
    <row r="8" spans="1:21" x14ac:dyDescent="0.25">
      <c r="A8" s="28" t="s">
        <v>93</v>
      </c>
      <c r="B8" s="53">
        <v>688808.36241610744</v>
      </c>
      <c r="E8" s="22"/>
    </row>
    <row r="9" spans="1:21" x14ac:dyDescent="0.25">
      <c r="A9" s="28" t="s">
        <v>301</v>
      </c>
      <c r="B9" s="53">
        <v>779556.34782608692</v>
      </c>
      <c r="E9" s="22"/>
    </row>
    <row r="10" spans="1:21" x14ac:dyDescent="0.25">
      <c r="A10" s="28" t="s">
        <v>350</v>
      </c>
      <c r="B10" s="53">
        <v>801107.75</v>
      </c>
      <c r="E10" s="22"/>
    </row>
    <row r="11" spans="1:21" x14ac:dyDescent="0.25">
      <c r="A11" s="28" t="s">
        <v>22</v>
      </c>
      <c r="B11" s="53">
        <v>937114.57</v>
      </c>
      <c r="E11" s="22"/>
    </row>
    <row r="12" spans="1:21" x14ac:dyDescent="0.25">
      <c r="A12" s="28" t="s">
        <v>1047</v>
      </c>
      <c r="B12" s="53">
        <v>970082.90909090906</v>
      </c>
      <c r="E12" s="22"/>
    </row>
    <row r="13" spans="1:21" x14ac:dyDescent="0.25">
      <c r="A13" s="28" t="s">
        <v>7</v>
      </c>
      <c r="B13" s="53">
        <v>987476.5461538462</v>
      </c>
      <c r="E13" s="22"/>
    </row>
    <row r="14" spans="1:21" x14ac:dyDescent="0.25">
      <c r="A14" s="28" t="s">
        <v>202</v>
      </c>
      <c r="B14" s="53">
        <v>1059604.3</v>
      </c>
      <c r="E14" s="22"/>
    </row>
    <row r="15" spans="1:21" x14ac:dyDescent="0.25">
      <c r="A15" s="28" t="s">
        <v>40</v>
      </c>
      <c r="B15" s="53">
        <v>1123853.8139534884</v>
      </c>
      <c r="E15" s="22"/>
    </row>
    <row r="16" spans="1:21" x14ac:dyDescent="0.25">
      <c r="A16" s="28" t="s">
        <v>105</v>
      </c>
      <c r="B16" s="53">
        <v>1150500</v>
      </c>
      <c r="E16" s="22"/>
    </row>
    <row r="17" spans="1:5" x14ac:dyDescent="0.25">
      <c r="A17" s="28" t="s">
        <v>131</v>
      </c>
      <c r="B17" s="53">
        <v>1206136.5625</v>
      </c>
      <c r="E17" s="22"/>
    </row>
    <row r="18" spans="1:5" x14ac:dyDescent="0.25">
      <c r="A18" s="28" t="s">
        <v>160</v>
      </c>
      <c r="B18" s="53">
        <v>1321923.5294117648</v>
      </c>
      <c r="E18" s="22"/>
    </row>
    <row r="19" spans="1:5" x14ac:dyDescent="0.25">
      <c r="A19" s="28" t="s">
        <v>138</v>
      </c>
      <c r="B19" s="53">
        <v>1610307.6923076923</v>
      </c>
      <c r="E19" s="22"/>
    </row>
    <row r="20" spans="1:5" x14ac:dyDescent="0.25">
      <c r="A20" s="28" t="s">
        <v>55</v>
      </c>
      <c r="B20" s="53">
        <v>1653056.0975609757</v>
      </c>
      <c r="E20" s="22"/>
    </row>
    <row r="21" spans="1:5" x14ac:dyDescent="0.25">
      <c r="A21" s="28" t="s">
        <v>330</v>
      </c>
      <c r="B21" s="53">
        <v>1695369.1724137932</v>
      </c>
      <c r="E21" s="22"/>
    </row>
    <row r="22" spans="1:5" x14ac:dyDescent="0.25">
      <c r="A22" s="28" t="s">
        <v>239</v>
      </c>
      <c r="B22" s="53">
        <v>1701142.857142857</v>
      </c>
      <c r="E22" s="22"/>
    </row>
    <row r="23" spans="1:5" x14ac:dyDescent="0.25">
      <c r="A23" s="28" t="s">
        <v>572</v>
      </c>
      <c r="B23" s="53">
        <v>1973879.465116279</v>
      </c>
      <c r="E23" s="22"/>
    </row>
    <row r="24" spans="1:5" x14ac:dyDescent="0.25">
      <c r="A24" s="28" t="s">
        <v>1041</v>
      </c>
      <c r="B24" s="53">
        <v>2225392.7999999998</v>
      </c>
      <c r="E24" s="22"/>
    </row>
    <row r="25" spans="1:5" x14ac:dyDescent="0.25">
      <c r="A25" s="28" t="s">
        <v>63</v>
      </c>
      <c r="B25" s="53">
        <v>3203428.0714285714</v>
      </c>
      <c r="E25" s="22"/>
    </row>
    <row r="26" spans="1:5" x14ac:dyDescent="0.25">
      <c r="A26" s="28" t="s">
        <v>935</v>
      </c>
      <c r="B26" s="53">
        <v>3407407</v>
      </c>
      <c r="E26" s="22"/>
    </row>
    <row r="27" spans="1:5" x14ac:dyDescent="0.25">
      <c r="A27" s="28" t="s">
        <v>589</v>
      </c>
      <c r="B27" s="53">
        <v>3456192.8571428573</v>
      </c>
      <c r="E27" s="22"/>
    </row>
    <row r="28" spans="1:5" x14ac:dyDescent="0.25">
      <c r="A28" s="28" t="s">
        <v>143</v>
      </c>
      <c r="B28" s="53">
        <v>3792000</v>
      </c>
      <c r="E28" s="22"/>
    </row>
    <row r="29" spans="1:5" x14ac:dyDescent="0.25">
      <c r="A29" s="28" t="s">
        <v>382</v>
      </c>
      <c r="B29" s="53">
        <v>5834750</v>
      </c>
      <c r="E29" s="22"/>
    </row>
    <row r="30" spans="1:5" x14ac:dyDescent="0.25">
      <c r="A30" s="28" t="s">
        <v>68</v>
      </c>
      <c r="B30" s="53">
        <v>7240430.6451612907</v>
      </c>
      <c r="E30" s="22"/>
    </row>
    <row r="31" spans="1:5" x14ac:dyDescent="0.25">
      <c r="A31" s="28" t="s">
        <v>1394</v>
      </c>
      <c r="B31" s="53">
        <v>8256216.2162162159</v>
      </c>
      <c r="E31" s="22"/>
    </row>
    <row r="32" spans="1:5" x14ac:dyDescent="0.25">
      <c r="A32" s="28" t="s">
        <v>287</v>
      </c>
      <c r="B32" s="53">
        <v>8457079.8000000007</v>
      </c>
      <c r="E32" s="22"/>
    </row>
    <row r="33" spans="1:5" x14ac:dyDescent="0.25">
      <c r="A33" s="28" t="s">
        <v>280</v>
      </c>
      <c r="B33" s="53">
        <v>10464503.045454545</v>
      </c>
      <c r="E33" s="22"/>
    </row>
    <row r="34" spans="1:5" x14ac:dyDescent="0.25">
      <c r="A34" s="28" t="s">
        <v>170</v>
      </c>
      <c r="B34" s="53">
        <v>15015300</v>
      </c>
      <c r="E34" s="22"/>
    </row>
    <row r="35" spans="1:5" x14ac:dyDescent="0.25">
      <c r="A35" s="28" t="s">
        <v>297</v>
      </c>
      <c r="B35" s="53">
        <v>15346000</v>
      </c>
      <c r="E35" s="22"/>
    </row>
    <row r="36" spans="1:5" x14ac:dyDescent="0.25">
      <c r="A36" s="28" t="s">
        <v>90</v>
      </c>
      <c r="B36" s="53">
        <v>15408224.720000001</v>
      </c>
      <c r="E36" s="22"/>
    </row>
    <row r="37" spans="1:5" x14ac:dyDescent="0.25">
      <c r="A37" s="28" t="s">
        <v>150</v>
      </c>
      <c r="B37" s="53">
        <v>15696889.888888888</v>
      </c>
      <c r="E37" s="22"/>
    </row>
    <row r="38" spans="1:5" x14ac:dyDescent="0.25">
      <c r="A38" s="28" t="s">
        <v>146</v>
      </c>
      <c r="B38" s="53">
        <v>16456465.740740741</v>
      </c>
      <c r="E38" s="22"/>
    </row>
    <row r="39" spans="1:5" x14ac:dyDescent="0.25">
      <c r="A39" s="28" t="s">
        <v>377</v>
      </c>
      <c r="B39" s="53">
        <v>36267442</v>
      </c>
      <c r="E39" s="22"/>
    </row>
    <row r="40" spans="1:5" x14ac:dyDescent="0.25">
      <c r="A40" s="28" t="s">
        <v>85</v>
      </c>
      <c r="B40" s="53">
        <v>39053919.230769232</v>
      </c>
      <c r="E40" s="22"/>
    </row>
    <row r="41" spans="1:5" x14ac:dyDescent="0.25">
      <c r="A41" s="28" t="s">
        <v>88</v>
      </c>
      <c r="B41" s="53">
        <v>40565854.333333336</v>
      </c>
      <c r="E41" s="22"/>
    </row>
    <row r="42" spans="1:5" x14ac:dyDescent="0.25">
      <c r="A42" s="28" t="s">
        <v>259</v>
      </c>
      <c r="B42" s="53">
        <v>42872495.625</v>
      </c>
      <c r="E42" s="22"/>
    </row>
    <row r="43" spans="1:5" x14ac:dyDescent="0.25">
      <c r="A43" s="28" t="s">
        <v>1395</v>
      </c>
      <c r="B43" s="57">
        <v>4305027.0023715412</v>
      </c>
      <c r="E43" s="22"/>
    </row>
    <row r="44" spans="1:5" x14ac:dyDescent="0.25">
      <c r="E44" s="22"/>
    </row>
    <row r="45" spans="1:5" ht="15.75" thickBot="1" x14ac:dyDescent="0.3">
      <c r="A45" s="26"/>
      <c r="B45" s="23"/>
      <c r="C45" s="23"/>
      <c r="D45" s="23"/>
      <c r="E45" s="24"/>
    </row>
    <row r="48" spans="1:5" ht="15.75" thickBot="1" x14ac:dyDescent="0.3"/>
    <row r="49" spans="1:7" ht="15.75" thickBot="1" x14ac:dyDescent="0.3">
      <c r="A49" s="55" t="s">
        <v>1422</v>
      </c>
      <c r="B49" s="56"/>
      <c r="C49" s="20"/>
      <c r="D49" s="20"/>
      <c r="E49" s="20"/>
      <c r="F49" s="21"/>
    </row>
    <row r="50" spans="1:7" ht="15.75" thickBot="1" x14ac:dyDescent="0.3">
      <c r="A50" s="37" t="s">
        <v>1401</v>
      </c>
      <c r="B50" s="40" t="s">
        <v>1413</v>
      </c>
      <c r="F50" s="22"/>
    </row>
    <row r="51" spans="1:7" x14ac:dyDescent="0.25">
      <c r="A51" s="31" t="s">
        <v>66</v>
      </c>
      <c r="B51" s="58">
        <v>441</v>
      </c>
      <c r="F51" s="22"/>
    </row>
    <row r="52" spans="1:7" x14ac:dyDescent="0.25">
      <c r="A52" s="31" t="s">
        <v>27</v>
      </c>
      <c r="B52" s="59">
        <v>336</v>
      </c>
      <c r="F52" s="22"/>
    </row>
    <row r="53" spans="1:7" x14ac:dyDescent="0.25">
      <c r="A53" s="31" t="s">
        <v>11</v>
      </c>
      <c r="B53" s="59">
        <v>316</v>
      </c>
      <c r="F53" s="22"/>
    </row>
    <row r="54" spans="1:7" x14ac:dyDescent="0.25">
      <c r="A54" s="31" t="s">
        <v>212</v>
      </c>
      <c r="B54" s="59">
        <v>41</v>
      </c>
      <c r="F54" s="22"/>
    </row>
    <row r="55" spans="1:7" ht="15.75" thickBot="1" x14ac:dyDescent="0.3">
      <c r="A55" s="31" t="s">
        <v>226</v>
      </c>
      <c r="B55" s="59">
        <v>39</v>
      </c>
      <c r="F55" s="22"/>
    </row>
    <row r="56" spans="1:7" ht="15.75" thickBot="1" x14ac:dyDescent="0.3">
      <c r="A56" s="39" t="s">
        <v>1395</v>
      </c>
      <c r="B56" s="60">
        <v>1173</v>
      </c>
      <c r="F56" s="22"/>
    </row>
    <row r="57" spans="1:7" x14ac:dyDescent="0.25">
      <c r="A57" s="25"/>
      <c r="F57" s="22"/>
    </row>
    <row r="58" spans="1:7" x14ac:dyDescent="0.25">
      <c r="A58" s="25"/>
      <c r="F58" s="22"/>
    </row>
    <row r="59" spans="1:7" ht="15.75" thickBot="1" x14ac:dyDescent="0.3">
      <c r="A59" s="26"/>
      <c r="B59" s="23"/>
      <c r="C59" s="23"/>
      <c r="D59" s="23"/>
      <c r="E59" s="23"/>
      <c r="F59" s="24"/>
    </row>
    <row r="63" spans="1:7" ht="15.75" thickBot="1" x14ac:dyDescent="0.3"/>
    <row r="64" spans="1:7" ht="15.75" thickBot="1" x14ac:dyDescent="0.3">
      <c r="A64" s="55" t="s">
        <v>1414</v>
      </c>
      <c r="B64" s="56"/>
      <c r="C64" s="56"/>
      <c r="D64" s="20"/>
      <c r="E64" s="20"/>
      <c r="F64" s="20"/>
      <c r="G64" s="21"/>
    </row>
    <row r="65" spans="1:7" ht="15.75" thickBot="1" x14ac:dyDescent="0.3">
      <c r="A65" s="46" t="s">
        <v>1401</v>
      </c>
      <c r="B65" s="48" t="s">
        <v>1420</v>
      </c>
      <c r="G65" s="22"/>
    </row>
    <row r="66" spans="1:7" x14ac:dyDescent="0.25">
      <c r="A66" s="38" t="s">
        <v>1415</v>
      </c>
      <c r="B66" s="49">
        <v>8.7747035573122537E-2</v>
      </c>
      <c r="G66" s="22"/>
    </row>
    <row r="67" spans="1:7" x14ac:dyDescent="0.25">
      <c r="A67" s="31" t="s">
        <v>1416</v>
      </c>
      <c r="B67" s="32">
        <v>0.14545454545454545</v>
      </c>
      <c r="G67" s="22"/>
    </row>
    <row r="68" spans="1:7" x14ac:dyDescent="0.25">
      <c r="A68" s="31" t="s">
        <v>1417</v>
      </c>
      <c r="B68" s="32">
        <v>0.30592885375494072</v>
      </c>
      <c r="G68" s="22"/>
    </row>
    <row r="69" spans="1:7" x14ac:dyDescent="0.25">
      <c r="A69" s="31" t="s">
        <v>1418</v>
      </c>
      <c r="B69" s="32">
        <v>9.9604743083003947E-2</v>
      </c>
      <c r="G69" s="22"/>
    </row>
    <row r="70" spans="1:7" x14ac:dyDescent="0.25">
      <c r="A70" s="31" t="s">
        <v>937</v>
      </c>
      <c r="B70" s="32">
        <v>0.35256916996047433</v>
      </c>
      <c r="G70" s="22"/>
    </row>
    <row r="71" spans="1:7" ht="15.75" thickBot="1" x14ac:dyDescent="0.3">
      <c r="A71" s="31" t="s">
        <v>1419</v>
      </c>
      <c r="B71" s="32">
        <v>8.6956521739130436E-3</v>
      </c>
      <c r="G71" s="22"/>
    </row>
    <row r="72" spans="1:7" x14ac:dyDescent="0.25">
      <c r="A72" s="38" t="s">
        <v>1395</v>
      </c>
      <c r="B72" s="32">
        <v>1</v>
      </c>
      <c r="G72" s="22"/>
    </row>
    <row r="73" spans="1:7" x14ac:dyDescent="0.25">
      <c r="A73" s="25"/>
      <c r="G73" s="22"/>
    </row>
    <row r="74" spans="1:7" x14ac:dyDescent="0.25">
      <c r="A74" s="25"/>
      <c r="G74" s="22"/>
    </row>
    <row r="75" spans="1:7" x14ac:dyDescent="0.25">
      <c r="A75" s="25"/>
      <c r="G75" s="22"/>
    </row>
    <row r="76" spans="1:7" x14ac:dyDescent="0.25">
      <c r="A76" s="25"/>
      <c r="G76" s="22"/>
    </row>
    <row r="77" spans="1:7" ht="15.75" thickBot="1" x14ac:dyDescent="0.3">
      <c r="A77" s="26"/>
      <c r="B77" s="23"/>
      <c r="C77" s="23"/>
      <c r="D77" s="23"/>
      <c r="E77" s="23"/>
      <c r="F77" s="23"/>
      <c r="G77" s="24"/>
    </row>
    <row r="79" spans="1:7" ht="15.75" thickBot="1" x14ac:dyDescent="0.3"/>
    <row r="80" spans="1:7" ht="15.75" thickBot="1" x14ac:dyDescent="0.3">
      <c r="A80" s="55" t="s">
        <v>1421</v>
      </c>
      <c r="B80" s="56"/>
      <c r="C80" s="20"/>
      <c r="D80" s="20"/>
      <c r="E80" s="20"/>
      <c r="F80" s="20"/>
      <c r="G80" s="21"/>
    </row>
    <row r="81" spans="1:7" ht="15.75" thickBot="1" x14ac:dyDescent="0.3">
      <c r="A81" s="41" t="s">
        <v>1401</v>
      </c>
      <c r="B81" s="47" t="s">
        <v>1398</v>
      </c>
      <c r="G81" s="22"/>
    </row>
    <row r="82" spans="1:7" x14ac:dyDescent="0.25">
      <c r="A82" s="42" t="s">
        <v>958</v>
      </c>
      <c r="B82" s="51">
        <v>610</v>
      </c>
      <c r="G82" s="22"/>
    </row>
    <row r="83" spans="1:7" x14ac:dyDescent="0.25">
      <c r="A83" s="43" t="s">
        <v>285</v>
      </c>
      <c r="B83" s="50">
        <v>625</v>
      </c>
      <c r="G83" s="22"/>
    </row>
    <row r="84" spans="1:7" x14ac:dyDescent="0.25">
      <c r="A84" s="43" t="s">
        <v>964</v>
      </c>
      <c r="B84" s="50">
        <v>625</v>
      </c>
      <c r="G84" s="22"/>
    </row>
    <row r="85" spans="1:7" x14ac:dyDescent="0.25">
      <c r="A85" s="43" t="s">
        <v>257</v>
      </c>
      <c r="B85" s="50">
        <v>639</v>
      </c>
      <c r="G85" s="22"/>
    </row>
    <row r="86" spans="1:7" x14ac:dyDescent="0.25">
      <c r="A86" s="43" t="s">
        <v>260</v>
      </c>
      <c r="B86" s="50">
        <v>645.5</v>
      </c>
      <c r="G86" s="22"/>
    </row>
    <row r="87" spans="1:7" x14ac:dyDescent="0.25">
      <c r="A87" s="43" t="s">
        <v>86</v>
      </c>
      <c r="B87" s="50">
        <v>650</v>
      </c>
      <c r="G87" s="22"/>
    </row>
    <row r="88" spans="1:7" x14ac:dyDescent="0.25">
      <c r="A88" s="43" t="s">
        <v>1012</v>
      </c>
      <c r="B88" s="50">
        <v>669</v>
      </c>
      <c r="G88" s="22"/>
    </row>
    <row r="89" spans="1:7" x14ac:dyDescent="0.25">
      <c r="A89" s="43" t="s">
        <v>987</v>
      </c>
      <c r="B89" s="50">
        <v>670</v>
      </c>
      <c r="G89" s="22"/>
    </row>
    <row r="90" spans="1:7" x14ac:dyDescent="0.25">
      <c r="A90" s="43" t="s">
        <v>989</v>
      </c>
      <c r="B90" s="50">
        <v>713.33333333333337</v>
      </c>
      <c r="G90" s="22"/>
    </row>
    <row r="91" spans="1:7" ht="15.75" thickBot="1" x14ac:dyDescent="0.3">
      <c r="A91" s="44" t="s">
        <v>278</v>
      </c>
      <c r="B91" s="50">
        <v>789</v>
      </c>
      <c r="G91" s="22"/>
    </row>
    <row r="92" spans="1:7" ht="15.75" thickBot="1" x14ac:dyDescent="0.3">
      <c r="A92" s="45" t="s">
        <v>1395</v>
      </c>
      <c r="B92" s="52">
        <v>669.85714285714289</v>
      </c>
      <c r="G92" s="22"/>
    </row>
    <row r="93" spans="1:7" ht="15.75" thickBot="1" x14ac:dyDescent="0.3">
      <c r="A93" s="26"/>
      <c r="B93" s="23"/>
      <c r="C93" s="23"/>
      <c r="D93" s="23"/>
      <c r="E93" s="23"/>
      <c r="F93" s="23"/>
      <c r="G93" s="24"/>
    </row>
    <row r="98" spans="1:12" ht="15.75" thickBot="1" x14ac:dyDescent="0.3"/>
    <row r="99" spans="1:12" x14ac:dyDescent="0.25">
      <c r="A99" s="55" t="s">
        <v>1423</v>
      </c>
      <c r="B99" s="56"/>
      <c r="C99" s="20"/>
      <c r="D99" s="20"/>
      <c r="E99" s="20"/>
      <c r="F99" s="20"/>
      <c r="G99" s="20"/>
      <c r="H99" s="20"/>
      <c r="I99" s="20"/>
      <c r="J99" s="20"/>
      <c r="K99" s="20"/>
      <c r="L99" s="21"/>
    </row>
    <row r="100" spans="1:12" x14ac:dyDescent="0.25">
      <c r="A100" s="27" t="s">
        <v>1401</v>
      </c>
      <c r="B100" t="s">
        <v>1397</v>
      </c>
      <c r="C100" t="s">
        <v>1398</v>
      </c>
      <c r="E100" t="s">
        <v>1402</v>
      </c>
      <c r="F100" t="s">
        <v>1403</v>
      </c>
      <c r="G100" t="s">
        <v>1404</v>
      </c>
      <c r="L100" s="22"/>
    </row>
    <row r="101" spans="1:12" x14ac:dyDescent="0.25">
      <c r="A101" s="28" t="s">
        <v>377</v>
      </c>
      <c r="B101">
        <v>36267442</v>
      </c>
      <c r="C101">
        <v>557.66666666666663</v>
      </c>
      <c r="E101" t="str">
        <f>A101</f>
        <v>Aston Martin</v>
      </c>
      <c r="F101" s="53">
        <f>B101</f>
        <v>36267442</v>
      </c>
      <c r="G101" s="33">
        <f>C101</f>
        <v>557.66666666666663</v>
      </c>
      <c r="L101" s="22"/>
    </row>
    <row r="102" spans="1:12" x14ac:dyDescent="0.25">
      <c r="A102" s="28" t="s">
        <v>68</v>
      </c>
      <c r="B102">
        <v>7240430.6451612907</v>
      </c>
      <c r="C102">
        <v>244.12903225806451</v>
      </c>
      <c r="E102" t="str">
        <f t="shared" ref="E102:E139" si="0">A102</f>
        <v>Audi</v>
      </c>
      <c r="F102" s="53">
        <f t="shared" ref="F102:F139" si="1">B102</f>
        <v>7240430.6451612907</v>
      </c>
      <c r="G102" s="33">
        <f t="shared" ref="G102:G139" si="2">C102</f>
        <v>244.12903225806451</v>
      </c>
      <c r="L102" s="22"/>
    </row>
    <row r="103" spans="1:12" x14ac:dyDescent="0.25">
      <c r="A103" s="28" t="s">
        <v>220</v>
      </c>
      <c r="B103">
        <v>273000</v>
      </c>
      <c r="C103">
        <v>12.5</v>
      </c>
      <c r="E103" t="str">
        <f t="shared" si="0"/>
        <v>Bajaj</v>
      </c>
      <c r="F103" s="53">
        <f t="shared" si="1"/>
        <v>273000</v>
      </c>
      <c r="G103" s="33">
        <f t="shared" si="2"/>
        <v>12.5</v>
      </c>
      <c r="L103" s="22"/>
    </row>
    <row r="104" spans="1:12" x14ac:dyDescent="0.25">
      <c r="A104" s="28" t="s">
        <v>88</v>
      </c>
      <c r="B104">
        <v>40565854.333333336</v>
      </c>
      <c r="C104">
        <v>563.83333333333337</v>
      </c>
      <c r="E104" t="str">
        <f t="shared" si="0"/>
        <v>Bentley</v>
      </c>
      <c r="F104" s="53">
        <f t="shared" si="1"/>
        <v>40565854.333333336</v>
      </c>
      <c r="G104" s="33">
        <f t="shared" si="2"/>
        <v>563.83333333333337</v>
      </c>
      <c r="L104" s="22"/>
    </row>
    <row r="105" spans="1:12" x14ac:dyDescent="0.25">
      <c r="A105" s="28" t="s">
        <v>1394</v>
      </c>
      <c r="B105">
        <v>8256216.2162162159</v>
      </c>
      <c r="C105">
        <v>277.94594594594594</v>
      </c>
      <c r="E105" t="str">
        <f t="shared" si="0"/>
        <v>BMW</v>
      </c>
      <c r="F105" s="53">
        <f t="shared" si="1"/>
        <v>8256216.2162162159</v>
      </c>
      <c r="G105" s="33">
        <f t="shared" si="2"/>
        <v>277.94594594594594</v>
      </c>
      <c r="L105" s="22"/>
    </row>
    <row r="106" spans="1:12" x14ac:dyDescent="0.25">
      <c r="A106" s="28" t="s">
        <v>364</v>
      </c>
      <c r="B106">
        <v>450907.66666666669</v>
      </c>
      <c r="C106">
        <v>65.599999999999994</v>
      </c>
      <c r="E106" t="str">
        <f t="shared" si="0"/>
        <v>Datsun</v>
      </c>
      <c r="F106" s="53">
        <f t="shared" si="1"/>
        <v>450907.66666666669</v>
      </c>
      <c r="G106" s="33">
        <f t="shared" si="2"/>
        <v>65.599999999999994</v>
      </c>
      <c r="L106" s="22"/>
    </row>
    <row r="107" spans="1:12" x14ac:dyDescent="0.25">
      <c r="A107" s="28" t="s">
        <v>935</v>
      </c>
      <c r="B107">
        <v>3407407</v>
      </c>
      <c r="C107">
        <v>250</v>
      </c>
      <c r="E107" t="str">
        <f t="shared" si="0"/>
        <v>Dc</v>
      </c>
      <c r="F107" s="53">
        <f t="shared" si="1"/>
        <v>3407407</v>
      </c>
      <c r="G107" s="33">
        <f t="shared" si="2"/>
        <v>250</v>
      </c>
      <c r="L107" s="22"/>
    </row>
    <row r="108" spans="1:12" x14ac:dyDescent="0.25">
      <c r="A108" s="28" t="s">
        <v>259</v>
      </c>
      <c r="B108">
        <v>42872495.625</v>
      </c>
      <c r="C108">
        <v>656.75</v>
      </c>
      <c r="E108" t="str">
        <f t="shared" si="0"/>
        <v>Ferrari</v>
      </c>
      <c r="F108" s="53">
        <f t="shared" si="1"/>
        <v>42872495.625</v>
      </c>
      <c r="G108" s="33">
        <f t="shared" si="2"/>
        <v>656.75</v>
      </c>
      <c r="L108" s="22"/>
    </row>
    <row r="109" spans="1:12" x14ac:dyDescent="0.25">
      <c r="A109" s="28" t="s">
        <v>301</v>
      </c>
      <c r="B109">
        <v>779556.34782608692</v>
      </c>
      <c r="C109">
        <v>94.521739130434781</v>
      </c>
      <c r="E109" t="str">
        <f t="shared" si="0"/>
        <v>Fiat</v>
      </c>
      <c r="F109" s="53">
        <f t="shared" si="1"/>
        <v>779556.34782608692</v>
      </c>
      <c r="G109" s="33">
        <f t="shared" si="2"/>
        <v>94.521739130434781</v>
      </c>
      <c r="L109" s="22"/>
    </row>
    <row r="110" spans="1:12" x14ac:dyDescent="0.25">
      <c r="A110" s="28" t="s">
        <v>105</v>
      </c>
      <c r="B110">
        <v>1150500</v>
      </c>
      <c r="C110">
        <v>103.33333333333333</v>
      </c>
      <c r="E110" t="str">
        <f t="shared" si="0"/>
        <v>Force</v>
      </c>
      <c r="F110" s="53">
        <f t="shared" si="1"/>
        <v>1150500</v>
      </c>
      <c r="G110" s="33">
        <f t="shared" si="2"/>
        <v>103.33333333333333</v>
      </c>
      <c r="L110" s="22"/>
    </row>
    <row r="111" spans="1:12" x14ac:dyDescent="0.25">
      <c r="A111" s="28" t="s">
        <v>40</v>
      </c>
      <c r="B111">
        <v>1123853.8139534884</v>
      </c>
      <c r="C111">
        <v>114.02325581395348</v>
      </c>
      <c r="E111" t="str">
        <f t="shared" si="0"/>
        <v>Ford</v>
      </c>
      <c r="F111" s="53">
        <f t="shared" si="1"/>
        <v>1123853.8139534884</v>
      </c>
      <c r="G111" s="33">
        <f t="shared" si="2"/>
        <v>114.02325581395348</v>
      </c>
      <c r="L111" s="22"/>
    </row>
    <row r="112" spans="1:12" x14ac:dyDescent="0.25">
      <c r="A112" s="28" t="s">
        <v>131</v>
      </c>
      <c r="B112">
        <v>1206136.5625</v>
      </c>
      <c r="C112">
        <v>104.375</v>
      </c>
      <c r="E112" t="str">
        <f t="shared" si="0"/>
        <v>Honda</v>
      </c>
      <c r="F112" s="53">
        <f t="shared" si="1"/>
        <v>1206136.5625</v>
      </c>
      <c r="G112" s="33">
        <f t="shared" si="2"/>
        <v>104.375</v>
      </c>
      <c r="L112" s="22"/>
    </row>
    <row r="113" spans="1:12" x14ac:dyDescent="0.25">
      <c r="A113" s="28" t="s">
        <v>7</v>
      </c>
      <c r="B113">
        <v>987476.5461538462</v>
      </c>
      <c r="C113">
        <v>99.390769230769223</v>
      </c>
      <c r="E113" t="str">
        <f t="shared" si="0"/>
        <v>Hyundai</v>
      </c>
      <c r="F113" s="53">
        <f t="shared" si="1"/>
        <v>987476.5461538462</v>
      </c>
      <c r="G113" s="33">
        <f t="shared" si="2"/>
        <v>99.390769230769223</v>
      </c>
      <c r="L113" s="22"/>
    </row>
    <row r="114" spans="1:12" x14ac:dyDescent="0.25">
      <c r="A114" s="28" t="s">
        <v>1047</v>
      </c>
      <c r="B114">
        <v>970082.90909090906</v>
      </c>
      <c r="C114">
        <v>116.38181818181816</v>
      </c>
      <c r="E114" t="str">
        <f t="shared" si="0"/>
        <v>Icml</v>
      </c>
      <c r="F114" s="53">
        <f t="shared" si="1"/>
        <v>970082.90909090906</v>
      </c>
      <c r="G114" s="33">
        <f t="shared" si="2"/>
        <v>116.38181818181816</v>
      </c>
      <c r="L114" s="22"/>
    </row>
    <row r="115" spans="1:12" x14ac:dyDescent="0.25">
      <c r="A115" s="28" t="s">
        <v>1041</v>
      </c>
      <c r="B115">
        <v>2225392.7999999998</v>
      </c>
      <c r="C115">
        <v>154.4</v>
      </c>
      <c r="E115" t="str">
        <f t="shared" si="0"/>
        <v>Isuzu</v>
      </c>
      <c r="F115" s="53">
        <f t="shared" si="1"/>
        <v>2225392.7999999998</v>
      </c>
      <c r="G115" s="33">
        <f t="shared" si="2"/>
        <v>154.4</v>
      </c>
      <c r="L115" s="22"/>
    </row>
    <row r="116" spans="1:12" x14ac:dyDescent="0.25">
      <c r="A116" s="28" t="s">
        <v>280</v>
      </c>
      <c r="B116">
        <v>10464503.045454545</v>
      </c>
      <c r="C116">
        <v>297.18181818181819</v>
      </c>
      <c r="E116" t="str">
        <f t="shared" si="0"/>
        <v>Jaguar</v>
      </c>
      <c r="F116" s="53">
        <f t="shared" si="1"/>
        <v>10464503.045454545</v>
      </c>
      <c r="G116" s="33">
        <f t="shared" si="2"/>
        <v>297.18181818181819</v>
      </c>
      <c r="L116" s="22"/>
    </row>
    <row r="117" spans="1:12" x14ac:dyDescent="0.25">
      <c r="A117" s="28" t="s">
        <v>63</v>
      </c>
      <c r="B117">
        <v>3203428.0714285714</v>
      </c>
      <c r="C117">
        <v>193.03571428571428</v>
      </c>
      <c r="E117" t="str">
        <f t="shared" si="0"/>
        <v>Jeep</v>
      </c>
      <c r="F117" s="53">
        <f t="shared" si="1"/>
        <v>3203428.0714285714</v>
      </c>
      <c r="G117" s="33">
        <f t="shared" si="2"/>
        <v>193.03571428571428</v>
      </c>
      <c r="L117" s="22"/>
    </row>
    <row r="118" spans="1:12" x14ac:dyDescent="0.25">
      <c r="A118" s="28" t="s">
        <v>239</v>
      </c>
      <c r="B118">
        <v>1701142.857142857</v>
      </c>
      <c r="C118">
        <v>139.95238095238096</v>
      </c>
      <c r="E118" t="str">
        <f t="shared" si="0"/>
        <v>Kia</v>
      </c>
      <c r="F118" s="53">
        <f t="shared" si="1"/>
        <v>1701142.857142857</v>
      </c>
      <c r="G118" s="33">
        <f t="shared" si="2"/>
        <v>139.95238095238096</v>
      </c>
      <c r="L118" s="22"/>
    </row>
    <row r="119" spans="1:12" x14ac:dyDescent="0.25">
      <c r="A119" s="28" t="s">
        <v>85</v>
      </c>
      <c r="B119">
        <v>39053919.230769232</v>
      </c>
      <c r="C119">
        <v>636.46153846153845</v>
      </c>
      <c r="E119" t="str">
        <f t="shared" si="0"/>
        <v>Lamborghini</v>
      </c>
      <c r="F119" s="53">
        <f t="shared" si="1"/>
        <v>39053919.230769232</v>
      </c>
      <c r="G119" s="33">
        <f t="shared" si="2"/>
        <v>636.46153846153845</v>
      </c>
      <c r="L119" s="22"/>
    </row>
    <row r="120" spans="1:12" x14ac:dyDescent="0.25">
      <c r="A120" s="28" t="s">
        <v>287</v>
      </c>
      <c r="B120">
        <v>8457079.8000000007</v>
      </c>
      <c r="C120">
        <v>296.60000000000002</v>
      </c>
      <c r="E120" t="str">
        <f t="shared" si="0"/>
        <v>Land Rover</v>
      </c>
      <c r="F120" s="53">
        <f t="shared" si="1"/>
        <v>8457079.8000000007</v>
      </c>
      <c r="G120" s="33">
        <f t="shared" si="2"/>
        <v>296.60000000000002</v>
      </c>
      <c r="L120" s="22"/>
    </row>
    <row r="121" spans="1:12" x14ac:dyDescent="0.25">
      <c r="A121" s="28" t="s">
        <v>146</v>
      </c>
      <c r="B121">
        <v>16456465.740740741</v>
      </c>
      <c r="C121">
        <v>326.66666666666669</v>
      </c>
      <c r="E121" t="str">
        <f t="shared" si="0"/>
        <v>Land Rover Rover</v>
      </c>
      <c r="F121" s="53">
        <f t="shared" si="1"/>
        <v>16456465.740740741</v>
      </c>
      <c r="G121" s="33">
        <f t="shared" si="2"/>
        <v>326.66666666666669</v>
      </c>
      <c r="L121" s="22"/>
    </row>
    <row r="122" spans="1:12" x14ac:dyDescent="0.25">
      <c r="A122" s="28" t="s">
        <v>170</v>
      </c>
      <c r="B122">
        <v>15015300</v>
      </c>
      <c r="C122">
        <v>266.3</v>
      </c>
      <c r="E122" t="str">
        <f t="shared" si="0"/>
        <v>Lexus</v>
      </c>
      <c r="F122" s="53">
        <f t="shared" si="1"/>
        <v>15015300</v>
      </c>
      <c r="G122" s="33">
        <f t="shared" si="2"/>
        <v>266.3</v>
      </c>
      <c r="L122" s="22"/>
    </row>
    <row r="123" spans="1:12" x14ac:dyDescent="0.25">
      <c r="A123" s="28" t="s">
        <v>202</v>
      </c>
      <c r="B123">
        <v>1059604.3</v>
      </c>
      <c r="C123">
        <v>100.86818181818182</v>
      </c>
      <c r="E123" t="str">
        <f t="shared" si="0"/>
        <v>Mahindra</v>
      </c>
      <c r="F123" s="53">
        <f t="shared" si="1"/>
        <v>1059604.3</v>
      </c>
      <c r="G123" s="33">
        <f t="shared" si="2"/>
        <v>100.86818181818182</v>
      </c>
      <c r="L123" s="22"/>
    </row>
    <row r="124" spans="1:12" x14ac:dyDescent="0.25">
      <c r="A124" s="28" t="s">
        <v>93</v>
      </c>
      <c r="B124">
        <v>688808.36241610744</v>
      </c>
      <c r="C124">
        <v>78.265100671140971</v>
      </c>
      <c r="E124" t="str">
        <f t="shared" si="0"/>
        <v>Maruti Suzuki</v>
      </c>
      <c r="F124" s="53">
        <f t="shared" si="1"/>
        <v>688808.36241610744</v>
      </c>
      <c r="G124" s="33">
        <f t="shared" si="2"/>
        <v>78.265100671140971</v>
      </c>
      <c r="L124" s="22"/>
    </row>
    <row r="125" spans="1:12" x14ac:dyDescent="0.25">
      <c r="A125" s="28" t="s">
        <v>182</v>
      </c>
      <c r="B125">
        <v>515128.71428571426</v>
      </c>
      <c r="C125">
        <v>74.428571428571431</v>
      </c>
      <c r="E125" t="str">
        <f t="shared" si="0"/>
        <v>Maruti Suzuki R</v>
      </c>
      <c r="F125" s="53">
        <f t="shared" si="1"/>
        <v>515128.71428571426</v>
      </c>
      <c r="G125" s="33">
        <f t="shared" si="2"/>
        <v>74.428571428571431</v>
      </c>
      <c r="L125" s="22"/>
    </row>
    <row r="126" spans="1:12" x14ac:dyDescent="0.25">
      <c r="A126" s="28" t="s">
        <v>150</v>
      </c>
      <c r="B126">
        <v>15696889.888888888</v>
      </c>
      <c r="C126">
        <v>340.55555555555554</v>
      </c>
      <c r="E126" t="str">
        <f t="shared" si="0"/>
        <v>Maserati</v>
      </c>
      <c r="F126" s="53">
        <f t="shared" si="1"/>
        <v>15696889.888888888</v>
      </c>
      <c r="G126" s="33">
        <f t="shared" si="2"/>
        <v>340.55555555555554</v>
      </c>
      <c r="L126" s="22"/>
    </row>
    <row r="127" spans="1:12" x14ac:dyDescent="0.25">
      <c r="A127" s="28" t="s">
        <v>90</v>
      </c>
      <c r="B127">
        <v>15408224.720000001</v>
      </c>
      <c r="C127">
        <v>286.66399999999999</v>
      </c>
      <c r="E127" t="str">
        <f t="shared" si="0"/>
        <v>Mercedes-Benz</v>
      </c>
      <c r="F127" s="53">
        <f t="shared" si="1"/>
        <v>15408224.720000001</v>
      </c>
      <c r="G127" s="33">
        <f t="shared" si="2"/>
        <v>286.66399999999999</v>
      </c>
      <c r="L127" s="22"/>
    </row>
    <row r="128" spans="1:12" x14ac:dyDescent="0.25">
      <c r="A128" s="28" t="s">
        <v>138</v>
      </c>
      <c r="B128">
        <v>1610307.6923076923</v>
      </c>
      <c r="C128">
        <v>149.57846153846154</v>
      </c>
      <c r="E128" t="str">
        <f t="shared" si="0"/>
        <v>Mg</v>
      </c>
      <c r="F128" s="53">
        <f t="shared" si="1"/>
        <v>1610307.6923076923</v>
      </c>
      <c r="G128" s="33">
        <f t="shared" si="2"/>
        <v>149.57846153846154</v>
      </c>
      <c r="L128" s="22"/>
    </row>
    <row r="129" spans="1:12" x14ac:dyDescent="0.25">
      <c r="A129" s="28" t="s">
        <v>143</v>
      </c>
      <c r="B129">
        <v>3792000</v>
      </c>
      <c r="C129">
        <v>180.5</v>
      </c>
      <c r="E129" t="str">
        <f t="shared" si="0"/>
        <v>Mini</v>
      </c>
      <c r="F129" s="53">
        <f t="shared" si="1"/>
        <v>3792000</v>
      </c>
      <c r="G129" s="33">
        <f t="shared" si="2"/>
        <v>180.5</v>
      </c>
      <c r="L129" s="22"/>
    </row>
    <row r="130" spans="1:12" x14ac:dyDescent="0.25">
      <c r="A130" s="28" t="s">
        <v>589</v>
      </c>
      <c r="B130">
        <v>3456192.8571428573</v>
      </c>
      <c r="C130">
        <v>179.85714285714286</v>
      </c>
      <c r="E130" t="str">
        <f t="shared" si="0"/>
        <v>Mitsubishi</v>
      </c>
      <c r="F130" s="53">
        <f t="shared" si="1"/>
        <v>3456192.8571428573</v>
      </c>
      <c r="G130" s="33">
        <f t="shared" si="2"/>
        <v>179.85714285714286</v>
      </c>
      <c r="L130" s="22"/>
    </row>
    <row r="131" spans="1:12" x14ac:dyDescent="0.25">
      <c r="A131" s="28" t="s">
        <v>330</v>
      </c>
      <c r="B131">
        <v>1695369.1724137932</v>
      </c>
      <c r="C131">
        <v>108.62068965517241</v>
      </c>
      <c r="E131" t="str">
        <f t="shared" si="0"/>
        <v>Nissan</v>
      </c>
      <c r="F131" s="53">
        <f t="shared" si="1"/>
        <v>1695369.1724137932</v>
      </c>
      <c r="G131" s="33">
        <f t="shared" si="2"/>
        <v>108.62068965517241</v>
      </c>
      <c r="L131" s="22"/>
    </row>
    <row r="132" spans="1:12" x14ac:dyDescent="0.25">
      <c r="A132" s="28" t="s">
        <v>297</v>
      </c>
      <c r="B132">
        <v>15346000</v>
      </c>
      <c r="C132">
        <v>418.71428571428572</v>
      </c>
      <c r="E132" t="str">
        <f t="shared" si="0"/>
        <v>Porsche</v>
      </c>
      <c r="F132" s="53">
        <f t="shared" si="1"/>
        <v>15346000</v>
      </c>
      <c r="G132" s="33">
        <f t="shared" si="2"/>
        <v>418.71428571428572</v>
      </c>
      <c r="L132" s="22"/>
    </row>
    <row r="133" spans="1:12" x14ac:dyDescent="0.25">
      <c r="A133" s="28" t="s">
        <v>1156</v>
      </c>
      <c r="B133">
        <v>637603.83333333337</v>
      </c>
      <c r="C133">
        <v>69.533333333333346</v>
      </c>
      <c r="E133" t="str">
        <f t="shared" si="0"/>
        <v>Premier</v>
      </c>
      <c r="F133" s="53">
        <f t="shared" si="1"/>
        <v>637603.83333333337</v>
      </c>
      <c r="G133" s="33">
        <f t="shared" si="2"/>
        <v>69.533333333333346</v>
      </c>
      <c r="L133" s="22"/>
    </row>
    <row r="134" spans="1:12" x14ac:dyDescent="0.25">
      <c r="A134" s="28" t="s">
        <v>350</v>
      </c>
      <c r="B134">
        <v>801107.75</v>
      </c>
      <c r="C134">
        <v>84.805555555555557</v>
      </c>
      <c r="E134" t="str">
        <f t="shared" si="0"/>
        <v>Renault</v>
      </c>
      <c r="F134" s="53">
        <f t="shared" si="1"/>
        <v>801107.75</v>
      </c>
      <c r="G134" s="33">
        <f t="shared" si="2"/>
        <v>84.805555555555557</v>
      </c>
      <c r="L134" s="22"/>
    </row>
    <row r="135" spans="1:12" x14ac:dyDescent="0.25">
      <c r="A135" s="28" t="s">
        <v>572</v>
      </c>
      <c r="B135">
        <v>1973879.465116279</v>
      </c>
      <c r="C135">
        <v>139.74418604651163</v>
      </c>
      <c r="E135" t="str">
        <f t="shared" si="0"/>
        <v>Skoda</v>
      </c>
      <c r="F135" s="53">
        <f t="shared" si="1"/>
        <v>1973879.465116279</v>
      </c>
      <c r="G135" s="33">
        <f t="shared" si="2"/>
        <v>139.74418604651163</v>
      </c>
      <c r="L135" s="22"/>
    </row>
    <row r="136" spans="1:12" x14ac:dyDescent="0.25">
      <c r="A136" s="28" t="s">
        <v>22</v>
      </c>
      <c r="B136">
        <v>937114.57</v>
      </c>
      <c r="C136">
        <v>99.156565656565661</v>
      </c>
      <c r="E136" t="str">
        <f t="shared" si="0"/>
        <v>Tata</v>
      </c>
      <c r="F136" s="53">
        <f t="shared" si="1"/>
        <v>937114.57</v>
      </c>
      <c r="G136" s="33">
        <f t="shared" si="2"/>
        <v>99.156565656565661</v>
      </c>
      <c r="L136" s="22"/>
    </row>
    <row r="137" spans="1:12" x14ac:dyDescent="0.25">
      <c r="A137" s="28" t="s">
        <v>55</v>
      </c>
      <c r="B137">
        <v>1653056.0975609757</v>
      </c>
      <c r="C137">
        <v>114.49756097560974</v>
      </c>
      <c r="E137" t="str">
        <f t="shared" si="0"/>
        <v>Toyota</v>
      </c>
      <c r="F137" s="53">
        <f t="shared" si="1"/>
        <v>1653056.0975609757</v>
      </c>
      <c r="G137" s="33">
        <f t="shared" si="2"/>
        <v>114.49756097560974</v>
      </c>
      <c r="L137" s="22"/>
    </row>
    <row r="138" spans="1:12" x14ac:dyDescent="0.25">
      <c r="A138" s="28" t="s">
        <v>160</v>
      </c>
      <c r="B138">
        <v>1321923.5294117648</v>
      </c>
      <c r="C138">
        <v>110.52941176470588</v>
      </c>
      <c r="E138" t="str">
        <f t="shared" si="0"/>
        <v>Volkswagen</v>
      </c>
      <c r="F138" s="53">
        <f t="shared" si="1"/>
        <v>1321923.5294117648</v>
      </c>
      <c r="G138" s="33">
        <f t="shared" si="2"/>
        <v>110.52941176470588</v>
      </c>
      <c r="L138" s="22"/>
    </row>
    <row r="139" spans="1:12" x14ac:dyDescent="0.25">
      <c r="A139" s="28" t="s">
        <v>382</v>
      </c>
      <c r="B139">
        <v>5834750</v>
      </c>
      <c r="C139">
        <v>222.94444444444446</v>
      </c>
      <c r="E139" t="str">
        <f t="shared" si="0"/>
        <v>Volvo</v>
      </c>
      <c r="F139" s="53">
        <f t="shared" si="1"/>
        <v>5834750</v>
      </c>
      <c r="G139" s="33">
        <f t="shared" si="2"/>
        <v>222.94444444444446</v>
      </c>
      <c r="L139" s="22"/>
    </row>
    <row r="140" spans="1:12" x14ac:dyDescent="0.25">
      <c r="A140" s="28" t="s">
        <v>1395</v>
      </c>
      <c r="B140">
        <v>4305027.0023715412</v>
      </c>
      <c r="C140">
        <v>154.44289556962025</v>
      </c>
      <c r="F140" s="53"/>
      <c r="G140" s="33"/>
      <c r="L140" s="22"/>
    </row>
    <row r="141" spans="1:12" x14ac:dyDescent="0.25">
      <c r="L141" s="22"/>
    </row>
    <row r="142" spans="1:12" x14ac:dyDescent="0.25">
      <c r="A142" s="25"/>
      <c r="L142" s="22"/>
    </row>
    <row r="143" spans="1:12" x14ac:dyDescent="0.25">
      <c r="A143" s="25"/>
      <c r="L143" s="22"/>
    </row>
    <row r="144" spans="1:12" x14ac:dyDescent="0.25">
      <c r="A144" s="25"/>
      <c r="L144" s="22"/>
    </row>
    <row r="145" spans="1:12" x14ac:dyDescent="0.25">
      <c r="A145" s="25" t="s">
        <v>1403</v>
      </c>
      <c r="B145" t="s">
        <v>1404</v>
      </c>
      <c r="I145" s="34" t="s">
        <v>1409</v>
      </c>
      <c r="J145" s="34" t="s">
        <v>1410</v>
      </c>
      <c r="K145" s="34" t="s">
        <v>1411</v>
      </c>
      <c r="L145" s="35" t="s">
        <v>1412</v>
      </c>
    </row>
    <row r="146" spans="1:12" x14ac:dyDescent="0.25">
      <c r="A146" s="25">
        <f>AVERAGE(CarData[[#All],[Price(₹ Lakhs)]])</f>
        <v>4305027.0023715412</v>
      </c>
      <c r="B146" s="1">
        <f>AVERAGE(CarData[[#All],[Engine_Power(BHP)]])</f>
        <v>154.44289556962025</v>
      </c>
      <c r="I146">
        <f>$A$146</f>
        <v>4305027.0023715412</v>
      </c>
      <c r="J146">
        <v>0</v>
      </c>
      <c r="K146">
        <v>0</v>
      </c>
      <c r="L146" s="22">
        <f>$B$146</f>
        <v>154.44289556962025</v>
      </c>
    </row>
    <row r="147" spans="1:12" x14ac:dyDescent="0.25">
      <c r="A147" s="25"/>
      <c r="I147">
        <f>$A$146</f>
        <v>4305027.0023715412</v>
      </c>
      <c r="J147">
        <v>700</v>
      </c>
      <c r="K147">
        <v>50000000</v>
      </c>
      <c r="L147" s="22">
        <f>$B$146</f>
        <v>154.44289556962025</v>
      </c>
    </row>
    <row r="148" spans="1:12" x14ac:dyDescent="0.25">
      <c r="A148" s="25"/>
      <c r="L148" s="22"/>
    </row>
    <row r="149" spans="1:12" x14ac:dyDescent="0.25">
      <c r="A149" s="25" t="s">
        <v>1405</v>
      </c>
      <c r="L149" s="22"/>
    </row>
    <row r="150" spans="1:12" x14ac:dyDescent="0.25">
      <c r="A150" s="25" t="s">
        <v>1407</v>
      </c>
      <c r="B150" t="s">
        <v>1406</v>
      </c>
      <c r="L150" s="22"/>
    </row>
    <row r="151" spans="1:12" x14ac:dyDescent="0.25">
      <c r="A151" s="36">
        <f>A146</f>
        <v>4305027.0023715412</v>
      </c>
      <c r="B151">
        <v>0</v>
      </c>
      <c r="L151" s="22"/>
    </row>
    <row r="152" spans="1:12" x14ac:dyDescent="0.25">
      <c r="A152" s="36">
        <f>A146</f>
        <v>4305027.0023715412</v>
      </c>
      <c r="B152">
        <v>700</v>
      </c>
      <c r="L152" s="22"/>
    </row>
    <row r="153" spans="1:12" ht="15.75" thickBot="1" x14ac:dyDescent="0.3">
      <c r="A153" s="26"/>
      <c r="B153" s="23"/>
      <c r="C153" s="23"/>
      <c r="D153" s="23"/>
      <c r="E153" s="23"/>
      <c r="F153" s="23"/>
      <c r="G153" s="23"/>
      <c r="H153" s="23"/>
      <c r="I153" s="23"/>
      <c r="J153" s="23"/>
      <c r="K153" s="23"/>
      <c r="L153" s="24"/>
    </row>
    <row r="155" spans="1:12" x14ac:dyDescent="0.25">
      <c r="A155" t="s">
        <v>1408</v>
      </c>
    </row>
    <row r="156" spans="1:12" x14ac:dyDescent="0.25">
      <c r="A156" t="s">
        <v>1407</v>
      </c>
      <c r="B156" t="s">
        <v>1406</v>
      </c>
    </row>
    <row r="157" spans="1:12" x14ac:dyDescent="0.25">
      <c r="A157" s="29">
        <v>0</v>
      </c>
      <c r="B157" s="1">
        <f>B146</f>
        <v>154.44289556962025</v>
      </c>
    </row>
    <row r="158" spans="1:12" x14ac:dyDescent="0.25">
      <c r="A158" s="29">
        <v>50</v>
      </c>
      <c r="B158" s="1">
        <f>B146</f>
        <v>154.44289556962025</v>
      </c>
    </row>
    <row r="2188" ht="15.75" thickBot="1" x14ac:dyDescent="0.3"/>
    <row r="2932" ht="15.75" thickBot="1" x14ac:dyDescent="0.3"/>
    <row r="4185" ht="15.75" thickBot="1" x14ac:dyDescent="0.3"/>
  </sheetData>
  <mergeCells count="7">
    <mergeCell ref="O1:T1"/>
    <mergeCell ref="H1:M1"/>
    <mergeCell ref="A99:B99"/>
    <mergeCell ref="A2:B2"/>
    <mergeCell ref="A49:B49"/>
    <mergeCell ref="A64:C64"/>
    <mergeCell ref="A80:B80"/>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139D-E3D4-44FB-B464-D3F6CC41C49F}">
  <sheetPr>
    <tabColor rgb="FF2E8B57"/>
  </sheetPr>
  <dimension ref="Q52:V68"/>
  <sheetViews>
    <sheetView showGridLines="0" showRowColHeaders="0" tabSelected="1" zoomScale="60" zoomScaleNormal="60" workbookViewId="0">
      <selection activeCell="C19" sqref="C19"/>
    </sheetView>
  </sheetViews>
  <sheetFormatPr defaultRowHeight="15" x14ac:dyDescent="0.25"/>
  <sheetData>
    <row r="52" spans="22:22" x14ac:dyDescent="0.25">
      <c r="V52" t="s">
        <v>1430</v>
      </c>
    </row>
    <row r="68" spans="17:17" ht="16.5" x14ac:dyDescent="0.3">
      <c r="Q68"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 
</file>

<file path=customXml/item3.xml>��
</file>

<file path=customXml/item4.xml>��
</file>

<file path=customXml/item5.xml>��
</file>

<file path=customXml/item6.xml>��
</file>

<file path=customXml/item7.xml>��
</file>

<file path=customXml/item8.xml>��
</file>

<file path=customXml/item9.xml>��� �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B85DCA9-A1BF-4065-87D4-3E9713A4B076}">
  <ds:schemaRefs/>
</ds:datastoreItem>
</file>

<file path=customXml/itemProps2.xml><?xml version="1.0" encoding="utf-8"?>
<ds:datastoreItem xmlns:ds="http://schemas.openxmlformats.org/officeDocument/2006/customXml" ds:itemID="{2B5AD70B-704A-4B7C-AECD-5E6C228F8201}">
  <ds:schemaRefs/>
</ds:datastoreItem>
</file>

<file path=customXml/itemProps3.xml><?xml version="1.0" encoding="utf-8"?>
<ds:datastoreItem xmlns:ds="http://schemas.openxmlformats.org/officeDocument/2006/customXml" ds:itemID="{0CFF8681-3FDC-4AEC-8875-B7EC249D89D6}">
  <ds:schemaRefs/>
</ds:datastoreItem>
</file>

<file path=customXml/itemProps4.xml><?xml version="1.0" encoding="utf-8"?>
<ds:datastoreItem xmlns:ds="http://schemas.openxmlformats.org/officeDocument/2006/customXml" ds:itemID="{D43F48A8-0D0B-45DC-ADF4-43934A782E2B}">
  <ds:schemaRefs/>
</ds:datastoreItem>
</file>

<file path=customXml/itemProps5.xml><?xml version="1.0" encoding="utf-8"?>
<ds:datastoreItem xmlns:ds="http://schemas.openxmlformats.org/officeDocument/2006/customXml" ds:itemID="{A1164A4D-F767-4951-8ED1-10AEB2250838}">
  <ds:schemaRefs/>
</ds:datastoreItem>
</file>

<file path=customXml/itemProps6.xml><?xml version="1.0" encoding="utf-8"?>
<ds:datastoreItem xmlns:ds="http://schemas.openxmlformats.org/officeDocument/2006/customXml" ds:itemID="{35B73A20-A3DA-4193-8B31-0DA4C8E3A1CB}">
  <ds:schemaRefs/>
</ds:datastoreItem>
</file>

<file path=customXml/itemProps7.xml><?xml version="1.0" encoding="utf-8"?>
<ds:datastoreItem xmlns:ds="http://schemas.openxmlformats.org/officeDocument/2006/customXml" ds:itemID="{3B2B77B4-FC9D-4240-96A3-9924EEC21184}">
  <ds:schemaRefs/>
</ds:datastoreItem>
</file>

<file path=customXml/itemProps8.xml><?xml version="1.0" encoding="utf-8"?>
<ds:datastoreItem xmlns:ds="http://schemas.openxmlformats.org/officeDocument/2006/customXml" ds:itemID="{1057CE02-A85D-4027-B094-0137FF561FAC}">
  <ds:schemaRefs/>
</ds:datastoreItem>
</file>

<file path=customXml/itemProps9.xml><?xml version="1.0" encoding="utf-8"?>
<ds:datastoreItem xmlns:ds="http://schemas.openxmlformats.org/officeDocument/2006/customXml" ds:itemID="{1C7CF7D6-DC04-4AF9-95F6-151920BA0B96}">
  <ds:schemaRefs/>
</ds:datastoreItem>
</file>

<file path=customXml/itemProps10.xml><?xml version="1.0" encoding="utf-8"?>
<ds:datastoreItem xmlns:ds="http://schemas.openxmlformats.org/officeDocument/2006/customXml" ds:itemID="{AEBD96EC-CBCE-4D62-A351-69C77E3E5D29}">
  <ds:schemaRefs/>
</ds:datastoreItem>
</file>

<file path=customXml/itemProps11.xml><?xml version="1.0" encoding="utf-8"?>
<ds:datastoreItem xmlns:ds="http://schemas.openxmlformats.org/officeDocument/2006/customXml" ds:itemID="{EF4078A3-6D12-4977-85C2-B06B31415421}">
  <ds:schemaRefs/>
</ds:datastoreItem>
</file>

<file path=customXml/itemProps12.xml><?xml version="1.0" encoding="utf-8"?>
<ds:datastoreItem xmlns:ds="http://schemas.openxmlformats.org/officeDocument/2006/customXml" ds:itemID="{11FB7552-D395-4563-B4F9-5B3C30A904FE}">
  <ds:schemaRefs/>
</ds:datastoreItem>
</file>

<file path=customXml/itemProps13.xml><?xml version="1.0" encoding="utf-8"?>
<ds:datastoreItem xmlns:ds="http://schemas.openxmlformats.org/officeDocument/2006/customXml" ds:itemID="{EA81BF23-11E4-46C5-86C6-D3B28EBB3534}">
  <ds:schemaRefs/>
</ds:datastoreItem>
</file>

<file path=customXml/itemProps14.xml><?xml version="1.0" encoding="utf-8"?>
<ds:datastoreItem xmlns:ds="http://schemas.openxmlformats.org/officeDocument/2006/customXml" ds:itemID="{E04A4EEF-F541-4B30-BFF7-FEC37E058F8C}">
  <ds:schemaRefs/>
</ds:datastoreItem>
</file>

<file path=customXml/itemProps15.xml><?xml version="1.0" encoding="utf-8"?>
<ds:datastoreItem xmlns:ds="http://schemas.openxmlformats.org/officeDocument/2006/customXml" ds:itemID="{E9D4D387-84AB-4CD8-9EDB-8CFF278BC2B7}">
  <ds:schemaRefs/>
</ds:datastoreItem>
</file>

<file path=customXml/itemProps16.xml><?xml version="1.0" encoding="utf-8"?>
<ds:datastoreItem xmlns:ds="http://schemas.openxmlformats.org/officeDocument/2006/customXml" ds:itemID="{20441D78-AD23-4CE7-9D0E-9CCDCFA6F8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car_dataset</vt:lpstr>
      <vt:lpstr>Original_dataset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Chinmayi Sutar</cp:lastModifiedBy>
  <cp:lastPrinted>2026-07-07T14:41:47Z</cp:lastPrinted>
  <dcterms:created xsi:type="dcterms:W3CDTF">2026-06-26T09:36:54Z</dcterms:created>
  <dcterms:modified xsi:type="dcterms:W3CDTF">2026-07-20T14:09:57Z</dcterms:modified>
</cp:coreProperties>
</file>